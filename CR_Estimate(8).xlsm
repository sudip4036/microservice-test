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hidePivotFieldList="1" autoCompressPictures="0"/>
  <bookViews>
    <workbookView xWindow="0" yWindow="180" windowWidth="15360" windowHeight="7140" tabRatio="858" firstSheet="1" activeTab="14"/>
  </bookViews>
  <sheets>
    <sheet name="Help" sheetId="3" r:id="rId1"/>
    <sheet name="Project Overview" sheetId="6" r:id="rId2"/>
    <sheet name="Story Types" sheetId="7" r:id="rId3"/>
    <sheet name="Stories" sheetId="13" r:id="rId4"/>
    <sheet name="Staffing Plan" sheetId="17" r:id="rId5"/>
    <sheet name="Add-ins" sheetId="11" r:id="rId6"/>
    <sheet name="Objective Risks" sheetId="12" r:id="rId7"/>
    <sheet name="LOE Summary" sheetId="15" r:id="rId8"/>
    <sheet name="Total LOE" sheetId="18" r:id="rId9"/>
    <sheet name="Stories - Export" sheetId="22" state="veryHidden" r:id="rId10"/>
    <sheet name="Staffing Plan - Export" sheetId="19" state="veryHidden" r:id="rId11"/>
    <sheet name="Data" sheetId="4" state="veryHidden" r:id="rId12"/>
    <sheet name="Export Configuration" sheetId="20" state="veryHidden" r:id="rId13"/>
    <sheet name="Mapping" sheetId="23" state="veryHidden" r:id="rId14"/>
    <sheet name="Assumptions" sheetId="24" r:id="rId15"/>
    <sheet name="Dependencies" sheetId="26" r:id="rId16"/>
  </sheets>
  <functionGroups builtInGroupCount="17"/>
  <externalReferences>
    <externalReference r:id="rId17"/>
  </externalReferences>
  <definedNames>
    <definedName name="_xlnm._FilterDatabase" localSheetId="5" hidden="1">'Add-ins'!$B$4:$K$35</definedName>
    <definedName name="_xlnm._FilterDatabase" localSheetId="11" hidden="1">Data!$P$1:$Q$1402</definedName>
    <definedName name="_xlnm._FilterDatabase" localSheetId="12" hidden="1">'Export Configuration'!$A$1:$D$40</definedName>
    <definedName name="_xlnm._FilterDatabase" localSheetId="4" hidden="1">'Staffing Plan'!$B$12:$AR$41</definedName>
    <definedName name="_xlnm._FilterDatabase" localSheetId="3" hidden="1">Stories!$A$6:$AD$111</definedName>
    <definedName name="add_ins_last_row">'Add-ins'!$47:$47</definedName>
    <definedName name="addins_impact_loe_lookup">'Add-ins'!$J$5:$J$48</definedName>
    <definedName name="addins_phase_list_lookup">'Add-ins'!$C$5:$C$48</definedName>
    <definedName name="addins_release_list_lookup">'Add-ins'!$E$5:$E$48</definedName>
    <definedName name="addins_total_loe">'Add-ins'!$J$2</definedName>
    <definedName name="addins_track_list_lookup">'Add-ins'!$D$5:$D$48</definedName>
    <definedName name="data_blank_value">Data!$B$6</definedName>
    <definedName name="data_role_doesnt_exist_msg">Data!$B$7</definedName>
    <definedName name="data_rolename_title_location">Data!$Q$1</definedName>
    <definedName name="export_list_interfaces_output_columns">OFFSET('Export Configuration'!$A$1,,,COUNTA('Export Configuration'!$A:$A),4)</definedName>
    <definedName name="export_list_interfaces_output_formats">OFFSET('Export Configuration'!$F$1,,,COUNTA('Export Configuration'!$F:$F),3)</definedName>
    <definedName name="list_bill_rate_categories">OFFSET(Data!$L$2,,,COUNTA(Data!$L:$L)-1)</definedName>
    <definedName name="list_bill_rate_india">OFFSET(list_bill_rate_categories,MATCH("India Off-Shore", list_bill_rate_categories,0)-1,,COUNTA(list_bill_rate_categories) - MATCH("India Off-Shore", list_bill_rate_categories,0)+1)</definedName>
    <definedName name="list_bill_rate_local">OFFSET(list_bill_rate_categories,,,MATCH("India Off-shore", list_bill_rate_categories,0)-1)</definedName>
    <definedName name="list_delivery_types">OFFSET(Data!$D$2,,,COUNTA(Data!$D:$D)-1)</definedName>
    <definedName name="list_offices">OFFSET(Data!$M$2,,,COUNTA(Data!$M:$M)-1)</definedName>
    <definedName name="list_offices_india">OFFSET(list_offices,1,,MATCH("## Local Offices ##", list_offices,0) - 2)</definedName>
    <definedName name="list_offices_local">OFFSET(list_offices,MATCH("## Local Offices ##", list_offices,0),,COUNTA(list_offices) - MATCH("## Local Offices ##", list_offices,0))</definedName>
    <definedName name="list_Phase">OFFSET(Data!$G$2,,,COUNTA(Data!$G:$G)-1)</definedName>
    <definedName name="list_project_tracks">OFFSET(Data!$F$2,,,COUNTA(Data!$F:$F)-1)</definedName>
    <definedName name="list_Release">OFFSET(Data!$H$2,,,COUNTA(Data!$H:$H)-1)</definedName>
    <definedName name="list_risk_categories">OFFSET(Data!$J$2,,,COUNTA(Data!$J:$J)-1)</definedName>
    <definedName name="list_roles">OFFSET(Data!$N$2,,,COUNTA(Data!$N:$N)-1)</definedName>
    <definedName name="list_sa_phases">OFFSET(Data!$E$2,,,COUNTA(Data!$E:$E)-1)</definedName>
    <definedName name="list_scope_count">OFFSET(Data!$K$2,,,COUNTA(Data!$K:$K)-1)</definedName>
    <definedName name="list_story_types">OFFSET(Data!$I$2,,,COUNTA(Data!$I:$I)-1)</definedName>
    <definedName name="list_title_for_mapping">Data!$P:$P</definedName>
    <definedName name="list_titles">OFFSET(Data!$O$2,,,COUNTA(Data!$O:$O)-1)</definedName>
    <definedName name="list_titles_delivery">OFFSET(list_titles,1,,MATCH("## Sapient Internal ##", list_titles,0) - 2)</definedName>
    <definedName name="list_titles_non_delivery">list_titles</definedName>
    <definedName name="loe_summ_last_row">'LOE Summary'!$17:$17</definedName>
    <definedName name="metrics_lookup_table">'Story Types'!$I$4:$M$122</definedName>
    <definedName name="obj_risks_last_row">'Objective Risks'!$17:$17</definedName>
    <definedName name="_xlnm.Print_Area" localSheetId="5">'Add-ins'!$B$2:$K$47</definedName>
    <definedName name="_xlnm.Print_Area" localSheetId="0">Help!$B$2:$E$10</definedName>
    <definedName name="_xlnm.Print_Area" localSheetId="7">'LOE Summary'!$B$1:$M$27</definedName>
    <definedName name="_xlnm.Print_Area" localSheetId="6">'Objective Risks'!$B$2:$K$17</definedName>
    <definedName name="_xlnm.Print_Area" localSheetId="1">'Project Overview'!$A$1:$D$11</definedName>
    <definedName name="_xlnm.Print_Area" localSheetId="4">'Staffing Plan'!$B$1:$AR$41</definedName>
    <definedName name="_xlnm.Print_Area" localSheetId="3">Stories!$A$2:$V$110</definedName>
    <definedName name="_xlnm.Print_Area" localSheetId="2">'Story Types'!$A$1:$M$20</definedName>
    <definedName name="_xlnm.Print_Area" localSheetId="8">'Total LOE'!$B$1:$P$24</definedName>
    <definedName name="project_delivery_select">'Project Overview'!$C$7</definedName>
    <definedName name="project_headline">'Project Overview'!$C$1</definedName>
    <definedName name="project_name">'Project Overview'!$C$3</definedName>
    <definedName name="project_phase">'Project Overview'!$C$5</definedName>
    <definedName name="project_Phase_list_column">'Project Overview'!$C:$C</definedName>
    <definedName name="project_pid">'Project Overview'!$C$4</definedName>
    <definedName name="project_Rel_list_column">'Project Overview'!$D:$D</definedName>
    <definedName name="project_tracks_list_column">'Project Overview'!$B:$B</definedName>
    <definedName name="project_tracks_starting_row">'Project Overview'!$9:$9</definedName>
    <definedName name="risks_phase_list_lookup">'Objective Risks'!$C$7:$C$18</definedName>
    <definedName name="risks_release_list_lookup">'Objective Risks'!$E$7:$E$18</definedName>
    <definedName name="risks_risk_buffer_lookup">'Objective Risks'!$J$7:$J$18</definedName>
    <definedName name="risks_total_loe">'Objective Risks'!$J$4</definedName>
    <definedName name="risks_track_list_lookup">'Objective Risks'!$D$7:$D$18</definedName>
    <definedName name="scope_count_list">[1]Data!$F$7:$F$8</definedName>
    <definedName name="staffing_column_after_weeks">'Staffing Plan'!$AL:$AL</definedName>
    <definedName name="staffing_column_before_weeks">'Staffing Plan'!$I:$I</definedName>
    <definedName name="staffing_column_HrsPerDay">'Staffing Plan'!$AP:$AP</definedName>
    <definedName name="staffing_column_plan_start">'Staffing Plan'!$B:$B</definedName>
    <definedName name="staffing_column_Rate">'Staffing Plan'!$AO:$AO</definedName>
    <definedName name="staffing_column_title">'Staffing Plan'!$E:$E</definedName>
    <definedName name="staffing_hidden_template_row">'Staffing Plan'!$13:$13</definedName>
    <definedName name="staffing_phase_list_lookup">INDIRECT("'Staffing Plan'!"&amp;ADDRESS(CELL("row",staffing_row_before_team)+1,CELL("col",staffing_column_before_weeks)-2)&amp;":"&amp;ADDRESS(CELL("row",staffing_row_after_team)-1,CELL("col",staffing_column_before_weeks)-2))</definedName>
    <definedName name="staffing_planned_net_work_days">'Staffing Plan'!$D$9</definedName>
    <definedName name="staffing_release_list_lookup">INDIRECT("'Staffing Plan'!"&amp;ADDRESS(CELL("row",staffing_row_before_team)+1,CELL("col",staffing_column_before_weeks))&amp;":"&amp;ADDRESS(CELL("row",staffing_row_after_team)-1,CELL("col",staffing_column_before_weeks)))</definedName>
    <definedName name="staffing_row_after_oversight">'Staffing Plan'!$20:$20</definedName>
    <definedName name="staffing_row_after_team">'Staffing Plan'!$40:$40</definedName>
    <definedName name="staffing_row_before_oversight">'Staffing Plan'!$14:$14</definedName>
    <definedName name="staffing_row_before_team">'Staffing Plan'!$21:$21</definedName>
    <definedName name="staffing_total_loe_lookup">INDIRECT("'Staffing Plan'!"&amp;ADDRESS(CELL("row",staffing_row_before_team)+1,CELL("col",staffing_column_after_weeks))&amp;":"&amp;ADDRESS(CELL("row",staffing_row_after_team)-1,CELL("col",staffing_column_after_weeks)))</definedName>
    <definedName name="staffing_total_loe_oversight">'Staffing Plan'!$AL$20</definedName>
    <definedName name="staffing_total_loe_team">'Staffing Plan'!$AL$40</definedName>
    <definedName name="staffing_total_person_days">'Staffing Plan'!$AL$41</definedName>
    <definedName name="staffing_track_list_lookup">INDIRECT("'Staffing Plan'!"&amp;ADDRESS(CELL("row",staffing_row_before_team)+1,CELL("col",staffing_column_before_weeks)-1)&amp;":"&amp;ADDRESS(CELL("row",staffing_row_after_team)-1,CELL("col",staffing_column_before_weeks)-1))</definedName>
    <definedName name="stories_buffered_loe_lookup">Stories!$U$7:$U$111</definedName>
    <definedName name="stories_column_abp">Stories!$M:$M</definedName>
    <definedName name="stories_column_category">Stories!$C:$C</definedName>
    <definedName name="stories_column_description">Stories!$H:$H</definedName>
    <definedName name="stories_column_error">Stories!$B:$B</definedName>
    <definedName name="stories_column_hp">Stories!$N:$N</definedName>
    <definedName name="stories_column_in_out">Stories!$J:$J</definedName>
    <definedName name="stories_column_multiplier">Stories!$O:$O</definedName>
    <definedName name="stories_column_notes">Stories!$V:$V</definedName>
    <definedName name="stories_column_phase">Stories!$E:$E</definedName>
    <definedName name="stories_column_release">Stories!$K:$K</definedName>
    <definedName name="stories_column_scope_reference">Stories!$I:$I</definedName>
    <definedName name="stories_column_story_name">Stories!$G:$G</definedName>
    <definedName name="stories_column_story_type">Stories!$L:$L</definedName>
    <definedName name="stories_column_sub_category">Stories!$D:$D</definedName>
    <definedName name="stories_column_track">Stories!$F:$F</definedName>
    <definedName name="stories_entries_range">INDIRECT(ROW(stories_row_before_first_story)+1 &amp; ":" &amp; ROW(stories_row_after_last_story)-1)</definedName>
    <definedName name="stories_last_row">Stories!$110:$110</definedName>
    <definedName name="Stories_phase_list_lookup">Stories!$E$7:$E$111</definedName>
    <definedName name="stories_pivot_range">OFFSET(Stories!$C$6,0,0,COUNTA(Stories!$O$7:$O$343)-1,COLUMN(Stories!$V$6)-2)</definedName>
    <definedName name="stories_release_list_lookup">Stories!$K$7:$K$111</definedName>
    <definedName name="stories_row_after_last_story">Stories!$111:$111</definedName>
    <definedName name="stories_row_before_first_story">Stories!$6:$6</definedName>
    <definedName name="stories_total_loe_abp">Stories!$P$4</definedName>
    <definedName name="stories_total_loe_buffered">Stories!$T$4</definedName>
    <definedName name="stories_total_loe_hp">Stories!$R$4</definedName>
    <definedName name="stories_track_list_lookup">Stories!$F$7:$F$111</definedName>
    <definedName name="story_export_comment_records">OFFSET('Stories - Export'!$K$1,,,COUNTA('Stories - Export'!$K:$K),1)</definedName>
    <definedName name="Story_Type_ABP">'Story Types'!$E:$E</definedName>
    <definedName name="Story_Type_error">'Story Types'!$A:$A</definedName>
    <definedName name="Story_Type_HP">'Story Types'!$F:$F</definedName>
    <definedName name="Story_Type_Name">'Story Types'!$C:$D</definedName>
    <definedName name="tasks_metrics_observation_area">'Story Types'!$C:$F</definedName>
    <definedName name="tasks_metrics_template">'Story Types'!$B$3:$G$19</definedName>
    <definedName name="tool_version">Help!$C$3</definedName>
    <definedName name="tool_version_check">Data!$B$1</definedName>
    <definedName name="tool_version_date">Data!$B$3</definedName>
    <definedName name="tool_vox_address">Data!$B$4</definedName>
    <definedName name="tool_vox_address_title">Data!$B$5</definedName>
    <definedName name="total_loe">Data!$B$2</definedName>
    <definedName name="track_loe_header_cell">'LOE Summary'!$B$5</definedName>
  </definedNames>
  <calcPr calcId="145621" concurrentCalc="0"/>
  <pivotCaches>
    <pivotCache cacheId="192" r:id="rId18"/>
  </pivotCaches>
</workbook>
</file>

<file path=xl/calcChain.xml><?xml version="1.0" encoding="utf-8"?>
<calcChain xmlns="http://schemas.openxmlformats.org/spreadsheetml/2006/main">
  <c r="S42" i="13" l="1"/>
  <c r="Q42" i="13"/>
  <c r="S43" i="13"/>
  <c r="Q43" i="13"/>
  <c r="U42" i="13"/>
  <c r="U43" i="13"/>
  <c r="AQ18" i="17"/>
  <c r="D9" i="17"/>
  <c r="AQ17" i="17"/>
  <c r="AQ16" i="17"/>
  <c r="AQ15" i="17"/>
  <c r="S12" i="13"/>
  <c r="Q12" i="13"/>
  <c r="F364" i="7"/>
  <c r="M25" i="7"/>
  <c r="E364" i="7"/>
  <c r="L25" i="7"/>
  <c r="F1588" i="7"/>
  <c r="M93" i="7"/>
  <c r="E1588" i="7"/>
  <c r="L93" i="7"/>
  <c r="S49" i="13"/>
  <c r="Q49" i="13"/>
  <c r="S10" i="13"/>
  <c r="Q10" i="13"/>
  <c r="U10" i="13"/>
  <c r="S64" i="13"/>
  <c r="Q64" i="13"/>
  <c r="S63" i="13"/>
  <c r="Q63" i="13"/>
  <c r="S62" i="13"/>
  <c r="Q62" i="13"/>
  <c r="S61" i="13"/>
  <c r="Q61" i="13"/>
  <c r="S60" i="13"/>
  <c r="Q60" i="13"/>
  <c r="S59" i="13"/>
  <c r="Q59" i="13"/>
  <c r="S58" i="13"/>
  <c r="Q58" i="13"/>
  <c r="S57" i="13"/>
  <c r="Q57" i="13"/>
  <c r="S56" i="13"/>
  <c r="Q56" i="13"/>
  <c r="Q44" i="13"/>
  <c r="S44" i="13"/>
  <c r="S45" i="13"/>
  <c r="Q45" i="13"/>
  <c r="S39" i="13"/>
  <c r="Q39" i="13"/>
  <c r="Q37" i="13"/>
  <c r="S37" i="13"/>
  <c r="S32" i="13"/>
  <c r="Q32" i="13"/>
  <c r="S29" i="13"/>
  <c r="Q29" i="13"/>
  <c r="Q20" i="13"/>
  <c r="S20" i="13"/>
  <c r="S16" i="13"/>
  <c r="Q16" i="13"/>
  <c r="S65" i="13"/>
  <c r="Q65" i="13"/>
  <c r="S55" i="13"/>
  <c r="Q55" i="13"/>
  <c r="S54" i="13"/>
  <c r="Q54" i="13"/>
  <c r="S53" i="13"/>
  <c r="Q53" i="13"/>
  <c r="U53" i="13"/>
  <c r="S66" i="13"/>
  <c r="Q66" i="13"/>
  <c r="S67" i="13"/>
  <c r="Q67" i="13"/>
  <c r="S68" i="13"/>
  <c r="Q68" i="13"/>
  <c r="Q51" i="13"/>
  <c r="S47" i="13"/>
  <c r="Q47" i="13"/>
  <c r="S41" i="13"/>
  <c r="Q41" i="13"/>
  <c r="S14" i="13"/>
  <c r="S33" i="13"/>
  <c r="Q33" i="13"/>
  <c r="S27" i="13"/>
  <c r="Q18" i="13"/>
  <c r="Q11" i="13"/>
  <c r="S11" i="13"/>
  <c r="Q13" i="13"/>
  <c r="S13" i="13"/>
  <c r="Q14" i="13"/>
  <c r="U14" i="13"/>
  <c r="Q15" i="13"/>
  <c r="S15" i="13"/>
  <c r="Q17" i="13"/>
  <c r="S17" i="13"/>
  <c r="S18" i="13"/>
  <c r="Q19" i="13"/>
  <c r="S19" i="13"/>
  <c r="Q23" i="13"/>
  <c r="S23" i="13"/>
  <c r="Q24" i="13"/>
  <c r="S24" i="13"/>
  <c r="Q25" i="13"/>
  <c r="S25" i="13"/>
  <c r="Q27" i="13"/>
  <c r="Q28" i="13"/>
  <c r="S28" i="13"/>
  <c r="Q30" i="13"/>
  <c r="S30" i="13"/>
  <c r="Q31" i="13"/>
  <c r="S31" i="13"/>
  <c r="Q34" i="13"/>
  <c r="S34" i="13"/>
  <c r="Q35" i="13"/>
  <c r="S35" i="13"/>
  <c r="Q36" i="13"/>
  <c r="S36" i="13"/>
  <c r="Q38" i="13"/>
  <c r="S38" i="13"/>
  <c r="Q40" i="13"/>
  <c r="S40" i="13"/>
  <c r="Q46" i="13"/>
  <c r="S46" i="13"/>
  <c r="Q48" i="13"/>
  <c r="S48" i="13"/>
  <c r="Q50" i="13"/>
  <c r="S50" i="13"/>
  <c r="S51" i="13"/>
  <c r="Q52" i="13"/>
  <c r="S52" i="13"/>
  <c r="Q69" i="13"/>
  <c r="S69" i="13"/>
  <c r="Q70" i="13"/>
  <c r="S70" i="13"/>
  <c r="Q71" i="13"/>
  <c r="S71" i="13"/>
  <c r="Q72" i="13"/>
  <c r="S72" i="13"/>
  <c r="Q73" i="13"/>
  <c r="S73" i="13"/>
  <c r="Q74" i="13"/>
  <c r="S74" i="13"/>
  <c r="Q75" i="13"/>
  <c r="S75" i="13"/>
  <c r="Q76" i="13"/>
  <c r="S76" i="13"/>
  <c r="Q77" i="13"/>
  <c r="S77" i="13"/>
  <c r="Q78" i="13"/>
  <c r="S78" i="13"/>
  <c r="Q79" i="13"/>
  <c r="S79" i="13"/>
  <c r="Q80" i="13"/>
  <c r="S80" i="13"/>
  <c r="Q81" i="13"/>
  <c r="S81" i="13"/>
  <c r="Q82" i="13"/>
  <c r="S82" i="13"/>
  <c r="Q83" i="13"/>
  <c r="S83" i="13"/>
  <c r="Q84" i="13"/>
  <c r="S84" i="13"/>
  <c r="Q85" i="13"/>
  <c r="S85" i="13"/>
  <c r="Q86" i="13"/>
  <c r="S86" i="13"/>
  <c r="Q87" i="13"/>
  <c r="S87" i="13"/>
  <c r="Q88" i="13"/>
  <c r="S88" i="13"/>
  <c r="Q89" i="13"/>
  <c r="S89" i="13"/>
  <c r="Q90" i="13"/>
  <c r="S90" i="13"/>
  <c r="Q91" i="13"/>
  <c r="S91" i="13"/>
  <c r="Q92" i="13"/>
  <c r="S92" i="13"/>
  <c r="Q93" i="13"/>
  <c r="S93" i="13"/>
  <c r="Q94" i="13"/>
  <c r="S94" i="13"/>
  <c r="U94" i="13"/>
  <c r="Q95" i="13"/>
  <c r="S95" i="13"/>
  <c r="Q96" i="13"/>
  <c r="S96" i="13"/>
  <c r="Q97" i="13"/>
  <c r="S97" i="13"/>
  <c r="Q98" i="13"/>
  <c r="S98" i="13"/>
  <c r="Q99" i="13"/>
  <c r="S99" i="13"/>
  <c r="Q100" i="13"/>
  <c r="S100" i="13"/>
  <c r="Q101" i="13"/>
  <c r="S101" i="13"/>
  <c r="Q102" i="13"/>
  <c r="S102" i="13"/>
  <c r="Q103" i="13"/>
  <c r="S103" i="13"/>
  <c r="Q104" i="13"/>
  <c r="S104" i="13"/>
  <c r="Q105" i="13"/>
  <c r="S105" i="13"/>
  <c r="Q106" i="13"/>
  <c r="S106" i="13"/>
  <c r="Q107" i="13"/>
  <c r="S107" i="13"/>
  <c r="Q108" i="13"/>
  <c r="S108" i="13"/>
  <c r="Q109" i="13"/>
  <c r="S109" i="13"/>
  <c r="Q110" i="13"/>
  <c r="S110" i="13"/>
  <c r="Q111" i="13"/>
  <c r="S111" i="13"/>
  <c r="Q7" i="13"/>
  <c r="S7" i="13"/>
  <c r="AQ24" i="17"/>
  <c r="AQ32" i="17"/>
  <c r="J25" i="11"/>
  <c r="B5" i="15"/>
  <c r="J23" i="11"/>
  <c r="J24" i="11"/>
  <c r="D8" i="15"/>
  <c r="E2074" i="7"/>
  <c r="L120" i="7"/>
  <c r="E2002" i="7"/>
  <c r="L116" i="7"/>
  <c r="E1930" i="7"/>
  <c r="L112" i="7"/>
  <c r="E1786" i="7"/>
  <c r="L104" i="7"/>
  <c r="E1642" i="7"/>
  <c r="L96" i="7"/>
  <c r="E1498" i="7"/>
  <c r="L88" i="7"/>
  <c r="E1462" i="7"/>
  <c r="L86" i="7"/>
  <c r="E1354" i="7"/>
  <c r="L80" i="7"/>
  <c r="E1318" i="7"/>
  <c r="L78" i="7"/>
  <c r="E1210" i="7"/>
  <c r="L72" i="7"/>
  <c r="E1174" i="7"/>
  <c r="L70" i="7"/>
  <c r="E1066" i="7"/>
  <c r="L64" i="7"/>
  <c r="E1030" i="7"/>
  <c r="L62" i="7"/>
  <c r="E922" i="7"/>
  <c r="L56" i="7"/>
  <c r="E886" i="7"/>
  <c r="L54" i="7"/>
  <c r="E778" i="7"/>
  <c r="L48" i="7"/>
  <c r="E742" i="7"/>
  <c r="L46" i="7"/>
  <c r="E634" i="7"/>
  <c r="L40" i="7"/>
  <c r="E598" i="7"/>
  <c r="L38" i="7"/>
  <c r="E490" i="7"/>
  <c r="L32" i="7"/>
  <c r="E454" i="7"/>
  <c r="L30" i="7"/>
  <c r="E346" i="7"/>
  <c r="L24" i="7"/>
  <c r="M21" i="13"/>
  <c r="Q21" i="13"/>
  <c r="E310" i="7"/>
  <c r="L22" i="7"/>
  <c r="E238" i="7"/>
  <c r="L18" i="7"/>
  <c r="E166" i="7"/>
  <c r="L14" i="7"/>
  <c r="E130" i="7"/>
  <c r="L12" i="7"/>
  <c r="E22" i="7"/>
  <c r="L6" i="7"/>
  <c r="F2110" i="7"/>
  <c r="M122" i="7"/>
  <c r="E2110" i="7"/>
  <c r="L122" i="7"/>
  <c r="AQ39" i="17"/>
  <c r="AQ19" i="17"/>
  <c r="AQ33" i="17"/>
  <c r="AQ34" i="17"/>
  <c r="AQ35" i="17"/>
  <c r="AQ36" i="17"/>
  <c r="AQ37" i="17"/>
  <c r="AQ38" i="17"/>
  <c r="AQ30" i="17"/>
  <c r="D65" i="23"/>
  <c r="C65" i="23"/>
  <c r="C64" i="23"/>
  <c r="C63" i="23"/>
  <c r="C62" i="23"/>
  <c r="C61" i="23"/>
  <c r="D60" i="23"/>
  <c r="C60" i="23"/>
  <c r="D59" i="23"/>
  <c r="C59" i="23"/>
  <c r="D58" i="23"/>
  <c r="C58" i="23"/>
  <c r="C57" i="23"/>
  <c r="C56" i="23"/>
  <c r="C55" i="23"/>
  <c r="C54" i="23"/>
  <c r="C53" i="23"/>
  <c r="C52" i="23"/>
  <c r="C51" i="23"/>
  <c r="C50" i="23"/>
  <c r="C49" i="23"/>
  <c r="C48" i="23"/>
  <c r="C47" i="23"/>
  <c r="D46" i="23"/>
  <c r="C46" i="23"/>
  <c r="C44" i="23"/>
  <c r="C43" i="23"/>
  <c r="D42" i="23"/>
  <c r="C42" i="23"/>
  <c r="D41"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D7" i="23"/>
  <c r="C7" i="23"/>
  <c r="C54" i="20"/>
  <c r="C53" i="20"/>
  <c r="C52" i="20"/>
  <c r="C51" i="20"/>
  <c r="C50" i="20"/>
  <c r="C49" i="20"/>
  <c r="C48" i="20"/>
  <c r="C47" i="20"/>
  <c r="C46" i="20"/>
  <c r="C45" i="20"/>
  <c r="C44" i="20"/>
  <c r="C43" i="20"/>
  <c r="C42" i="20"/>
  <c r="H5" i="20"/>
  <c r="H4" i="20"/>
  <c r="H3" i="20"/>
  <c r="H2" i="20"/>
  <c r="B3" i="4"/>
  <c r="L24" i="15"/>
  <c r="K24" i="15"/>
  <c r="J24" i="15"/>
  <c r="I24" i="15"/>
  <c r="H24" i="15"/>
  <c r="G24" i="15"/>
  <c r="F24" i="15"/>
  <c r="E24" i="15"/>
  <c r="D24" i="15"/>
  <c r="C24" i="15"/>
  <c r="D20" i="15"/>
  <c r="E23" i="15"/>
  <c r="J17" i="12"/>
  <c r="J16" i="12"/>
  <c r="J15" i="12"/>
  <c r="J14" i="12"/>
  <c r="J13" i="12"/>
  <c r="J12" i="12"/>
  <c r="J11" i="12"/>
  <c r="J10" i="12"/>
  <c r="E17" i="15"/>
  <c r="J9" i="12"/>
  <c r="J8" i="12"/>
  <c r="J7" i="12"/>
  <c r="I4" i="12"/>
  <c r="J47" i="11"/>
  <c r="J46" i="11"/>
  <c r="J45" i="11"/>
  <c r="J44" i="11"/>
  <c r="J43" i="11"/>
  <c r="J42" i="11"/>
  <c r="J41" i="11"/>
  <c r="J40" i="11"/>
  <c r="J39" i="11"/>
  <c r="J38" i="11"/>
  <c r="J37" i="11"/>
  <c r="J35" i="11"/>
  <c r="J34" i="11"/>
  <c r="J33" i="11"/>
  <c r="J32" i="11"/>
  <c r="J31" i="11"/>
  <c r="J30" i="11"/>
  <c r="J29" i="11"/>
  <c r="J28" i="11"/>
  <c r="J27" i="11"/>
  <c r="J26" i="11"/>
  <c r="J22" i="11"/>
  <c r="J21" i="11"/>
  <c r="J20" i="11"/>
  <c r="J19" i="11"/>
  <c r="J18" i="11"/>
  <c r="J17" i="11"/>
  <c r="J16" i="11"/>
  <c r="J15" i="11"/>
  <c r="J14" i="11"/>
  <c r="J13" i="11"/>
  <c r="J12" i="11"/>
  <c r="J11" i="11"/>
  <c r="J7" i="11"/>
  <c r="D17" i="15"/>
  <c r="K17" i="15"/>
  <c r="J10" i="11"/>
  <c r="J9" i="11"/>
  <c r="J8" i="11"/>
  <c r="J6" i="11"/>
  <c r="J5" i="11"/>
  <c r="AQ31" i="17"/>
  <c r="AQ29" i="17"/>
  <c r="AQ28" i="17"/>
  <c r="AQ27" i="17"/>
  <c r="AQ26" i="17"/>
  <c r="AQ25" i="17"/>
  <c r="AQ23" i="17"/>
  <c r="AQ22" i="17"/>
  <c r="AQ13" i="17"/>
  <c r="J12" i="17"/>
  <c r="K12" i="17"/>
  <c r="L12" i="17"/>
  <c r="M12" i="17"/>
  <c r="N12" i="17"/>
  <c r="O12" i="17"/>
  <c r="P12" i="17"/>
  <c r="Q12" i="17"/>
  <c r="R12" i="17"/>
  <c r="S12" i="17"/>
  <c r="T12" i="17"/>
  <c r="U12" i="17"/>
  <c r="V12" i="17"/>
  <c r="W12" i="17"/>
  <c r="X12" i="17"/>
  <c r="Y12" i="17"/>
  <c r="Z12" i="17"/>
  <c r="AA12" i="17"/>
  <c r="AB12" i="17"/>
  <c r="AC12" i="17"/>
  <c r="AD12" i="17"/>
  <c r="AE12" i="17"/>
  <c r="AF12" i="17"/>
  <c r="AG12" i="17"/>
  <c r="AH12" i="17"/>
  <c r="AI12" i="17"/>
  <c r="AJ12" i="17"/>
  <c r="AK12" i="17"/>
  <c r="K11" i="17"/>
  <c r="L11" i="17"/>
  <c r="M11" i="17"/>
  <c r="N11" i="17"/>
  <c r="O11" i="17"/>
  <c r="P11" i="17"/>
  <c r="Q11" i="17"/>
  <c r="R11" i="17"/>
  <c r="S11" i="17"/>
  <c r="T11" i="17"/>
  <c r="U11" i="17"/>
  <c r="V11" i="17"/>
  <c r="W11" i="17"/>
  <c r="X11" i="17"/>
  <c r="Y11" i="17"/>
  <c r="Z11" i="17"/>
  <c r="AA11" i="17"/>
  <c r="AB11" i="17"/>
  <c r="AC11" i="17"/>
  <c r="AD11" i="17"/>
  <c r="AE11" i="17"/>
  <c r="AF11" i="17"/>
  <c r="AG11" i="17"/>
  <c r="AH11" i="17"/>
  <c r="AI11" i="17"/>
  <c r="AJ11" i="17"/>
  <c r="AK11" i="17"/>
  <c r="D8" i="17"/>
  <c r="D6" i="17"/>
  <c r="E4" i="17"/>
  <c r="E2" i="17"/>
  <c r="F2092" i="7"/>
  <c r="M121" i="7"/>
  <c r="E2092" i="7"/>
  <c r="L121" i="7"/>
  <c r="F2074" i="7"/>
  <c r="M120" i="7"/>
  <c r="F2056" i="7"/>
  <c r="M119" i="7"/>
  <c r="E2056" i="7"/>
  <c r="L119" i="7"/>
  <c r="F2038" i="7"/>
  <c r="M118" i="7"/>
  <c r="E2038" i="7"/>
  <c r="L118" i="7"/>
  <c r="F2020" i="7"/>
  <c r="M117" i="7"/>
  <c r="E2020" i="7"/>
  <c r="L117" i="7"/>
  <c r="B2004" i="7"/>
  <c r="B2005" i="7"/>
  <c r="B2006" i="7"/>
  <c r="B2007" i="7"/>
  <c r="B2008" i="7"/>
  <c r="B2009" i="7"/>
  <c r="B2010" i="7"/>
  <c r="B2011" i="7"/>
  <c r="B2012" i="7"/>
  <c r="B2013" i="7"/>
  <c r="B2014" i="7"/>
  <c r="B2015" i="7"/>
  <c r="B2016" i="7"/>
  <c r="B2017" i="7"/>
  <c r="F2002" i="7"/>
  <c r="M116" i="7"/>
  <c r="B1986" i="7"/>
  <c r="B1987" i="7"/>
  <c r="B1988" i="7"/>
  <c r="B1989" i="7"/>
  <c r="B1990" i="7"/>
  <c r="B1991" i="7"/>
  <c r="B1992" i="7"/>
  <c r="B1993" i="7"/>
  <c r="B1994" i="7"/>
  <c r="B1995" i="7"/>
  <c r="B1996" i="7"/>
  <c r="B1997" i="7"/>
  <c r="B1998" i="7"/>
  <c r="B1999" i="7"/>
  <c r="F1984" i="7"/>
  <c r="M115" i="7"/>
  <c r="E1984" i="7"/>
  <c r="L115" i="7"/>
  <c r="B1968" i="7"/>
  <c r="B1969" i="7"/>
  <c r="B1970" i="7"/>
  <c r="B1971" i="7"/>
  <c r="B1972" i="7"/>
  <c r="B1973" i="7"/>
  <c r="B1974" i="7"/>
  <c r="B1975" i="7"/>
  <c r="B1976" i="7"/>
  <c r="B1977" i="7"/>
  <c r="B1978" i="7"/>
  <c r="B1979" i="7"/>
  <c r="B1980" i="7"/>
  <c r="B1981" i="7"/>
  <c r="F1966" i="7"/>
  <c r="M114" i="7"/>
  <c r="E1966" i="7"/>
  <c r="L114" i="7"/>
  <c r="F1948" i="7"/>
  <c r="M113" i="7"/>
  <c r="E1948" i="7"/>
  <c r="L113" i="7"/>
  <c r="F1930" i="7"/>
  <c r="M112" i="7"/>
  <c r="F1912" i="7"/>
  <c r="M111" i="7"/>
  <c r="E1912" i="7"/>
  <c r="L111" i="7"/>
  <c r="F1894" i="7"/>
  <c r="M110" i="7"/>
  <c r="E1894" i="7"/>
  <c r="L110" i="7"/>
  <c r="F1876" i="7"/>
  <c r="M109" i="7"/>
  <c r="E1876" i="7"/>
  <c r="L109" i="7"/>
  <c r="F1858" i="7"/>
  <c r="M108" i="7"/>
  <c r="E1858" i="7"/>
  <c r="L108" i="7"/>
  <c r="F1840" i="7"/>
  <c r="M107" i="7"/>
  <c r="E1840" i="7"/>
  <c r="L107" i="7"/>
  <c r="F1822" i="7"/>
  <c r="M106" i="7"/>
  <c r="E1822" i="7"/>
  <c r="L106" i="7"/>
  <c r="F1804" i="7"/>
  <c r="M105" i="7"/>
  <c r="E1804" i="7"/>
  <c r="L105" i="7"/>
  <c r="F1786" i="7"/>
  <c r="M104" i="7"/>
  <c r="F1768" i="7"/>
  <c r="M103" i="7"/>
  <c r="E1768" i="7"/>
  <c r="L103" i="7"/>
  <c r="F1750" i="7"/>
  <c r="M102" i="7"/>
  <c r="E1750" i="7"/>
  <c r="L102" i="7"/>
  <c r="F1732" i="7"/>
  <c r="M101" i="7"/>
  <c r="E1732" i="7"/>
  <c r="L101" i="7"/>
  <c r="F1714" i="7"/>
  <c r="M100" i="7"/>
  <c r="E1714" i="7"/>
  <c r="L100" i="7"/>
  <c r="F1696" i="7"/>
  <c r="M99" i="7"/>
  <c r="E1696" i="7"/>
  <c r="L99" i="7"/>
  <c r="F1678" i="7"/>
  <c r="M98" i="7"/>
  <c r="E1678" i="7"/>
  <c r="L98" i="7"/>
  <c r="F1660" i="7"/>
  <c r="M97" i="7"/>
  <c r="E1660" i="7"/>
  <c r="L97" i="7"/>
  <c r="F1642" i="7"/>
  <c r="M96" i="7"/>
  <c r="F1624" i="7"/>
  <c r="M95" i="7"/>
  <c r="E1624" i="7"/>
  <c r="L95" i="7"/>
  <c r="F1606" i="7"/>
  <c r="M94" i="7"/>
  <c r="E1606" i="7"/>
  <c r="L94" i="7"/>
  <c r="F1570" i="7"/>
  <c r="M92" i="7"/>
  <c r="E1570" i="7"/>
  <c r="L92" i="7"/>
  <c r="F1552" i="7"/>
  <c r="M91" i="7"/>
  <c r="E1552" i="7"/>
  <c r="L91" i="7"/>
  <c r="F1534" i="7"/>
  <c r="M90" i="7"/>
  <c r="E1534" i="7"/>
  <c r="L90" i="7"/>
  <c r="F1516" i="7"/>
  <c r="M89" i="7"/>
  <c r="E1516" i="7"/>
  <c r="L89" i="7"/>
  <c r="F1498" i="7"/>
  <c r="M88" i="7"/>
  <c r="F1480" i="7"/>
  <c r="M87" i="7"/>
  <c r="E1480" i="7"/>
  <c r="L87" i="7"/>
  <c r="F1462" i="7"/>
  <c r="M86" i="7"/>
  <c r="F1444" i="7"/>
  <c r="M85" i="7"/>
  <c r="E1444" i="7"/>
  <c r="L85" i="7"/>
  <c r="F1426" i="7"/>
  <c r="M84" i="7"/>
  <c r="E1426" i="7"/>
  <c r="L84" i="7"/>
  <c r="F1408" i="7"/>
  <c r="M83" i="7"/>
  <c r="E1408" i="7"/>
  <c r="L83" i="7"/>
  <c r="F1390" i="7"/>
  <c r="M82" i="7"/>
  <c r="E1390" i="7"/>
  <c r="L82" i="7"/>
  <c r="F1372" i="7"/>
  <c r="M81" i="7"/>
  <c r="E1372" i="7"/>
  <c r="L81" i="7"/>
  <c r="F1354" i="7"/>
  <c r="M80" i="7"/>
  <c r="F1336" i="7"/>
  <c r="M79" i="7"/>
  <c r="E1336" i="7"/>
  <c r="L79" i="7"/>
  <c r="F1318" i="7"/>
  <c r="M78" i="7"/>
  <c r="F1300" i="7"/>
  <c r="M77" i="7"/>
  <c r="E1300" i="7"/>
  <c r="L77" i="7"/>
  <c r="F1282" i="7"/>
  <c r="M76" i="7"/>
  <c r="E1282" i="7"/>
  <c r="L76" i="7"/>
  <c r="F1264" i="7"/>
  <c r="M75" i="7"/>
  <c r="E1264" i="7"/>
  <c r="L75" i="7"/>
  <c r="F1246" i="7"/>
  <c r="M74" i="7"/>
  <c r="E1246" i="7"/>
  <c r="L74" i="7"/>
  <c r="F1228" i="7"/>
  <c r="M73" i="7"/>
  <c r="E1228" i="7"/>
  <c r="L73" i="7"/>
  <c r="F1210" i="7"/>
  <c r="M72" i="7"/>
  <c r="F1192" i="7"/>
  <c r="M71" i="7"/>
  <c r="E1192" i="7"/>
  <c r="L71" i="7"/>
  <c r="F1174" i="7"/>
  <c r="M70" i="7"/>
  <c r="F1156" i="7"/>
  <c r="M69" i="7"/>
  <c r="E1156" i="7"/>
  <c r="L69" i="7"/>
  <c r="F1138" i="7"/>
  <c r="M68" i="7"/>
  <c r="E1138" i="7"/>
  <c r="L68" i="7"/>
  <c r="F1120" i="7"/>
  <c r="M67" i="7"/>
  <c r="E1120" i="7"/>
  <c r="L67" i="7"/>
  <c r="F1102" i="7"/>
  <c r="M66" i="7"/>
  <c r="E1102" i="7"/>
  <c r="L66" i="7"/>
  <c r="F1084" i="7"/>
  <c r="M65" i="7"/>
  <c r="E1084" i="7"/>
  <c r="L65" i="7"/>
  <c r="F1066" i="7"/>
  <c r="M64" i="7"/>
  <c r="F1048" i="7"/>
  <c r="M63" i="7"/>
  <c r="E1048" i="7"/>
  <c r="L63" i="7"/>
  <c r="F1030" i="7"/>
  <c r="M62" i="7"/>
  <c r="F1012" i="7"/>
  <c r="M61" i="7"/>
  <c r="E1012" i="7"/>
  <c r="L61" i="7"/>
  <c r="F994" i="7"/>
  <c r="M60" i="7"/>
  <c r="E994" i="7"/>
  <c r="L60" i="7"/>
  <c r="F976" i="7"/>
  <c r="M59" i="7"/>
  <c r="E976" i="7"/>
  <c r="L59" i="7"/>
  <c r="F958" i="7"/>
  <c r="M58" i="7"/>
  <c r="E958" i="7"/>
  <c r="L58" i="7"/>
  <c r="F940" i="7"/>
  <c r="M57" i="7"/>
  <c r="E940" i="7"/>
  <c r="L57" i="7"/>
  <c r="F922" i="7"/>
  <c r="M56" i="7"/>
  <c r="F904" i="7"/>
  <c r="M55" i="7"/>
  <c r="E904" i="7"/>
  <c r="L55" i="7"/>
  <c r="F886" i="7"/>
  <c r="M54" i="7"/>
  <c r="F868" i="7"/>
  <c r="M53" i="7"/>
  <c r="E868" i="7"/>
  <c r="L53" i="7"/>
  <c r="F850" i="7"/>
  <c r="M52" i="7"/>
  <c r="E850" i="7"/>
  <c r="L52" i="7"/>
  <c r="F832" i="7"/>
  <c r="M51" i="7"/>
  <c r="E832" i="7"/>
  <c r="L51" i="7"/>
  <c r="F814" i="7"/>
  <c r="M50" i="7"/>
  <c r="E814" i="7"/>
  <c r="L50" i="7"/>
  <c r="F796" i="7"/>
  <c r="M49" i="7"/>
  <c r="E796" i="7"/>
  <c r="L49" i="7"/>
  <c r="F778" i="7"/>
  <c r="M48" i="7"/>
  <c r="F760" i="7"/>
  <c r="M47" i="7"/>
  <c r="E760" i="7"/>
  <c r="L47" i="7"/>
  <c r="F742" i="7"/>
  <c r="M46" i="7"/>
  <c r="F724" i="7"/>
  <c r="M45" i="7"/>
  <c r="E724" i="7"/>
  <c r="L45" i="7"/>
  <c r="F706" i="7"/>
  <c r="M44" i="7"/>
  <c r="E706" i="7"/>
  <c r="L44" i="7"/>
  <c r="F688" i="7"/>
  <c r="M43" i="7"/>
  <c r="E688" i="7"/>
  <c r="L43" i="7"/>
  <c r="F670" i="7"/>
  <c r="M42" i="7"/>
  <c r="E670" i="7"/>
  <c r="L42" i="7"/>
  <c r="F652" i="7"/>
  <c r="M41" i="7"/>
  <c r="E652" i="7"/>
  <c r="L41" i="7"/>
  <c r="F634" i="7"/>
  <c r="M40" i="7"/>
  <c r="F616" i="7"/>
  <c r="M39" i="7"/>
  <c r="E616" i="7"/>
  <c r="L39" i="7"/>
  <c r="F598" i="7"/>
  <c r="M38" i="7"/>
  <c r="F580" i="7"/>
  <c r="M37" i="7"/>
  <c r="E580" i="7"/>
  <c r="L37" i="7"/>
  <c r="F562" i="7"/>
  <c r="M36" i="7"/>
  <c r="E562" i="7"/>
  <c r="L36" i="7"/>
  <c r="F544" i="7"/>
  <c r="M35" i="7"/>
  <c r="E544" i="7"/>
  <c r="L35" i="7"/>
  <c r="F526" i="7"/>
  <c r="M34" i="7"/>
  <c r="E526" i="7"/>
  <c r="L34" i="7"/>
  <c r="F508" i="7"/>
  <c r="M33" i="7"/>
  <c r="E508" i="7"/>
  <c r="L33" i="7"/>
  <c r="F490" i="7"/>
  <c r="M32" i="7"/>
  <c r="F472" i="7"/>
  <c r="M31" i="7"/>
  <c r="E472" i="7"/>
  <c r="L31" i="7"/>
  <c r="F454" i="7"/>
  <c r="M30" i="7"/>
  <c r="F436" i="7"/>
  <c r="M29" i="7"/>
  <c r="E436" i="7"/>
  <c r="L29" i="7"/>
  <c r="F418" i="7"/>
  <c r="M28" i="7"/>
  <c r="E418" i="7"/>
  <c r="L28" i="7"/>
  <c r="F400" i="7"/>
  <c r="M27" i="7"/>
  <c r="E400" i="7"/>
  <c r="L27" i="7"/>
  <c r="F382" i="7"/>
  <c r="M26" i="7"/>
  <c r="E382" i="7"/>
  <c r="L26" i="7"/>
  <c r="F346" i="7"/>
  <c r="M24" i="7"/>
  <c r="N21" i="13"/>
  <c r="S21" i="13"/>
  <c r="F328" i="7"/>
  <c r="M23" i="7"/>
  <c r="E328" i="7"/>
  <c r="L23" i="7"/>
  <c r="F310" i="7"/>
  <c r="M22" i="7"/>
  <c r="F292" i="7"/>
  <c r="M21" i="7"/>
  <c r="E292" i="7"/>
  <c r="L21" i="7"/>
  <c r="F274" i="7"/>
  <c r="M20" i="7"/>
  <c r="E274" i="7"/>
  <c r="L20" i="7"/>
  <c r="F256" i="7"/>
  <c r="M19" i="7"/>
  <c r="E256" i="7"/>
  <c r="L19" i="7"/>
  <c r="F238" i="7"/>
  <c r="M18" i="7"/>
  <c r="F220" i="7"/>
  <c r="M17" i="7"/>
  <c r="E220" i="7"/>
  <c r="L17" i="7"/>
  <c r="F202" i="7"/>
  <c r="M16" i="7"/>
  <c r="E202" i="7"/>
  <c r="L16" i="7"/>
  <c r="F184" i="7"/>
  <c r="M15" i="7"/>
  <c r="E184" i="7"/>
  <c r="L15" i="7"/>
  <c r="F166" i="7"/>
  <c r="M14" i="7"/>
  <c r="F148" i="7"/>
  <c r="M13" i="7"/>
  <c r="E148" i="7"/>
  <c r="L13" i="7"/>
  <c r="F130" i="7"/>
  <c r="M12" i="7"/>
  <c r="F112" i="7"/>
  <c r="M11" i="7"/>
  <c r="E112" i="7"/>
  <c r="L11" i="7"/>
  <c r="F94" i="7"/>
  <c r="M10" i="7"/>
  <c r="E94" i="7"/>
  <c r="L10" i="7"/>
  <c r="F76" i="7"/>
  <c r="M9" i="7"/>
  <c r="E76" i="7"/>
  <c r="L9" i="7"/>
  <c r="F58" i="7"/>
  <c r="M8" i="7"/>
  <c r="E58" i="7"/>
  <c r="L8" i="7"/>
  <c r="F40" i="7"/>
  <c r="M7" i="7"/>
  <c r="E40" i="7"/>
  <c r="L7" i="7"/>
  <c r="F22" i="7"/>
  <c r="M6" i="7"/>
  <c r="F4" i="7"/>
  <c r="M5" i="7"/>
  <c r="E4" i="7"/>
  <c r="L5" i="7"/>
  <c r="C1" i="6"/>
  <c r="D1" i="17"/>
  <c r="G5" i="3"/>
  <c r="C3" i="3"/>
  <c r="D16" i="15"/>
  <c r="D10" i="15"/>
  <c r="E10" i="15"/>
  <c r="K10" i="15"/>
  <c r="B1" i="15"/>
  <c r="E6" i="15"/>
  <c r="D6" i="15"/>
  <c r="K6" i="15"/>
  <c r="D14" i="15"/>
  <c r="C23" i="15"/>
  <c r="D23" i="15"/>
  <c r="I23" i="15"/>
  <c r="E15" i="15"/>
  <c r="D11" i="15"/>
  <c r="E20" i="15"/>
  <c r="K20" i="15"/>
  <c r="E8" i="15"/>
  <c r="E11" i="15"/>
  <c r="K11" i="15"/>
  <c r="E18" i="15"/>
  <c r="D18" i="15"/>
  <c r="K18" i="15"/>
  <c r="E21" i="15"/>
  <c r="C10" i="15"/>
  <c r="I10" i="15"/>
  <c r="E12" i="15"/>
  <c r="D12" i="15"/>
  <c r="K12" i="15"/>
  <c r="C22" i="15"/>
  <c r="D22" i="15"/>
  <c r="E22" i="15"/>
  <c r="F22" i="15"/>
  <c r="C18" i="15"/>
  <c r="L18" i="15"/>
  <c r="D1" i="15"/>
  <c r="D2" i="12"/>
  <c r="C6" i="15"/>
  <c r="E7" i="15"/>
  <c r="E9" i="15"/>
  <c r="D9" i="15"/>
  <c r="K9" i="15"/>
  <c r="C11" i="15"/>
  <c r="I11" i="15"/>
  <c r="D21" i="15"/>
  <c r="K22" i="15"/>
  <c r="C7" i="15"/>
  <c r="C12" i="15"/>
  <c r="F12" i="15"/>
  <c r="E14" i="15"/>
  <c r="K14" i="15"/>
  <c r="E19" i="15"/>
  <c r="D19" i="15"/>
  <c r="K19" i="15"/>
  <c r="C21" i="15"/>
  <c r="D7" i="15"/>
  <c r="K7" i="15"/>
  <c r="C14" i="15"/>
  <c r="J14" i="15"/>
  <c r="E13" i="15"/>
  <c r="D13" i="15"/>
  <c r="K13" i="15"/>
  <c r="E16" i="15"/>
  <c r="K16" i="15"/>
  <c r="C20" i="15"/>
  <c r="C19" i="15"/>
  <c r="K21" i="15"/>
  <c r="C13" i="15"/>
  <c r="J13" i="15"/>
  <c r="M8" i="13"/>
  <c r="Q8" i="13"/>
  <c r="M9" i="13"/>
  <c r="Q9" i="13"/>
  <c r="D1" i="18"/>
  <c r="N8" i="13"/>
  <c r="S8" i="13"/>
  <c r="D1" i="7"/>
  <c r="C2" i="11"/>
  <c r="D2" i="13"/>
  <c r="J4" i="12"/>
  <c r="D9" i="18"/>
  <c r="K23" i="15"/>
  <c r="E9" i="18"/>
  <c r="C9" i="18"/>
  <c r="Q20" i="17"/>
  <c r="AC40" i="17"/>
  <c r="AL26" i="17"/>
  <c r="AH20" i="17"/>
  <c r="AC20" i="17"/>
  <c r="AL25" i="17"/>
  <c r="AL34" i="17"/>
  <c r="L20" i="17"/>
  <c r="AQ20" i="17"/>
  <c r="AL13" i="17"/>
  <c r="AP20" i="17"/>
  <c r="G19" i="15"/>
  <c r="M20" i="17"/>
  <c r="G7" i="15"/>
  <c r="R40" i="17"/>
  <c r="Y20" i="17"/>
  <c r="AL18" i="17"/>
  <c r="AG20" i="17"/>
  <c r="AE20" i="17"/>
  <c r="V20" i="17"/>
  <c r="Z20" i="17"/>
  <c r="AO20" i="17"/>
  <c r="AH40" i="17"/>
  <c r="AA40" i="17"/>
  <c r="AB40" i="17"/>
  <c r="W20" i="17"/>
  <c r="AL19" i="17"/>
  <c r="G21" i="15"/>
  <c r="G22" i="15"/>
  <c r="K20" i="17"/>
  <c r="R20" i="17"/>
  <c r="AE40" i="17"/>
  <c r="G6" i="15"/>
  <c r="AL39" i="17"/>
  <c r="T40" i="17"/>
  <c r="AL31" i="17"/>
  <c r="M40" i="17"/>
  <c r="AD40" i="17"/>
  <c r="V40" i="17"/>
  <c r="AL33" i="17"/>
  <c r="U20" i="17"/>
  <c r="Z40" i="17"/>
  <c r="G14" i="15"/>
  <c r="AJ20" i="17"/>
  <c r="G23" i="15"/>
  <c r="P40" i="17"/>
  <c r="AL16" i="17"/>
  <c r="AF40" i="17"/>
  <c r="J20" i="17"/>
  <c r="AL23" i="17"/>
  <c r="W40" i="17"/>
  <c r="J40" i="17"/>
  <c r="G12" i="15"/>
  <c r="AK20" i="17"/>
  <c r="G13" i="15"/>
  <c r="AI20" i="17"/>
  <c r="AG40" i="17"/>
  <c r="S40" i="17"/>
  <c r="G8" i="15"/>
  <c r="AL15" i="17"/>
  <c r="AL27" i="17"/>
  <c r="AL22" i="17"/>
  <c r="AP40" i="17"/>
  <c r="AD20" i="17"/>
  <c r="L40" i="17"/>
  <c r="X40" i="17"/>
  <c r="G11" i="15"/>
  <c r="AL30" i="17"/>
  <c r="S20" i="17"/>
  <c r="AL29" i="17"/>
  <c r="O20" i="17"/>
  <c r="AB20" i="17"/>
  <c r="AF20" i="17"/>
  <c r="G18" i="15"/>
  <c r="AO40" i="17"/>
  <c r="AA20" i="17"/>
  <c r="AL28" i="17"/>
  <c r="AL32" i="17"/>
  <c r="X20" i="17"/>
  <c r="U40" i="17"/>
  <c r="G20" i="15"/>
  <c r="AL35" i="17"/>
  <c r="AI40" i="17"/>
  <c r="AL36" i="17"/>
  <c r="O40" i="17"/>
  <c r="N20" i="17"/>
  <c r="AL38" i="17"/>
  <c r="G10" i="15"/>
  <c r="AL37" i="17"/>
  <c r="AK40" i="17"/>
  <c r="AJ40" i="17"/>
  <c r="Y40" i="17"/>
  <c r="Q40" i="17"/>
  <c r="AQ40" i="17"/>
  <c r="T20" i="17"/>
  <c r="AL24" i="17"/>
  <c r="K40" i="17"/>
  <c r="N40" i="17"/>
  <c r="P20" i="17"/>
  <c r="AL17" i="17"/>
  <c r="G9" i="15"/>
  <c r="U109" i="13"/>
  <c r="U107" i="13"/>
  <c r="U103" i="13"/>
  <c r="U99" i="13"/>
  <c r="U97" i="13"/>
  <c r="U95" i="13"/>
  <c r="U87" i="13"/>
  <c r="U85" i="13"/>
  <c r="U83" i="13"/>
  <c r="U81" i="13"/>
  <c r="U79" i="13"/>
  <c r="U73" i="13"/>
  <c r="U71" i="13"/>
  <c r="U48" i="13"/>
  <c r="U34" i="13"/>
  <c r="U30" i="13"/>
  <c r="U27" i="13"/>
  <c r="U19" i="13"/>
  <c r="U41" i="13"/>
  <c r="U67" i="13"/>
  <c r="U37" i="13"/>
  <c r="U64" i="13"/>
  <c r="U86" i="13"/>
  <c r="U54" i="13"/>
  <c r="U59" i="13"/>
  <c r="U61" i="13"/>
  <c r="U63" i="13"/>
  <c r="U7" i="13"/>
  <c r="U50" i="13"/>
  <c r="U40" i="13"/>
  <c r="U15" i="13"/>
  <c r="U16" i="13"/>
  <c r="U28" i="13"/>
  <c r="U51" i="13"/>
  <c r="U66" i="13"/>
  <c r="U65" i="13"/>
  <c r="U60" i="13"/>
  <c r="U36" i="13"/>
  <c r="U13" i="13"/>
  <c r="U110" i="13"/>
  <c r="U108" i="13"/>
  <c r="U106" i="13"/>
  <c r="U104" i="13"/>
  <c r="U102" i="13"/>
  <c r="U100" i="13"/>
  <c r="U98" i="13"/>
  <c r="U96" i="13"/>
  <c r="U92" i="13"/>
  <c r="U90" i="13"/>
  <c r="U88" i="13"/>
  <c r="U84" i="13"/>
  <c r="U82" i="13"/>
  <c r="U80" i="13"/>
  <c r="U78" i="13"/>
  <c r="U76" i="13"/>
  <c r="U74" i="13"/>
  <c r="U72" i="13"/>
  <c r="U70" i="13"/>
  <c r="U52" i="13"/>
  <c r="U46" i="13"/>
  <c r="U31" i="13"/>
  <c r="U25" i="13"/>
  <c r="U23" i="13"/>
  <c r="U17" i="13"/>
  <c r="U11" i="13"/>
  <c r="U47" i="13"/>
  <c r="U20" i="13"/>
  <c r="U45" i="13"/>
  <c r="U56" i="13"/>
  <c r="U58" i="13"/>
  <c r="U62" i="13"/>
  <c r="U49" i="13"/>
  <c r="U55" i="13"/>
  <c r="U111" i="13"/>
  <c r="U105" i="13"/>
  <c r="U101" i="13"/>
  <c r="U93" i="13"/>
  <c r="U91" i="13"/>
  <c r="U89" i="13"/>
  <c r="U77" i="13"/>
  <c r="U75" i="13"/>
  <c r="U69" i="13"/>
  <c r="U24" i="13"/>
  <c r="U18" i="13"/>
  <c r="U68" i="13"/>
  <c r="U29" i="13"/>
  <c r="U39" i="13"/>
  <c r="U57" i="13"/>
  <c r="U33" i="13"/>
  <c r="U32" i="13"/>
  <c r="U12" i="13"/>
  <c r="U44" i="13"/>
  <c r="F23" i="15"/>
  <c r="H23" i="15"/>
  <c r="U21" i="13"/>
  <c r="N26" i="13"/>
  <c r="S26" i="13"/>
  <c r="U8" i="13"/>
  <c r="N9" i="13"/>
  <c r="S9" i="13"/>
  <c r="U9" i="13"/>
  <c r="N22" i="13"/>
  <c r="S22" i="13"/>
  <c r="M26" i="13"/>
  <c r="Q26" i="13"/>
  <c r="M22" i="13"/>
  <c r="Q22" i="13"/>
  <c r="D15" i="15"/>
  <c r="K15" i="15"/>
  <c r="J2" i="11"/>
  <c r="J20" i="15"/>
  <c r="L21" i="15"/>
  <c r="J7" i="15"/>
  <c r="J22" i="15"/>
  <c r="U38" i="13"/>
  <c r="U35" i="13"/>
  <c r="K8" i="15"/>
  <c r="F19" i="15"/>
  <c r="H19" i="15"/>
  <c r="F6" i="15"/>
  <c r="H6" i="15"/>
  <c r="J23" i="15"/>
  <c r="F10" i="15"/>
  <c r="H10" i="15"/>
  <c r="L12" i="15"/>
  <c r="J12" i="15"/>
  <c r="J6" i="15"/>
  <c r="F11" i="15"/>
  <c r="H11" i="15"/>
  <c r="J10" i="15"/>
  <c r="L10" i="15"/>
  <c r="I18" i="15"/>
  <c r="I14" i="15"/>
  <c r="J11" i="15"/>
  <c r="L11" i="15"/>
  <c r="L14" i="15"/>
  <c r="L19" i="15"/>
  <c r="L23" i="15"/>
  <c r="J19" i="15"/>
  <c r="I19" i="15"/>
  <c r="I22" i="15"/>
  <c r="I21" i="15"/>
  <c r="I20" i="15"/>
  <c r="J18" i="15"/>
  <c r="F20" i="15"/>
  <c r="H20" i="15"/>
  <c r="F18" i="15"/>
  <c r="H18" i="15"/>
  <c r="L20" i="15"/>
  <c r="I7" i="15"/>
  <c r="I12" i="15"/>
  <c r="F21" i="15"/>
  <c r="H21" i="15"/>
  <c r="L6" i="15"/>
  <c r="L13" i="15"/>
  <c r="L22" i="15"/>
  <c r="I6" i="15"/>
  <c r="J21" i="15"/>
  <c r="F7" i="15"/>
  <c r="H7" i="15"/>
  <c r="L7" i="15"/>
  <c r="F13" i="15"/>
  <c r="H13" i="15"/>
  <c r="I13" i="15"/>
  <c r="F14" i="15"/>
  <c r="H14" i="15"/>
  <c r="AM33" i="17"/>
  <c r="AC41" i="17"/>
  <c r="AD41" i="17"/>
  <c r="AM22" i="17"/>
  <c r="Z41" i="17"/>
  <c r="AM28" i="17"/>
  <c r="AM18" i="17"/>
  <c r="H12" i="15"/>
  <c r="W41" i="17"/>
  <c r="AJ41" i="17"/>
  <c r="X41" i="17"/>
  <c r="AM24" i="17"/>
  <c r="AM17" i="17"/>
  <c r="K41" i="17"/>
  <c r="AM31" i="17"/>
  <c r="M41" i="17"/>
  <c r="P41" i="17"/>
  <c r="AO41" i="17"/>
  <c r="AM29" i="17"/>
  <c r="AA41" i="17"/>
  <c r="J41" i="17"/>
  <c r="AK41" i="17"/>
  <c r="H22" i="15"/>
  <c r="AQ41" i="17"/>
  <c r="AM36" i="17"/>
  <c r="U41" i="17"/>
  <c r="N41" i="17"/>
  <c r="AM25" i="17"/>
  <c r="AM15" i="17"/>
  <c r="AM23" i="17"/>
  <c r="AB41" i="17"/>
  <c r="O41" i="17"/>
  <c r="AM37" i="17"/>
  <c r="AM13" i="17"/>
  <c r="AM39" i="17"/>
  <c r="AM38" i="17"/>
  <c r="AM26" i="17"/>
  <c r="V41" i="17"/>
  <c r="AM34" i="17"/>
  <c r="AP41" i="17"/>
  <c r="AM16" i="17"/>
  <c r="AG41" i="17"/>
  <c r="L41" i="17"/>
  <c r="T41" i="17"/>
  <c r="AM19" i="17"/>
  <c r="AM30" i="17"/>
  <c r="AM32" i="17"/>
  <c r="AE41" i="17"/>
  <c r="AM35" i="17"/>
  <c r="AH41" i="17"/>
  <c r="AM27" i="17"/>
  <c r="R41" i="17"/>
  <c r="AI41" i="17"/>
  <c r="Q41" i="17"/>
  <c r="S41" i="17"/>
  <c r="Y41" i="17"/>
  <c r="AF41" i="17"/>
  <c r="AL40" i="17"/>
  <c r="AL20" i="17"/>
  <c r="G17" i="15"/>
  <c r="G16" i="15"/>
  <c r="G15" i="15"/>
  <c r="C9" i="15"/>
  <c r="J9" i="15"/>
  <c r="C17" i="15"/>
  <c r="F17" i="15"/>
  <c r="H17" i="15"/>
  <c r="C8" i="15"/>
  <c r="L8" i="15"/>
  <c r="E11" i="18"/>
  <c r="C11" i="18"/>
  <c r="D11" i="18"/>
  <c r="U22" i="13"/>
  <c r="R4" i="13"/>
  <c r="D5" i="18"/>
  <c r="C16" i="15"/>
  <c r="F16" i="15"/>
  <c r="H16" i="15"/>
  <c r="AL41" i="17"/>
  <c r="C20" i="18"/>
  <c r="F9" i="15"/>
  <c r="H9" i="15"/>
  <c r="U26" i="13"/>
  <c r="P4" i="13"/>
  <c r="C5" i="18"/>
  <c r="E7" i="18"/>
  <c r="C7" i="18"/>
  <c r="D7" i="18"/>
  <c r="L9" i="15"/>
  <c r="I9" i="15"/>
  <c r="F8" i="15"/>
  <c r="H8" i="15"/>
  <c r="J8" i="15"/>
  <c r="I8" i="15"/>
  <c r="I17" i="15"/>
  <c r="L17" i="15"/>
  <c r="J17" i="15"/>
  <c r="D13" i="18"/>
  <c r="D14" i="18"/>
  <c r="C13" i="18"/>
  <c r="C14" i="18"/>
  <c r="J16" i="15"/>
  <c r="I16" i="15"/>
  <c r="L16" i="15"/>
  <c r="C15" i="15"/>
  <c r="T4" i="13"/>
  <c r="J15" i="15"/>
  <c r="I15" i="15"/>
  <c r="L15" i="15"/>
  <c r="F15" i="15"/>
  <c r="H15" i="15"/>
  <c r="E5" i="18"/>
  <c r="E13" i="18"/>
  <c r="B2" i="4"/>
  <c r="L13" i="18"/>
  <c r="C19" i="18"/>
  <c r="C23" i="18"/>
  <c r="C24" i="18"/>
  <c r="I4" i="18"/>
  <c r="L8" i="18"/>
  <c r="L11" i="18"/>
  <c r="L6" i="18"/>
  <c r="E15" i="18"/>
  <c r="D15" i="18"/>
  <c r="E14" i="18"/>
  <c r="C15" i="18"/>
  <c r="G20" i="18"/>
  <c r="G24" i="18"/>
  <c r="G23" i="18"/>
  <c r="G22" i="18"/>
  <c r="G18" i="18"/>
  <c r="G21" i="18"/>
  <c r="G19" i="18"/>
</calcChain>
</file>

<file path=xl/comments1.xml><?xml version="1.0" encoding="utf-8"?>
<comments xmlns="http://schemas.openxmlformats.org/spreadsheetml/2006/main">
  <authors>
    <author>Benjamin Angel</author>
  </authors>
  <commentList>
    <comment ref="B3" authorId="0">
      <text>
        <r>
          <rPr>
            <sz val="8"/>
            <color indexed="81"/>
            <rFont val="Tahoma"/>
            <family val="2"/>
          </rPr>
          <t>This field drives the titles on other tabs.</t>
        </r>
      </text>
    </comment>
    <comment ref="B5" authorId="0">
      <text>
        <r>
          <rPr>
            <sz val="8"/>
            <color indexed="81"/>
            <rFont val="Tahoma"/>
            <family val="2"/>
          </rPr>
          <t>This field drives the titles on other tabs.</t>
        </r>
      </text>
    </comment>
    <comment ref="B8" authorId="0">
      <text>
        <r>
          <rPr>
            <sz val="8"/>
            <color indexed="81"/>
            <rFont val="Tahoma"/>
            <family val="2"/>
          </rPr>
          <t xml:space="preserve">Please enter your track (up to 21) in the existing table. You can add more tracks which will be available from the track dropdown on the tab 'Staffing Plan'. 
The limit for the 'LOE_Summary' however is 21. Please post a comment on https://vox.sapient.com/groups/estimation-tool-ongoing-releases?view=discussions in case you need support. </t>
        </r>
      </text>
    </comment>
  </commentList>
</comments>
</file>

<file path=xl/comments2.xml><?xml version="1.0" encoding="utf-8"?>
<comments xmlns="http://schemas.openxmlformats.org/spreadsheetml/2006/main">
  <authors>
    <author>Benjamin Angel</author>
    <author>WIN764BIT</author>
    <author>Sapient</author>
  </authors>
  <commentList>
    <comment ref="U4" authorId="0">
      <text>
        <r>
          <rPr>
            <sz val="8"/>
            <color indexed="81"/>
            <rFont val="Tahoma"/>
            <family val="2"/>
          </rPr>
          <t>This is the total WBS LOE that is used to calculate the total project LOE in the "Total LOE" tab.</t>
        </r>
      </text>
    </comment>
    <comment ref="C6" authorId="0">
      <text>
        <r>
          <rPr>
            <b/>
            <sz val="8"/>
            <color indexed="81"/>
            <rFont val="Tahoma"/>
            <family val="2"/>
          </rPr>
          <t xml:space="preserve">Required Field. </t>
        </r>
        <r>
          <rPr>
            <sz val="8"/>
            <color indexed="81"/>
            <rFont val="Tahoma"/>
            <family val="2"/>
          </rPr>
          <t xml:space="preserve">The category to which this story belongs, if any.
This field will be imported to JIRA into </t>
        </r>
        <r>
          <rPr>
            <b/>
            <sz val="8"/>
            <color indexed="81"/>
            <rFont val="Tahoma"/>
            <family val="2"/>
          </rPr>
          <t>'Labels'</t>
        </r>
      </text>
    </comment>
    <comment ref="D6" authorId="1">
      <text>
        <r>
          <rPr>
            <b/>
            <sz val="8"/>
            <color indexed="81"/>
            <rFont val="Tahoma"/>
            <family val="2"/>
          </rPr>
          <t>Optional Field</t>
        </r>
      </text>
    </comment>
    <comment ref="E6" authorId="1">
      <text>
        <r>
          <rPr>
            <b/>
            <sz val="8"/>
            <color indexed="81"/>
            <rFont val="Tahoma"/>
            <family val="2"/>
          </rPr>
          <t>Optional Field</t>
        </r>
      </text>
    </comment>
    <comment ref="F6" authorId="0">
      <text>
        <r>
          <rPr>
            <b/>
            <sz val="8"/>
            <color indexed="81"/>
            <rFont val="Tahoma"/>
            <family val="2"/>
          </rPr>
          <t>Optional Field</t>
        </r>
        <r>
          <rPr>
            <sz val="8"/>
            <color indexed="81"/>
            <rFont val="Tahoma"/>
            <family val="2"/>
          </rPr>
          <t xml:space="preserve">. If known, the Track that will deliver this story.
This field will be imported to JIRA into </t>
        </r>
        <r>
          <rPr>
            <b/>
            <sz val="8"/>
            <color indexed="81"/>
            <rFont val="Tahoma"/>
            <family val="2"/>
          </rPr>
          <t xml:space="preserve">'Components'.
</t>
        </r>
        <r>
          <rPr>
            <sz val="8"/>
            <color indexed="81"/>
            <rFont val="Tahoma"/>
            <family val="2"/>
          </rPr>
          <t>Will not be imported to JIRA, if components are not defined in the project</t>
        </r>
      </text>
    </comment>
    <comment ref="G6" authorId="0">
      <text>
        <r>
          <rPr>
            <b/>
            <sz val="8"/>
            <color indexed="81"/>
            <rFont val="Tahoma"/>
            <family val="2"/>
          </rPr>
          <t>Required Field.</t>
        </r>
        <r>
          <rPr>
            <sz val="8"/>
            <color indexed="81"/>
            <rFont val="Tahoma"/>
            <family val="2"/>
          </rPr>
          <t xml:space="preserve"> Stories that comprise the solution.
This field will be imported to JIRA into </t>
        </r>
        <r>
          <rPr>
            <b/>
            <sz val="8"/>
            <color indexed="81"/>
            <rFont val="Tahoma"/>
            <family val="2"/>
          </rPr>
          <t>'Summary'</t>
        </r>
      </text>
    </comment>
    <comment ref="H6" authorId="2">
      <text>
        <r>
          <rPr>
            <b/>
            <sz val="8"/>
            <color indexed="81"/>
            <rFont val="Tahoma"/>
            <family val="2"/>
          </rPr>
          <t xml:space="preserve">Optional </t>
        </r>
        <r>
          <rPr>
            <sz val="8"/>
            <color indexed="81"/>
            <rFont val="Tahoma"/>
            <family val="2"/>
          </rPr>
          <t xml:space="preserve">- If blank, story name will be used
This field will be imported to JIRA into </t>
        </r>
        <r>
          <rPr>
            <b/>
            <sz val="8"/>
            <color indexed="81"/>
            <rFont val="Tahoma"/>
            <family val="2"/>
          </rPr>
          <t>'Description'</t>
        </r>
      </text>
    </comment>
    <comment ref="I6" authorId="0">
      <text>
        <r>
          <rPr>
            <b/>
            <sz val="8"/>
            <color indexed="81"/>
            <rFont val="Tahoma"/>
            <family val="2"/>
          </rPr>
          <t>Recommended Field.</t>
        </r>
        <r>
          <rPr>
            <sz val="8"/>
            <color indexed="81"/>
            <rFont val="Tahoma"/>
            <family val="2"/>
          </rPr>
          <t xml:space="preserve"> A unique identifier for the requirement which this story helps to realize.
This is generally found in the Item # column of the Scope Matrix.
This field will be imported to JIRA into </t>
        </r>
        <r>
          <rPr>
            <b/>
            <sz val="8"/>
            <color indexed="81"/>
            <rFont val="Tahoma"/>
            <family val="2"/>
          </rPr>
          <t>'Scope Reference'</t>
        </r>
      </text>
    </comment>
    <comment ref="J6" authorId="0">
      <text>
        <r>
          <rPr>
            <b/>
            <sz val="8"/>
            <color indexed="81"/>
            <rFont val="Tahoma"/>
            <family val="2"/>
          </rPr>
          <t>Required Field</t>
        </r>
        <r>
          <rPr>
            <sz val="8"/>
            <color indexed="81"/>
            <rFont val="Tahoma"/>
            <family val="2"/>
          </rPr>
          <t xml:space="preserve">. Use this column to selectively remove items from the total estimates (while leaving them intact on this sheet). </t>
        </r>
      </text>
    </comment>
    <comment ref="K6" authorId="1">
      <text>
        <r>
          <rPr>
            <b/>
            <sz val="8"/>
            <color indexed="81"/>
            <rFont val="Tahoma"/>
            <family val="2"/>
          </rPr>
          <t>Optional Field</t>
        </r>
      </text>
    </comment>
    <comment ref="L6" authorId="0">
      <text>
        <r>
          <rPr>
            <b/>
            <sz val="8"/>
            <color indexed="81"/>
            <rFont val="Tahoma"/>
            <family val="2"/>
          </rPr>
          <t xml:space="preserve">Optional </t>
        </r>
        <r>
          <rPr>
            <sz val="8"/>
            <color indexed="81"/>
            <rFont val="Tahoma"/>
            <family val="2"/>
          </rPr>
          <t xml:space="preserve">- Select from a list of story types generated on the Story Types tabs
This field will be imported to JIRA into </t>
        </r>
        <r>
          <rPr>
            <b/>
            <sz val="8"/>
            <color indexed="81"/>
            <rFont val="Tahoma"/>
            <family val="2"/>
          </rPr>
          <t>'Labels'</t>
        </r>
      </text>
    </comment>
    <comment ref="M6" authorId="0">
      <text>
        <r>
          <rPr>
            <b/>
            <sz val="8"/>
            <color indexed="81"/>
            <rFont val="Tahoma"/>
            <family val="2"/>
          </rPr>
          <t>Required Field.</t>
        </r>
        <r>
          <rPr>
            <sz val="8"/>
            <color indexed="81"/>
            <rFont val="Tahoma"/>
            <family val="2"/>
          </rPr>
          <t xml:space="preserve"> The Aggressive But Possible (ABP) estimate for this story.
This is an estimate you expect to hit 50% of the time.</t>
        </r>
      </text>
    </comment>
    <comment ref="N6" authorId="0">
      <text>
        <r>
          <rPr>
            <b/>
            <sz val="8"/>
            <color indexed="81"/>
            <rFont val="Tahoma"/>
            <family val="2"/>
          </rPr>
          <t>Required Filed.</t>
        </r>
        <r>
          <rPr>
            <sz val="8"/>
            <color indexed="81"/>
            <rFont val="Tahoma"/>
            <family val="2"/>
          </rPr>
          <t xml:space="preserve"> The Highly Probable (HP) estimate for this story. 
This is an estimate you expect to hit &gt;90% of the time.</t>
        </r>
      </text>
    </comment>
    <comment ref="O6" authorId="0">
      <text>
        <r>
          <rPr>
            <b/>
            <sz val="8"/>
            <color indexed="81"/>
            <rFont val="Tahoma"/>
            <family val="2"/>
          </rPr>
          <t xml:space="preserve">Required Filed. </t>
        </r>
        <r>
          <rPr>
            <sz val="8"/>
            <color indexed="81"/>
            <rFont val="Tahoma"/>
            <family val="2"/>
          </rPr>
          <t>To be used only when you are estimating several 
stories that have the same ABP and HP.</t>
        </r>
      </text>
    </comment>
    <comment ref="P6" authorId="2">
      <text>
        <r>
          <rPr>
            <sz val="8"/>
            <color indexed="81"/>
            <rFont val="Tahoma"/>
            <family val="2"/>
          </rPr>
          <t>The yellow columns are intended as scratch areas. You may use them to create sub-totals or perform calculations of your own.</t>
        </r>
      </text>
    </comment>
    <comment ref="Q6" authorId="2">
      <text>
        <r>
          <rPr>
            <sz val="8"/>
            <color indexed="81"/>
            <rFont val="Tahoma"/>
            <family val="2"/>
          </rPr>
          <t xml:space="preserve">Calculated in Days
This field will be imported to JIRA into </t>
        </r>
        <r>
          <rPr>
            <b/>
            <sz val="8"/>
            <color indexed="81"/>
            <rFont val="Tahoma"/>
            <family val="2"/>
          </rPr>
          <t>'ABP'</t>
        </r>
      </text>
    </comment>
    <comment ref="R6" authorId="2">
      <text>
        <r>
          <rPr>
            <sz val="8"/>
            <color indexed="81"/>
            <rFont val="Tahoma"/>
            <family val="2"/>
          </rPr>
          <t xml:space="preserve">The yellow columns are intended as scratch areas. You may use them to create sub-totals or perform calculations of your own.
</t>
        </r>
      </text>
    </comment>
    <comment ref="S6" authorId="2">
      <text>
        <r>
          <rPr>
            <sz val="8"/>
            <color indexed="81"/>
            <rFont val="Tahoma"/>
            <family val="2"/>
          </rPr>
          <t xml:space="preserve">Calculated in Days 
This field will be imported to JIRA into </t>
        </r>
        <r>
          <rPr>
            <b/>
            <sz val="8"/>
            <color indexed="81"/>
            <rFont val="Tahoma"/>
            <family val="2"/>
          </rPr>
          <t>'HP'</t>
        </r>
      </text>
    </comment>
    <comment ref="T6" authorId="2">
      <text>
        <r>
          <rPr>
            <sz val="8"/>
            <color indexed="81"/>
            <rFont val="Tahoma"/>
            <family val="2"/>
          </rPr>
          <t xml:space="preserve">The yellow columns are intended as scratch areas. You may use them to create sub-totals or perform calculations of your own.
</t>
        </r>
      </text>
    </comment>
    <comment ref="U6" authorId="0">
      <text>
        <r>
          <rPr>
            <sz val="8"/>
            <color indexed="81"/>
            <rFont val="Tahoma"/>
            <family val="2"/>
          </rPr>
          <t>Calculated in Days. The average of the ABP and HP.
This field will be imported to JIRA into</t>
        </r>
        <r>
          <rPr>
            <b/>
            <sz val="8"/>
            <color indexed="81"/>
            <rFont val="Tahoma"/>
            <family val="2"/>
          </rPr>
          <t xml:space="preserve"> 'Original Estimate'</t>
        </r>
      </text>
    </comment>
    <comment ref="V6" authorId="2">
      <text>
        <r>
          <rPr>
            <b/>
            <sz val="8"/>
            <color indexed="81"/>
            <rFont val="Tahoma"/>
            <family val="2"/>
          </rPr>
          <t>Optional Field.</t>
        </r>
        <r>
          <rPr>
            <sz val="8"/>
            <color indexed="81"/>
            <rFont val="Tahoma"/>
            <family val="2"/>
          </rPr>
          <t xml:space="preserve">
</t>
        </r>
      </text>
    </comment>
  </commentList>
</comments>
</file>

<file path=xl/comments3.xml><?xml version="1.0" encoding="utf-8"?>
<comments xmlns="http://schemas.openxmlformats.org/spreadsheetml/2006/main">
  <authors>
    <author>Sapient</author>
    <author>Benjamin Angel</author>
  </authors>
  <commentList>
    <comment ref="AN11" authorId="0">
      <text>
        <r>
          <rPr>
            <b/>
            <sz val="8"/>
            <color indexed="81"/>
            <rFont val="Tahoma"/>
            <family val="2"/>
          </rPr>
          <t>Sapient:</t>
        </r>
        <r>
          <rPr>
            <sz val="8"/>
            <color indexed="81"/>
            <rFont val="Tahoma"/>
            <family val="2"/>
          </rPr>
          <t xml:space="preserve">
The fields marked with light green are for capturing additional details. Please note that these will not be uploaded to the DT</t>
        </r>
      </text>
    </comment>
    <comment ref="C14" authorId="1">
      <text>
        <r>
          <rPr>
            <sz val="8"/>
            <color indexed="81"/>
            <rFont val="Tahoma"/>
            <family val="2"/>
          </rPr>
          <t xml:space="preserve">Enter all oversight roles with associated percentage allocation (0-1) for each week of the project. </t>
        </r>
      </text>
    </comment>
  </commentList>
</comments>
</file>

<file path=xl/comments4.xml><?xml version="1.0" encoding="utf-8"?>
<comments xmlns="http://schemas.openxmlformats.org/spreadsheetml/2006/main">
  <authors>
    <author>Benjamin Angel</author>
    <author>spurus</author>
  </authors>
  <commentList>
    <comment ref="B4" authorId="0">
      <text>
        <r>
          <rPr>
            <sz val="8"/>
            <color indexed="81"/>
            <rFont val="Tahoma"/>
            <family val="2"/>
          </rPr>
          <t>The category to which this add-in belongs.</t>
        </r>
      </text>
    </comment>
    <comment ref="C4" authorId="1">
      <text>
        <r>
          <rPr>
            <sz val="8"/>
            <color indexed="81"/>
            <rFont val="Tahoma"/>
            <family val="2"/>
          </rPr>
          <t xml:space="preserve">The project phase to which this add-in belongs.
</t>
        </r>
      </text>
    </comment>
    <comment ref="D4" authorId="0">
      <text>
        <r>
          <rPr>
            <sz val="8"/>
            <color indexed="81"/>
            <rFont val="Tahoma"/>
            <family val="2"/>
          </rPr>
          <t>The project track to which this add-in belongs.</t>
        </r>
      </text>
    </comment>
    <comment ref="E4" authorId="1">
      <text>
        <r>
          <rPr>
            <sz val="8"/>
            <color indexed="81"/>
            <rFont val="Tahoma"/>
            <family val="2"/>
          </rPr>
          <t>The project release to which this add-in belongs.</t>
        </r>
      </text>
    </comment>
    <comment ref="F4" authorId="0">
      <text>
        <r>
          <rPr>
            <sz val="8"/>
            <color indexed="81"/>
            <rFont val="Tahoma"/>
            <family val="2"/>
          </rPr>
          <t>If appropriate, include sub-items (use tabs to indent, or add columns of you prefer)</t>
        </r>
      </text>
    </comment>
    <comment ref="G4" authorId="0">
      <text>
        <r>
          <rPr>
            <sz val="8"/>
            <color indexed="81"/>
            <rFont val="Tahoma"/>
            <family val="2"/>
          </rPr>
          <t>Enter the number of people on the team to account for.  If this field is left blank then a value of 1 is used to determine the LOE.</t>
        </r>
      </text>
    </comment>
    <comment ref="J4" authorId="0">
      <text>
        <r>
          <rPr>
            <sz val="8"/>
            <color indexed="81"/>
            <rFont val="Tahoma"/>
            <family val="2"/>
          </rPr>
          <t>Note that this will reflect the Total LOE including the team size.</t>
        </r>
      </text>
    </comment>
  </commentList>
</comments>
</file>

<file path=xl/comments5.xml><?xml version="1.0" encoding="utf-8"?>
<comments xmlns="http://schemas.openxmlformats.org/spreadsheetml/2006/main">
  <authors>
    <author>Benjamin Angel</author>
    <author>spurus</author>
  </authors>
  <commentList>
    <comment ref="B6" authorId="0">
      <text>
        <r>
          <rPr>
            <sz val="8"/>
            <color indexed="81"/>
            <rFont val="Tahoma"/>
            <family val="2"/>
          </rPr>
          <t>The category to which this risk belongs.</t>
        </r>
      </text>
    </comment>
    <comment ref="C6" authorId="1">
      <text>
        <r>
          <rPr>
            <sz val="8"/>
            <color indexed="81"/>
            <rFont val="Tahoma"/>
            <family val="2"/>
          </rPr>
          <t>The project phase to which this risk belongs.</t>
        </r>
      </text>
    </comment>
    <comment ref="D6" authorId="0">
      <text>
        <r>
          <rPr>
            <sz val="8"/>
            <color indexed="81"/>
            <rFont val="Tahoma"/>
            <family val="2"/>
          </rPr>
          <t>The project track to which this risk belongs.</t>
        </r>
      </text>
    </comment>
    <comment ref="E6" authorId="1">
      <text>
        <r>
          <rPr>
            <sz val="8"/>
            <color indexed="81"/>
            <rFont val="Tahoma"/>
            <family val="2"/>
          </rPr>
          <t>The project release to which this risk belongs.</t>
        </r>
      </text>
    </comment>
    <comment ref="G6" authorId="0">
      <text>
        <r>
          <rPr>
            <sz val="8"/>
            <color indexed="81"/>
            <rFont val="Tahoma"/>
            <family val="2"/>
          </rPr>
          <t>Enter the number of people on the team to account for.  If this field is left blank then a value of 1 is used in the Risk calculation.</t>
        </r>
      </text>
    </comment>
    <comment ref="H6" authorId="0">
      <text>
        <r>
          <rPr>
            <sz val="8"/>
            <color indexed="81"/>
            <rFont val="Tahoma"/>
            <family val="2"/>
          </rPr>
          <t>Enter a value in person days</t>
        </r>
      </text>
    </comment>
    <comment ref="I6" authorId="0">
      <text>
        <r>
          <rPr>
            <sz val="8"/>
            <color indexed="81"/>
            <rFont val="Tahoma"/>
            <family val="2"/>
          </rPr>
          <t>Chance of something happening</t>
        </r>
      </text>
    </comment>
  </commentList>
</comments>
</file>

<file path=xl/comments6.xml><?xml version="1.0" encoding="utf-8"?>
<comments xmlns="http://schemas.openxmlformats.org/spreadsheetml/2006/main">
  <authors>
    <author>WIN764BIT</author>
  </authors>
  <commentList>
    <comment ref="C3" authorId="0">
      <text>
        <r>
          <rPr>
            <sz val="8"/>
            <color indexed="81"/>
            <rFont val="Tahoma"/>
            <family val="2"/>
          </rPr>
          <t>On the selection of any header from the dropdown, the respective formulas will be changed accordingly</t>
        </r>
      </text>
    </comment>
  </commentList>
</comments>
</file>

<file path=xl/comments7.xml><?xml version="1.0" encoding="utf-8"?>
<comments xmlns="http://schemas.openxmlformats.org/spreadsheetml/2006/main">
  <authors>
    <author>Benjamin Angel</author>
  </authors>
  <commentList>
    <comment ref="B19" authorId="0">
      <text>
        <r>
          <rPr>
            <sz val="8"/>
            <color indexed="81"/>
            <rFont val="Tahoma"/>
            <family val="2"/>
          </rPr>
          <t>Sum of WBS, add-ins, objective risk and oversight LOE</t>
        </r>
      </text>
    </comment>
    <comment ref="B20" authorId="0">
      <text>
        <r>
          <rPr>
            <sz val="8"/>
            <color indexed="81"/>
            <rFont val="Tahoma"/>
            <family val="2"/>
          </rPr>
          <t>Based on staffing plan</t>
        </r>
      </text>
    </comment>
  </commentList>
</comments>
</file>

<file path=xl/comments8.xml><?xml version="1.0" encoding="utf-8"?>
<comments xmlns="http://schemas.openxmlformats.org/spreadsheetml/2006/main">
  <authors>
    <author>Benjamin Angel</author>
  </authors>
  <commentList>
    <comment ref="D1" authorId="0">
      <text>
        <r>
          <rPr>
            <sz val="8"/>
            <color indexed="81"/>
            <rFont val="Tahoma"/>
            <family val="2"/>
          </rPr>
          <t>based on named ranges to retrieve the column index</t>
        </r>
      </text>
    </comment>
  </commentList>
</comments>
</file>

<file path=xl/sharedStrings.xml><?xml version="1.0" encoding="utf-8"?>
<sst xmlns="http://schemas.openxmlformats.org/spreadsheetml/2006/main" count="6979" uniqueCount="1980">
  <si>
    <t>Introduction</t>
  </si>
  <si>
    <t>Instructions</t>
  </si>
  <si>
    <t>Tips</t>
  </si>
  <si>
    <t>System requirements</t>
  </si>
  <si>
    <t>Known problems</t>
  </si>
  <si>
    <t>This Estimation tool is one of many tools that you will use to estimate and plan your project. Other tools you will use are the Scope Matrix, Release plan, Staffing Plan (included as a tab in this tool), Deal Tool (a.k.a. pricing sheet) and the planning features of ResultSpace. Estimation and planning are intertwined activities. This tool is not intended as a guide to the process, but merely as an efficient, consistent capture tool. Included boilerplate content helps teams avoid forgetting commonly conducted activities.</t>
  </si>
  <si>
    <t>Help - Estimation Tool</t>
  </si>
  <si>
    <t>Project Overview</t>
  </si>
  <si>
    <t>Client / Project Name</t>
  </si>
  <si>
    <t>PID</t>
  </si>
  <si>
    <t>Scope Matrix Filename</t>
  </si>
  <si>
    <t>Delivery/Non-Delivery</t>
  </si>
  <si>
    <t>Delivery</t>
  </si>
  <si>
    <t>Non-Delivery</t>
  </si>
  <si>
    <t>list_delivery_types</t>
  </si>
  <si>
    <t>tool_version_check</t>
  </si>
  <si>
    <t>list_sa_phases</t>
  </si>
  <si>
    <t>None</t>
  </si>
  <si>
    <t>Tasks (Metrics)</t>
  </si>
  <si>
    <t>Tasks</t>
  </si>
  <si>
    <t>Story Type</t>
  </si>
  <si>
    <t>ABP</t>
  </si>
  <si>
    <t>HP</t>
  </si>
  <si>
    <t>Assumptions</t>
  </si>
  <si>
    <t>list_story_types</t>
  </si>
  <si>
    <t>Metrics</t>
  </si>
  <si>
    <t>S|A Phase</t>
  </si>
  <si>
    <t>Add-ins</t>
  </si>
  <si>
    <t>Category</t>
  </si>
  <si>
    <t>Track</t>
  </si>
  <si>
    <t>Team Size
Multiplier</t>
  </si>
  <si>
    <r>
      <t xml:space="preserve">Add-in Activities
</t>
    </r>
    <r>
      <rPr>
        <sz val="8"/>
        <color theme="1"/>
        <rFont val="Calibri"/>
        <family val="2"/>
        <scheme val="minor"/>
      </rPr>
      <t>Required</t>
    </r>
  </si>
  <si>
    <t>Description / Metrics</t>
  </si>
  <si>
    <r>
      <t xml:space="preserve">LOE
</t>
    </r>
    <r>
      <rPr>
        <sz val="8"/>
        <color theme="1"/>
        <rFont val="Calibri"/>
        <family val="2"/>
        <scheme val="minor"/>
      </rPr>
      <t>Required</t>
    </r>
  </si>
  <si>
    <t>Notes</t>
  </si>
  <si>
    <t>Total LOE
Impact</t>
  </si>
  <si>
    <t>Vacation</t>
  </si>
  <si>
    <t>Training</t>
  </si>
  <si>
    <t>Template Row - do not delete</t>
  </si>
  <si>
    <t>Objective Risks</t>
  </si>
  <si>
    <r>
      <t xml:space="preserve">Risk
</t>
    </r>
    <r>
      <rPr>
        <sz val="8"/>
        <color theme="1"/>
        <rFont val="Calibri"/>
        <family val="2"/>
        <scheme val="minor"/>
      </rPr>
      <t>Required</t>
    </r>
  </si>
  <si>
    <r>
      <t xml:space="preserve">Impact (Person Days)
</t>
    </r>
    <r>
      <rPr>
        <sz val="10"/>
        <color theme="1"/>
        <rFont val="Calibri"/>
        <family val="2"/>
        <scheme val="minor"/>
      </rPr>
      <t>Required</t>
    </r>
  </si>
  <si>
    <r>
      <t xml:space="preserve">Likelihood (%)
</t>
    </r>
    <r>
      <rPr>
        <sz val="10"/>
        <color theme="1"/>
        <rFont val="Calibri"/>
        <family val="2"/>
        <scheme val="minor"/>
      </rPr>
      <t>Required</t>
    </r>
  </si>
  <si>
    <r>
      <t xml:space="preserve">Risk Buffer
</t>
    </r>
    <r>
      <rPr>
        <sz val="10"/>
        <color theme="1"/>
        <rFont val="Calibri"/>
        <family val="2"/>
        <scheme val="minor"/>
      </rPr>
      <t>Calculated (Person Days)</t>
    </r>
  </si>
  <si>
    <r>
      <t xml:space="preserve">Risk explanation and mitigation plan
</t>
    </r>
    <r>
      <rPr>
        <sz val="10"/>
        <color theme="1"/>
        <rFont val="Calibri"/>
        <family val="2"/>
        <scheme val="minor"/>
      </rPr>
      <t>Required</t>
    </r>
  </si>
  <si>
    <t>Risk Impact</t>
  </si>
  <si>
    <t>Risk Buffer</t>
  </si>
  <si>
    <t>Team / People</t>
  </si>
  <si>
    <t>Operational</t>
  </si>
  <si>
    <t>Quality</t>
  </si>
  <si>
    <t>Project / Program Mgmt</t>
  </si>
  <si>
    <t>Commercial</t>
  </si>
  <si>
    <t>Platform</t>
  </si>
  <si>
    <t>Stakeholder</t>
  </si>
  <si>
    <t>list_risk_categories</t>
  </si>
  <si>
    <t>Stories</t>
  </si>
  <si>
    <t>!</t>
  </si>
  <si>
    <t>Story Name</t>
  </si>
  <si>
    <t>Scope Reference</t>
  </si>
  <si>
    <t>In</t>
  </si>
  <si>
    <t>Out</t>
  </si>
  <si>
    <t>Description</t>
  </si>
  <si>
    <t>In/Out</t>
  </si>
  <si>
    <t>Multiplier</t>
  </si>
  <si>
    <t>Buffered</t>
  </si>
  <si>
    <t>Total LOE in Days</t>
  </si>
  <si>
    <t>dsgfk lkj dsf</t>
  </si>
  <si>
    <t>Story LOE</t>
  </si>
  <si>
    <t>Add-in LOE</t>
  </si>
  <si>
    <t>Risk LOE</t>
  </si>
  <si>
    <t>Staffed LOE</t>
  </si>
  <si>
    <t>Balance</t>
  </si>
  <si>
    <t>Staffing Plan</t>
  </si>
  <si>
    <t>Project Start Date</t>
  </si>
  <si>
    <t>Project End Date</t>
  </si>
  <si>
    <t>Project Schedule</t>
  </si>
  <si>
    <t>Bill Rate Category</t>
  </si>
  <si>
    <t>India Off-shore</t>
  </si>
  <si>
    <t>Location</t>
  </si>
  <si>
    <t>Title</t>
  </si>
  <si>
    <t>Role</t>
  </si>
  <si>
    <t>Oversight Roles</t>
  </si>
  <si>
    <t>Weeks</t>
  </si>
  <si>
    <t>list_bill_rate_categories</t>
  </si>
  <si>
    <t>Local</t>
  </si>
  <si>
    <t>India On-shore</t>
  </si>
  <si>
    <t>Days</t>
  </si>
  <si>
    <t>Project Net Work</t>
  </si>
  <si>
    <t>Total Oversight Person Days</t>
  </si>
  <si>
    <t>Team Roles</t>
  </si>
  <si>
    <t>Total Team Person Days</t>
  </si>
  <si>
    <t>Grand Total  Person Days</t>
  </si>
  <si>
    <t>Fusion</t>
  </si>
  <si>
    <t>Executable Architecture Release</t>
  </si>
  <si>
    <t>Ongoing Releases</t>
  </si>
  <si>
    <t>Amsterdam</t>
  </si>
  <si>
    <t>Atlanta</t>
  </si>
  <si>
    <t>Boston</t>
  </si>
  <si>
    <t>Calgary</t>
  </si>
  <si>
    <t>Charleston</t>
  </si>
  <si>
    <t>Chicago</t>
  </si>
  <si>
    <t>Denver</t>
  </si>
  <si>
    <t>Detroit</t>
  </si>
  <si>
    <t>Dusseldorf</t>
  </si>
  <si>
    <t>Geneva</t>
  </si>
  <si>
    <t>Halifax</t>
  </si>
  <si>
    <t>Hong Kong</t>
  </si>
  <si>
    <t>Houston</t>
  </si>
  <si>
    <t>Kansas City</t>
  </si>
  <si>
    <t>London</t>
  </si>
  <si>
    <t>Los Angeles</t>
  </si>
  <si>
    <t>Miami</t>
  </si>
  <si>
    <t>Minneapolis</t>
  </si>
  <si>
    <t>Munich</t>
  </si>
  <si>
    <t>New York</t>
  </si>
  <si>
    <t>San Diego</t>
  </si>
  <si>
    <t>San Francisco</t>
  </si>
  <si>
    <t>Schaffhausen</t>
  </si>
  <si>
    <t>Singapore</t>
  </si>
  <si>
    <t>Stockholm</t>
  </si>
  <si>
    <t>Toronto</t>
  </si>
  <si>
    <t>Washington DC</t>
  </si>
  <si>
    <t>Zurich</t>
  </si>
  <si>
    <t>Gurgaon</t>
  </si>
  <si>
    <t>Gurgaon SEZ</t>
  </si>
  <si>
    <t>Bangalore</t>
  </si>
  <si>
    <t>NOIDA</t>
  </si>
  <si>
    <t>list_project_tracks</t>
  </si>
  <si>
    <t>list_offices</t>
  </si>
  <si>
    <t>## Local Offices ##</t>
  </si>
  <si>
    <t>## India Offices ##</t>
  </si>
  <si>
    <t>list_roles</t>
  </si>
  <si>
    <t>Account Director</t>
  </si>
  <si>
    <t>Account Executive</t>
  </si>
  <si>
    <t>Account Manager</t>
  </si>
  <si>
    <t>Art Director</t>
  </si>
  <si>
    <t>Associate Media Operations</t>
  </si>
  <si>
    <t>Benefits</t>
  </si>
  <si>
    <t>Business Analyst</t>
  </si>
  <si>
    <t>Client Executive</t>
  </si>
  <si>
    <t>Content Strategist</t>
  </si>
  <si>
    <t>Copywriter</t>
  </si>
  <si>
    <t>DBA - DB2 UDB</t>
  </si>
  <si>
    <t>DBA - MS SQL Server</t>
  </si>
  <si>
    <t>DBA - Oracle</t>
  </si>
  <si>
    <t>DBA - Sybase</t>
  </si>
  <si>
    <t>Designer</t>
  </si>
  <si>
    <t>Developer - BI</t>
  </si>
  <si>
    <t>Developer - C++</t>
  </si>
  <si>
    <t>Developer - ETL</t>
  </si>
  <si>
    <t>Developer - Java</t>
  </si>
  <si>
    <t>Developer - Java eCommerce</t>
  </si>
  <si>
    <t>Developer - PL/SQL</t>
  </si>
  <si>
    <t>Developer - T-SQL</t>
  </si>
  <si>
    <t>Director Interactive Development</t>
  </si>
  <si>
    <t>Engagement Lead</t>
  </si>
  <si>
    <t>Facilitator</t>
  </si>
  <si>
    <t>Finance</t>
  </si>
  <si>
    <t>Group Account Director</t>
  </si>
  <si>
    <t>Hiring</t>
  </si>
  <si>
    <t>Information Architect</t>
  </si>
  <si>
    <t>Infrastructure Analyst</t>
  </si>
  <si>
    <t>Legal</t>
  </si>
  <si>
    <t>Marketing</t>
  </si>
  <si>
    <t>Media Director</t>
  </si>
  <si>
    <t>Media Planner</t>
  </si>
  <si>
    <t>PMO Administrator</t>
  </si>
  <si>
    <t>PMO Lead</t>
  </si>
  <si>
    <t>People Strategist</t>
  </si>
  <si>
    <t>Program Manager</t>
  </si>
  <si>
    <t>Relationship Developer</t>
  </si>
  <si>
    <t>Search Analyst</t>
  </si>
  <si>
    <t>Search Director</t>
  </si>
  <si>
    <t>Search Manager</t>
  </si>
  <si>
    <t>Senior Associate Media Operations</t>
  </si>
  <si>
    <t>Senior Media Planner</t>
  </si>
  <si>
    <t>Senior Search Analyst</t>
  </si>
  <si>
    <t>Site Developer</t>
  </si>
  <si>
    <t>Specialist - Infrastructure</t>
  </si>
  <si>
    <t>Specialist DBA - DB2 UDB</t>
  </si>
  <si>
    <t>Specialist DBA - MS SQL Server</t>
  </si>
  <si>
    <t>Specialist DBA - Oracle</t>
  </si>
  <si>
    <t>Specialist DBA - Sybase</t>
  </si>
  <si>
    <t>Specialist Test Automation</t>
  </si>
  <si>
    <t>Staffing Strategist</t>
  </si>
  <si>
    <t>Test Analyst Product</t>
  </si>
  <si>
    <t>Test Delivery Manager</t>
  </si>
  <si>
    <t>Test Lead</t>
  </si>
  <si>
    <t>Tester</t>
  </si>
  <si>
    <t>Track Lead - Java</t>
  </si>
  <si>
    <t>list_titles</t>
  </si>
  <si>
    <t>Analyst TRM Process Solutions</t>
  </si>
  <si>
    <t>Associate Business Consulting</t>
  </si>
  <si>
    <t>Associate Business Consulting TRM</t>
  </si>
  <si>
    <t>Associate Creative Director Experience Design</t>
  </si>
  <si>
    <t>Associate Database L1</t>
  </si>
  <si>
    <t>Associate Database L2</t>
  </si>
  <si>
    <t>Associate Infrastructure L1</t>
  </si>
  <si>
    <t>Associate Infrastructure L2</t>
  </si>
  <si>
    <t>Associate Oracle L1</t>
  </si>
  <si>
    <t>Associate Oracle L2</t>
  </si>
  <si>
    <t>Associate Program Management</t>
  </si>
  <si>
    <t>Associate QA L1</t>
  </si>
  <si>
    <t>Associate QA L2</t>
  </si>
  <si>
    <t>Associate Technology L1</t>
  </si>
  <si>
    <t>Associate Technology L2</t>
  </si>
  <si>
    <t>Associate TRM L1</t>
  </si>
  <si>
    <t>Associate TRM L2</t>
  </si>
  <si>
    <t>Associate TRM Process Solutions</t>
  </si>
  <si>
    <t>Associate TRM Process Solutions L1</t>
  </si>
  <si>
    <t>Associate TRM Process Solutions L2</t>
  </si>
  <si>
    <t>Business Analyst TRM Process Solutions</t>
  </si>
  <si>
    <t>Consultant Infrastructure SAP L2</t>
  </si>
  <si>
    <t>Consultant SAP L1</t>
  </si>
  <si>
    <t>Consultant SAP L2</t>
  </si>
  <si>
    <t>Controller TRM Process Solutions</t>
  </si>
  <si>
    <t>Creative Director Experience Design</t>
  </si>
  <si>
    <t>Director Business Consulting</t>
  </si>
  <si>
    <t>Director Business Consulting TRM</t>
  </si>
  <si>
    <t>Director Business Operations</t>
  </si>
  <si>
    <t>Director Content Strategy</t>
  </si>
  <si>
    <t>Director Design</t>
  </si>
  <si>
    <t>Director General Management</t>
  </si>
  <si>
    <t>Director Program Management</t>
  </si>
  <si>
    <t>Director QA</t>
  </si>
  <si>
    <t>Director SAP</t>
  </si>
  <si>
    <t>Director Technology</t>
  </si>
  <si>
    <t>Director TRM</t>
  </si>
  <si>
    <t>Director TRM Process Solutions</t>
  </si>
  <si>
    <t>Divisional Controller TRM Process Solutions</t>
  </si>
  <si>
    <t>Executive Creative Director</t>
  </si>
  <si>
    <t>Expert Database</t>
  </si>
  <si>
    <t>Expert Oracle</t>
  </si>
  <si>
    <t>Expert Platform</t>
  </si>
  <si>
    <t>Expert SAP</t>
  </si>
  <si>
    <t>Head Financial Control TRM Process Solutions</t>
  </si>
  <si>
    <t>Junior Associate Program Management</t>
  </si>
  <si>
    <t>Junior Associate Technology</t>
  </si>
  <si>
    <t>Junior Controller TRM Process Solutions</t>
  </si>
  <si>
    <t>Manager Business Analyst TRM Process Solutions</t>
  </si>
  <si>
    <t>Manager Business Consulting</t>
  </si>
  <si>
    <t>Manager Business Consulting TRM</t>
  </si>
  <si>
    <t>Manager Design</t>
  </si>
  <si>
    <t>Manager Oracle</t>
  </si>
  <si>
    <t>Manager Program Management</t>
  </si>
  <si>
    <t>Manager QA</t>
  </si>
  <si>
    <t>Manager SAP</t>
  </si>
  <si>
    <t>Manager Technology</t>
  </si>
  <si>
    <t>Manager TRM</t>
  </si>
  <si>
    <t>Manager TRM Process Solutions</t>
  </si>
  <si>
    <t>Officer TRM Process Solutions</t>
  </si>
  <si>
    <t>Operations Lead TRM Process Solutions</t>
  </si>
  <si>
    <t>Operations Manager TRM Process Solutions</t>
  </si>
  <si>
    <t>Section Controller TRM Process Solutions</t>
  </si>
  <si>
    <t>Senior Associate Business Consulting</t>
  </si>
  <si>
    <t>Senior Associate Business Consulting TRM</t>
  </si>
  <si>
    <t>Senior Associate Database L1</t>
  </si>
  <si>
    <t>Senior Associate Database L2</t>
  </si>
  <si>
    <t>Senior Associate Infrastructure L1</t>
  </si>
  <si>
    <t>Senior Associate Infrastructure L2</t>
  </si>
  <si>
    <t>Senior Associate Oracle L1</t>
  </si>
  <si>
    <t>Senior Associate Oracle L2</t>
  </si>
  <si>
    <t>Senior Associate Platform L1</t>
  </si>
  <si>
    <t>Senior Associate Platform L2</t>
  </si>
  <si>
    <t>Senior Associate Program Management</t>
  </si>
  <si>
    <t>Senior Associate QA L1</t>
  </si>
  <si>
    <t>Senior Associate QA L2</t>
  </si>
  <si>
    <t>Senior Associate Technology L1</t>
  </si>
  <si>
    <t>Senior Associate Technology L2</t>
  </si>
  <si>
    <t>Senior Associate TRM L1</t>
  </si>
  <si>
    <t>Senior Associate TRM L2</t>
  </si>
  <si>
    <t>Senior Associate TRM Process Solutions</t>
  </si>
  <si>
    <t>Senior Associate TRM Process Solutions L1</t>
  </si>
  <si>
    <t>Senior Associate TRM Process Solutions L2</t>
  </si>
  <si>
    <t>Senior Business Analyst TRM Process Solutions</t>
  </si>
  <si>
    <t>Senior Consultant Infrastructure SAP L1</t>
  </si>
  <si>
    <t>Senior Consultant Infrastructure SAP L2</t>
  </si>
  <si>
    <t>Senior Consultant SAP L1</t>
  </si>
  <si>
    <t>Senior Consultant SAP L2</t>
  </si>
  <si>
    <t>Senior Controller TRM Process Solutions</t>
  </si>
  <si>
    <t>Senior Designer L1</t>
  </si>
  <si>
    <t>Senior Designer L2</t>
  </si>
  <si>
    <t>Senior Manager Business Consulting</t>
  </si>
  <si>
    <t>Senior Manager Business Consulting TRM</t>
  </si>
  <si>
    <t>Senior Manager Content Strategy</t>
  </si>
  <si>
    <t>Senior Manager Design</t>
  </si>
  <si>
    <t>Senior Manager Oracle</t>
  </si>
  <si>
    <t>Senior Manager Program Management</t>
  </si>
  <si>
    <t>Senior Manager QA</t>
  </si>
  <si>
    <t>Senior Manager SAP</t>
  </si>
  <si>
    <t>Senior Manager Technology</t>
  </si>
  <si>
    <t>Senior Manager TRM</t>
  </si>
  <si>
    <t>Senior Manager TRM Process Solutions</t>
  </si>
  <si>
    <t>Senior Officer TRM Process Solutions</t>
  </si>
  <si>
    <t>Senior Specialist Database</t>
  </si>
  <si>
    <t>Senior Specialist Infrastructure</t>
  </si>
  <si>
    <t>Senior Specialist Infrastructure SAP</t>
  </si>
  <si>
    <t>Senior Specialist Oracle</t>
  </si>
  <si>
    <t>Senior Specialist Platform</t>
  </si>
  <si>
    <t>Senior Specialist SAP</t>
  </si>
  <si>
    <t>Specialist Database</t>
  </si>
  <si>
    <t>Specialist Infrastructure</t>
  </si>
  <si>
    <t>Specialist Infrastructure SAP</t>
  </si>
  <si>
    <t>Specialist Oracle</t>
  </si>
  <si>
    <t>Specialist Platform</t>
  </si>
  <si>
    <t>Specialist SAP</t>
  </si>
  <si>
    <t>Sr Manager Business Analyst TRM Process Solutions</t>
  </si>
  <si>
    <t>Team Manager TRM Process Solutions</t>
  </si>
  <si>
    <t>Trainee QA</t>
  </si>
  <si>
    <t>Trainee Technology</t>
  </si>
  <si>
    <t>Vice President Business Consulting</t>
  </si>
  <si>
    <t>Vice President Business Consulting TRM</t>
  </si>
  <si>
    <t>Vice President General Management</t>
  </si>
  <si>
    <t>Vice President Program Management</t>
  </si>
  <si>
    <t>Vice President SAP</t>
  </si>
  <si>
    <t>Vice President Technology</t>
  </si>
  <si>
    <t>Vice President TRM Process Solutions</t>
  </si>
  <si>
    <t>VP Content Strategy</t>
  </si>
  <si>
    <t>VP Design</t>
  </si>
  <si>
    <t>VP Experience Design</t>
  </si>
  <si>
    <t>VP Interactive Development</t>
  </si>
  <si>
    <t>Account Coordinator</t>
  </si>
  <si>
    <t>Account Supervisor</t>
  </si>
  <si>
    <t>Art Director L1</t>
  </si>
  <si>
    <t>Art Director L2</t>
  </si>
  <si>
    <t>Associate Art Director L1</t>
  </si>
  <si>
    <t>Associate Art Director L2</t>
  </si>
  <si>
    <t>Assistant Media Planner</t>
  </si>
  <si>
    <t>Associate Copywriter</t>
  </si>
  <si>
    <t>Associate Creative Director</t>
  </si>
  <si>
    <t>Associate Creative Operations</t>
  </si>
  <si>
    <t>Associate Interactive Program Management</t>
  </si>
  <si>
    <t>Associate Marketing Strategy &amp; Analysis</t>
  </si>
  <si>
    <t>Associate Media Director</t>
  </si>
  <si>
    <t>Associate Producer</t>
  </si>
  <si>
    <t>Associate Production/Logistics L1</t>
  </si>
  <si>
    <t>Associate Production/Logistics L2</t>
  </si>
  <si>
    <t>Associate Search Director</t>
  </si>
  <si>
    <t>Copy writer</t>
  </si>
  <si>
    <t>Creative Director</t>
  </si>
  <si>
    <t>Designer L1</t>
  </si>
  <si>
    <t>Designer L2</t>
  </si>
  <si>
    <t>Director Creative Operations</t>
  </si>
  <si>
    <t>Director Marketing Strategy &amp; Analysis</t>
  </si>
  <si>
    <t>Director Producer</t>
  </si>
  <si>
    <t>Information Architect L1</t>
  </si>
  <si>
    <t>Information Architect L2</t>
  </si>
  <si>
    <t>Interactive Developer L1</t>
  </si>
  <si>
    <t>Interactive Developer L2</t>
  </si>
  <si>
    <t>Jr Associate Interactive Program Management</t>
  </si>
  <si>
    <t>Jr Associate Marketing Strategy &amp; Analysis</t>
  </si>
  <si>
    <t>Jr Copywriter</t>
  </si>
  <si>
    <t>Jr Designer</t>
  </si>
  <si>
    <t>Jr Information Architect</t>
  </si>
  <si>
    <t>Junior Art Director</t>
  </si>
  <si>
    <t>Junior Associate Creative Operations</t>
  </si>
  <si>
    <t>Junior Associate Producer</t>
  </si>
  <si>
    <t>Junior Associate Production/Logistics</t>
  </si>
  <si>
    <t>Junior Interactive Developer</t>
  </si>
  <si>
    <t>Manager Content Strategy</t>
  </si>
  <si>
    <t>Manager Creative Operations</t>
  </si>
  <si>
    <t>Manager Information Architect</t>
  </si>
  <si>
    <t>Manager Interactive Development</t>
  </si>
  <si>
    <t>Manager Interactive Program Management</t>
  </si>
  <si>
    <t>Manager Marketing Strategy &amp; Analysis</t>
  </si>
  <si>
    <t>Manager Producer</t>
  </si>
  <si>
    <t>Manager Production/Logistics</t>
  </si>
  <si>
    <t>Media Supervisor</t>
  </si>
  <si>
    <t>Senior Art Director</t>
  </si>
  <si>
    <t>Senior Associate Creative Operations</t>
  </si>
  <si>
    <t>Senior Associate Marketing Strategy &amp; Analysis</t>
  </si>
  <si>
    <t>Senior Associate Producer</t>
  </si>
  <si>
    <t>Senior Associate Production/Logistics L1</t>
  </si>
  <si>
    <t>Senior Associate Production/Logistics L2</t>
  </si>
  <si>
    <t>Senior Content Strategist</t>
  </si>
  <si>
    <t>Senior Information Architect L1</t>
  </si>
  <si>
    <t>Senior Information Architect L2</t>
  </si>
  <si>
    <t>Senior Interactive Developer L1</t>
  </si>
  <si>
    <t>Senior Interactive Developer L2</t>
  </si>
  <si>
    <t>Senior Manager Creative Operations</t>
  </si>
  <si>
    <t>Senior Manager Interactive Development</t>
  </si>
  <si>
    <t>Senior Manager Marketing Strategy &amp; Analysis</t>
  </si>
  <si>
    <t>Senior Manager Producer</t>
  </si>
  <si>
    <t>Senior Manager Production/Logistics</t>
  </si>
  <si>
    <t>Sr Associate Interactive Program Management</t>
  </si>
  <si>
    <t>Sr Copywriter</t>
  </si>
  <si>
    <t>Sr Manager Interactive Program Management</t>
  </si>
  <si>
    <t>VP Group Account Director</t>
  </si>
  <si>
    <t>VP Creative</t>
  </si>
  <si>
    <t>VP Marketing Strategy &amp; Analysis</t>
  </si>
  <si>
    <t>VP Media</t>
  </si>
  <si>
    <t>Associate Alliances</t>
  </si>
  <si>
    <t>Associate Business Operations</t>
  </si>
  <si>
    <t>Associate Executive Admin</t>
  </si>
  <si>
    <t>Associate Expansion</t>
  </si>
  <si>
    <t>Associate Finance</t>
  </si>
  <si>
    <t>Associate Financial Analyst</t>
  </si>
  <si>
    <t>Associate GPM</t>
  </si>
  <si>
    <t>Associate Hiring</t>
  </si>
  <si>
    <t>Associate Hiring Coordinator</t>
  </si>
  <si>
    <t>Associate IT</t>
  </si>
  <si>
    <t>Associate IT GS Global Support L1</t>
  </si>
  <si>
    <t>Associate IT GS Global Support L2</t>
  </si>
  <si>
    <t>Associate IT Local Support L1</t>
  </si>
  <si>
    <t>Associate IT Local Support L2</t>
  </si>
  <si>
    <t>Associate IT Operations L1</t>
  </si>
  <si>
    <t>Associate IT Operations L2</t>
  </si>
  <si>
    <t>Associate Learning &amp; Development</t>
  </si>
  <si>
    <t>Associate Legal</t>
  </si>
  <si>
    <t>Associate Marketing</t>
  </si>
  <si>
    <t>Associate Office Services</t>
  </si>
  <si>
    <t>Associate People Strategy</t>
  </si>
  <si>
    <t>Associate People Strategy Compensation</t>
  </si>
  <si>
    <t>Associate Staffing</t>
  </si>
  <si>
    <t>Chief Executive Officer</t>
  </si>
  <si>
    <t>Chief Financial Officer</t>
  </si>
  <si>
    <t>Chief Information Officer</t>
  </si>
  <si>
    <t>Consultant DBA Oracle Applications L2</t>
  </si>
  <si>
    <t>Consultant Oracle Applications L1</t>
  </si>
  <si>
    <t>Consultant Oracle Applications L2</t>
  </si>
  <si>
    <t>Director Alliances</t>
  </si>
  <si>
    <t>Director Business Development</t>
  </si>
  <si>
    <t>Director Finance</t>
  </si>
  <si>
    <t>Director Hiring</t>
  </si>
  <si>
    <t>Director IT</t>
  </si>
  <si>
    <t>Director Learning &amp; Development</t>
  </si>
  <si>
    <t>Director Legal</t>
  </si>
  <si>
    <t>Director Marketing</t>
  </si>
  <si>
    <t>Director Office Services</t>
  </si>
  <si>
    <t>Director Operations</t>
  </si>
  <si>
    <t>Director People Strategy</t>
  </si>
  <si>
    <t>Director People Strategy Compensation</t>
  </si>
  <si>
    <t>Director Risk Management</t>
  </si>
  <si>
    <t>Executive Vice President</t>
  </si>
  <si>
    <t>Junior Associate IT</t>
  </si>
  <si>
    <t>Manager Alliances</t>
  </si>
  <si>
    <t>Manager Business Operations</t>
  </si>
  <si>
    <t>Manager Expansion</t>
  </si>
  <si>
    <t>Manager Finance</t>
  </si>
  <si>
    <t>Manager GPM</t>
  </si>
  <si>
    <t>Manager Hiring</t>
  </si>
  <si>
    <t>Manager IT</t>
  </si>
  <si>
    <t>Manager Learning &amp; Development</t>
  </si>
  <si>
    <t>Manager Legal</t>
  </si>
  <si>
    <t>Manager Marketing</t>
  </si>
  <si>
    <t>Manager Office Services</t>
  </si>
  <si>
    <t>Manager Operations</t>
  </si>
  <si>
    <t>Manager People Strategy</t>
  </si>
  <si>
    <t>Manager People Strategy Benefits</t>
  </si>
  <si>
    <t>Manager People Strategy Expatriate</t>
  </si>
  <si>
    <t>Manager Staffing</t>
  </si>
  <si>
    <t>Management Trainee People Success</t>
  </si>
  <si>
    <t>Payroll Analyst Finance</t>
  </si>
  <si>
    <t>Senior Vice President</t>
  </si>
  <si>
    <t>Senior Vice President General Counsel</t>
  </si>
  <si>
    <t>Senior Associate Alliances</t>
  </si>
  <si>
    <t>Senior Associate Business Operations</t>
  </si>
  <si>
    <t>Senior Associate Executive Admin</t>
  </si>
  <si>
    <t>Senior Associate Finance</t>
  </si>
  <si>
    <t>Senior Associate GPM</t>
  </si>
  <si>
    <t>Senior Associate Hiring</t>
  </si>
  <si>
    <t>Senior Associate Hiring Coordinator</t>
  </si>
  <si>
    <t>Senior Associate IT</t>
  </si>
  <si>
    <t>Senior Associate IT GS Global Support L1</t>
  </si>
  <si>
    <t>Senior Associate IT Local Support L1</t>
  </si>
  <si>
    <t>Senior Associate IT Local Support L2</t>
  </si>
  <si>
    <t>Senior Associate IT Operations L1</t>
  </si>
  <si>
    <t>Senior Associate IT Operations L2</t>
  </si>
  <si>
    <t>Senior Associate Learning &amp; Development</t>
  </si>
  <si>
    <t>Senior Associate Legal</t>
  </si>
  <si>
    <t>Senior Associate Marketing</t>
  </si>
  <si>
    <t>Senior Associate Office Services</t>
  </si>
  <si>
    <t>Senior Associate People Strategy</t>
  </si>
  <si>
    <t>Senior Associate Staffing</t>
  </si>
  <si>
    <t>Senior Consultant Oracle Applications L1</t>
  </si>
  <si>
    <t>Senior Consultant Oracle Applications L2</t>
  </si>
  <si>
    <t>Senior Manager Alliances</t>
  </si>
  <si>
    <t>Senior Manager Business Development</t>
  </si>
  <si>
    <t>Senior Manager Business Operations</t>
  </si>
  <si>
    <t>Senior Manager Expansion</t>
  </si>
  <si>
    <t>Senior Manager Finance</t>
  </si>
  <si>
    <t>Senior Manager GPM</t>
  </si>
  <si>
    <t>Senior Manager Hiring</t>
  </si>
  <si>
    <t>Senior Manager IT</t>
  </si>
  <si>
    <t>Senior Manager Learning &amp; Development</t>
  </si>
  <si>
    <t>Senior Manager Legal</t>
  </si>
  <si>
    <t>Senior Manager Marketing</t>
  </si>
  <si>
    <t>Senior Manager Office Services</t>
  </si>
  <si>
    <t>Senior Manager People Strategy</t>
  </si>
  <si>
    <t>Senior Manager People Strategy Benefits</t>
  </si>
  <si>
    <t>Senior Manager People Strategy Compensation</t>
  </si>
  <si>
    <t>Senior Manager Staffing</t>
  </si>
  <si>
    <t>Senior Specialist Executive Admin</t>
  </si>
  <si>
    <t>Senior Specialist IT</t>
  </si>
  <si>
    <t>Senior Specialist DBA Oracle Applications</t>
  </si>
  <si>
    <t>Senior Specialist Oracle Applications</t>
  </si>
  <si>
    <t>Specialist DBA Oracle Applications</t>
  </si>
  <si>
    <t>Specialist Executive Admin</t>
  </si>
  <si>
    <t>Specialist IT</t>
  </si>
  <si>
    <t>Specialist Oracle Applications</t>
  </si>
  <si>
    <t>Vice President Alliances</t>
  </si>
  <si>
    <t>Vice President Business Development</t>
  </si>
  <si>
    <t>Vice President Finance</t>
  </si>
  <si>
    <t>Vice President Learning &amp; Development</t>
  </si>
  <si>
    <t>Vice President Legal</t>
  </si>
  <si>
    <t>Vice President Managing Director</t>
  </si>
  <si>
    <t>Vice President Marketing</t>
  </si>
  <si>
    <t>Vice President People Success</t>
  </si>
  <si>
    <t>Vice President People Strategy</t>
  </si>
  <si>
    <t>Vice President Risk Management</t>
  </si>
  <si>
    <t>## Sapient Internal ##</t>
  </si>
  <si>
    <t>## Delivery Titles ##</t>
  </si>
  <si>
    <t>Objective Risk</t>
  </si>
  <si>
    <t>Oversight</t>
  </si>
  <si>
    <t>Total LOE in Weeks</t>
  </si>
  <si>
    <t>% of Buffered LOE</t>
  </si>
  <si>
    <t>Staffing Reconciliation</t>
  </si>
  <si>
    <t>Total LOE</t>
  </si>
  <si>
    <t>Total Person Days</t>
  </si>
  <si>
    <t>total_loe</t>
  </si>
  <si>
    <t>Difference</t>
  </si>
  <si>
    <t>Percentage</t>
  </si>
  <si>
    <t>Expected LOE Summary</t>
  </si>
  <si>
    <t>Component</t>
  </si>
  <si>
    <t>LOE in Days</t>
  </si>
  <si>
    <t>+</t>
  </si>
  <si>
    <t>RS2</t>
  </si>
  <si>
    <t>Name</t>
  </si>
  <si>
    <t>RS3</t>
  </si>
  <si>
    <t>ID</t>
  </si>
  <si>
    <t>Summary</t>
  </si>
  <si>
    <t>Assigned To</t>
  </si>
  <si>
    <t>Release</t>
  </si>
  <si>
    <t>Iteration</t>
  </si>
  <si>
    <t>Version</t>
  </si>
  <si>
    <t>Export
To</t>
  </si>
  <si>
    <t>Export Column
Position</t>
  </si>
  <si>
    <t>Export Column
Name</t>
  </si>
  <si>
    <t>Sheet Column
Name</t>
  </si>
  <si>
    <t>JIRA</t>
  </si>
  <si>
    <t>Output
Format</t>
  </si>
  <si>
    <t>CSV</t>
  </si>
  <si>
    <t>XLS</t>
  </si>
  <si>
    <t>Output
Filename</t>
  </si>
  <si>
    <t>Story ID</t>
  </si>
  <si>
    <t>TEST</t>
  </si>
  <si>
    <t>In Out</t>
  </si>
  <si>
    <t>list_scope_count</t>
  </si>
  <si>
    <t>tool_version_date</t>
  </si>
  <si>
    <t>tool_vox_address</t>
  </si>
  <si>
    <t>tool_vox_address_title</t>
  </si>
  <si>
    <t>https://vox.sapient.com/groups/estimation-tool-ongoing-releases/</t>
  </si>
  <si>
    <t>BE</t>
  </si>
  <si>
    <t>Developer Mobile Solutions L1</t>
  </si>
  <si>
    <t>Developer Mobile Solutions L2</t>
  </si>
  <si>
    <t>Junior Developer Mobile Solutions</t>
  </si>
  <si>
    <t>Manager Mobile Solutions</t>
  </si>
  <si>
    <t>Senior Developer Mobile Solutions L1</t>
  </si>
  <si>
    <t>Senior Developer Mobile Solutions L2</t>
  </si>
  <si>
    <t>Senior Manager Mobile Solutions</t>
  </si>
  <si>
    <t>Senior Specialist Mobile Solutions</t>
  </si>
  <si>
    <t>Specialist Mobile Solutions</t>
  </si>
  <si>
    <t>Trainee Mobile Solutions</t>
  </si>
  <si>
    <t>Cologne</t>
  </si>
  <si>
    <t>APM</t>
  </si>
  <si>
    <t>Account Operations</t>
  </si>
  <si>
    <t>Analyst Brand Strategy</t>
  </si>
  <si>
    <t>Analyst Consumer &amp; Industry Research</t>
  </si>
  <si>
    <t>Analyst Experience Research</t>
  </si>
  <si>
    <t>Analyst Marketing Analytics</t>
  </si>
  <si>
    <t>Analyst Marketing Strategy</t>
  </si>
  <si>
    <t>Architect - BridgeTrack</t>
  </si>
  <si>
    <t>Architect - C++</t>
  </si>
  <si>
    <t>Architect - Java</t>
  </si>
  <si>
    <t>Architect - MSFT</t>
  </si>
  <si>
    <t>Assembler/Finisher</t>
  </si>
  <si>
    <t>Business Strategy Analyst</t>
  </si>
  <si>
    <t>Business Strategy Analyst - TRM</t>
  </si>
  <si>
    <t>Creative Director - Content Strategy</t>
  </si>
  <si>
    <t>Creative Director - Copy</t>
  </si>
  <si>
    <t>Creative Director - Design</t>
  </si>
  <si>
    <t>Creative Director - IA</t>
  </si>
  <si>
    <t>DBA - BridgeTrack</t>
  </si>
  <si>
    <t>DBA - Oracle ERP</t>
  </si>
  <si>
    <t>Developer - AJAX</t>
  </si>
  <si>
    <t>Developer - BridgeTrack</t>
  </si>
  <si>
    <t>Developer - FLEX</t>
  </si>
  <si>
    <t>Developer - Flash</t>
  </si>
  <si>
    <t>Developer - Java CMS</t>
  </si>
  <si>
    <t>Developer - MSFT</t>
  </si>
  <si>
    <t>Developer - MSFT CMS</t>
  </si>
  <si>
    <t>Digital Printing Technician</t>
  </si>
  <si>
    <t>Director of Technology</t>
  </si>
  <si>
    <t>Engagement Lead - TRM Business Consulting</t>
  </si>
  <si>
    <t>Engagement Lead Brand Strategy</t>
  </si>
  <si>
    <t>Engagement Lead Experience Research</t>
  </si>
  <si>
    <t>Engagement Lead Marketing Analytics</t>
  </si>
  <si>
    <t>Engagement Lead Marketing Strategy</t>
  </si>
  <si>
    <t>Engagement Lead-Business Consulting</t>
  </si>
  <si>
    <t>Interactive Program Director</t>
  </si>
  <si>
    <t>Interactive Program Manager</t>
  </si>
  <si>
    <t>Interactive Project Manager</t>
  </si>
  <si>
    <t>Internal Assignment</t>
  </si>
  <si>
    <t>Junior Associate PM</t>
  </si>
  <si>
    <t>Lead Content Strategist</t>
  </si>
  <si>
    <t>Lead Copywriter</t>
  </si>
  <si>
    <t>Lead Designer</t>
  </si>
  <si>
    <t>Lead Facilitator</t>
  </si>
  <si>
    <t>Lead Information Architect</t>
  </si>
  <si>
    <t>Marketing Operations Lead</t>
  </si>
  <si>
    <t>Media Supervisor - Operations</t>
  </si>
  <si>
    <t>Media Supervisor - Planning</t>
  </si>
  <si>
    <t>Notetaker</t>
  </si>
  <si>
    <t>Ops</t>
  </si>
  <si>
    <t>Oracle Applications Specialist</t>
  </si>
  <si>
    <t>Oracle BI Consultant</t>
  </si>
  <si>
    <t>Oracle BI Manager</t>
  </si>
  <si>
    <t>Oracle ECM Consultant</t>
  </si>
  <si>
    <t>Oracle ECM Manager</t>
  </si>
  <si>
    <t>Oracle Engagement Manager</t>
  </si>
  <si>
    <t>Oracle Functional Consultant</t>
  </si>
  <si>
    <t>Oracle Functional Consultant Manager</t>
  </si>
  <si>
    <t>Oracle Middleware Consultant</t>
  </si>
  <si>
    <t>Oracle Middleware Manager</t>
  </si>
  <si>
    <t>Oracle Specialist BI</t>
  </si>
  <si>
    <t>Oracle Specialist ECM</t>
  </si>
  <si>
    <t>Oracle Specialist Middleware</t>
  </si>
  <si>
    <t>Oracle Sr. BI Consultant</t>
  </si>
  <si>
    <t>Oracle Sr. ECM Consultant</t>
  </si>
  <si>
    <t>Oracle Sr. Functional Consultant</t>
  </si>
  <si>
    <t>Oracle Sr. Middleware Consultant</t>
  </si>
  <si>
    <t>Oracle Sr. Technical Consultant</t>
  </si>
  <si>
    <t>Oracle Technical Consultant</t>
  </si>
  <si>
    <t>Oracle Technical Consultant Manager</t>
  </si>
  <si>
    <t>PM</t>
  </si>
  <si>
    <t>PMO Team Member</t>
  </si>
  <si>
    <t>Practitioner - TRM</t>
  </si>
  <si>
    <t>Print Manager</t>
  </si>
  <si>
    <t>Producer</t>
  </si>
  <si>
    <t>Production Director</t>
  </si>
  <si>
    <t>Production/Logistics Manager</t>
  </si>
  <si>
    <t>Project Lead Brand Strategy</t>
  </si>
  <si>
    <t>Project Lead Consumer &amp; Industry Research</t>
  </si>
  <si>
    <t>Project Lead Experience Research</t>
  </si>
  <si>
    <t>Project Lead Marketing Analytics</t>
  </si>
  <si>
    <t>Project Lead Marketing Strategy</t>
  </si>
  <si>
    <t>Proof Reader</t>
  </si>
  <si>
    <t>Relationship Manager</t>
  </si>
  <si>
    <t>Requirement Analyst - TRM</t>
  </si>
  <si>
    <t>Retail Merchandise Installer</t>
  </si>
  <si>
    <t>SAP ABAP Developer</t>
  </si>
  <si>
    <t>SAP ABAP Team Lead</t>
  </si>
  <si>
    <t>SAP BI ABAP Developer</t>
  </si>
  <si>
    <t>SAP BI Architect - Analytics</t>
  </si>
  <si>
    <t>SAP BI Architect - Data Warehouse</t>
  </si>
  <si>
    <t>SAP BI Consultant - Analytics</t>
  </si>
  <si>
    <t>SAP BI Consultant - MDM</t>
  </si>
  <si>
    <t>SAP BI Consultant - Portal</t>
  </si>
  <si>
    <t>SAP BI Developer - Extraction and Back End</t>
  </si>
  <si>
    <t>SAP BI Expert</t>
  </si>
  <si>
    <t>SAP BI Planning Consultant</t>
  </si>
  <si>
    <t>SAP BI Planning Consultant - BPC</t>
  </si>
  <si>
    <t>SAP BI Portal Architect</t>
  </si>
  <si>
    <t>SAP BI Project Manager</t>
  </si>
  <si>
    <t>SAP BI Reporting Developer - All</t>
  </si>
  <si>
    <t>SAP BI Strategic Consultant - Assessment</t>
  </si>
  <si>
    <t>SAP BI Team Lead</t>
  </si>
  <si>
    <t>SAP BI Technical Consultant - Assessment</t>
  </si>
  <si>
    <t>SAP Consolidations Consultant</t>
  </si>
  <si>
    <t>SAP Consultant - Archiving</t>
  </si>
  <si>
    <t>SAP Consultant - Workflow</t>
  </si>
  <si>
    <t>SAP Consultant - XI</t>
  </si>
  <si>
    <t>SAP Engagement Manager</t>
  </si>
  <si>
    <t>SAP Functional Consultant</t>
  </si>
  <si>
    <t>SAP Functional Team Lead</t>
  </si>
  <si>
    <t>SAP Infra Consultant - Basis and Security</t>
  </si>
  <si>
    <t>SAP Project Manager</t>
  </si>
  <si>
    <t>SAP Sr ABAP Developer</t>
  </si>
  <si>
    <t>SAP Sr BI Consultant - MDM</t>
  </si>
  <si>
    <t>SAP Sr BI Planning Consultant</t>
  </si>
  <si>
    <t>SAP Sr BI Planning Consultant - BPC</t>
  </si>
  <si>
    <t>SAP Sr Consolidations Consultant</t>
  </si>
  <si>
    <t>SAP Sr Functional Consultant</t>
  </si>
  <si>
    <t>SAP Sr Infra Consultant - Basis and Security</t>
  </si>
  <si>
    <t>SAP Technical Team Lead</t>
  </si>
  <si>
    <t>Senior Business Analyst</t>
  </si>
  <si>
    <t>Senior Business Strategy Analyst</t>
  </si>
  <si>
    <t>Senior Business Strategy Analyst - TRM</t>
  </si>
  <si>
    <t>Senior DBA - BridgeTrack</t>
  </si>
  <si>
    <t>Senior DBA - DB2 UDB</t>
  </si>
  <si>
    <t>Senior DBA - MS SQL Server</t>
  </si>
  <si>
    <t>Senior DBA - Oracle</t>
  </si>
  <si>
    <t>Senior DBA - Oracle ERP</t>
  </si>
  <si>
    <t>Senior DBA - Sybase</t>
  </si>
  <si>
    <t>Senior Developer - BI</t>
  </si>
  <si>
    <t>Senior Developer - BridgeTrack</t>
  </si>
  <si>
    <t>Senior Developer - C++ Platform</t>
  </si>
  <si>
    <t>Senior Developer - ETL</t>
  </si>
  <si>
    <t>Senior Developer - Java</t>
  </si>
  <si>
    <t>Senior Developer - Java CMS</t>
  </si>
  <si>
    <t>Senior Developer - Java Platform</t>
  </si>
  <si>
    <t>Senior Developer - Java eCommerce</t>
  </si>
  <si>
    <t>Senior Developer - MSFT</t>
  </si>
  <si>
    <t>Senior Developer - MSFT CMS</t>
  </si>
  <si>
    <t>Senior Developer - MSFT Platform</t>
  </si>
  <si>
    <t>Senior Developer - PL/SQL</t>
  </si>
  <si>
    <t>Senior Developer - T-SQL</t>
  </si>
  <si>
    <t>Senior Infrastructure Analyst</t>
  </si>
  <si>
    <t>Senior Practitioner - TRM</t>
  </si>
  <si>
    <t>Senior Producer</t>
  </si>
  <si>
    <t>Senior Requirement Analyst - TRM</t>
  </si>
  <si>
    <t>Senior Specialist Test Automation</t>
  </si>
  <si>
    <t>Senior Specialist Test Performance</t>
  </si>
  <si>
    <t>Senior Specialist Test Product</t>
  </si>
  <si>
    <t>Senior Technical Strategist</t>
  </si>
  <si>
    <t>Senior Technical Strategist - TRM</t>
  </si>
  <si>
    <t>Senior Test Delivery Manager</t>
  </si>
  <si>
    <t>Shipping Clerk</t>
  </si>
  <si>
    <t>Specialist - C++</t>
  </si>
  <si>
    <t>Specialist - Data Integration</t>
  </si>
  <si>
    <t>Specialist - Java</t>
  </si>
  <si>
    <t>Specialist - Java CMS</t>
  </si>
  <si>
    <t>Specialist - Java eCommerce</t>
  </si>
  <si>
    <t>Specialist - MSFT</t>
  </si>
  <si>
    <t>Specialist - MSFT CMS</t>
  </si>
  <si>
    <t>Specialist BI/DW</t>
  </si>
  <si>
    <t>Specialist DBA - BridgeTrack</t>
  </si>
  <si>
    <t>Specialist DBA - Oracle ERP</t>
  </si>
  <si>
    <t>Specialist Test Performance</t>
  </si>
  <si>
    <t>Specialist Test Product</t>
  </si>
  <si>
    <t>Studio Manager</t>
  </si>
  <si>
    <t>Support Specialist</t>
  </si>
  <si>
    <t>TRM - Collateral</t>
  </si>
  <si>
    <t>TRM - Legal</t>
  </si>
  <si>
    <t>TRM - Loans</t>
  </si>
  <si>
    <t>TRM Commodities - Confirmations</t>
  </si>
  <si>
    <t>TRM Commodities - Middle Office</t>
  </si>
  <si>
    <t>TRM Commodities - Settlements</t>
  </si>
  <si>
    <t>TRM Credit - Confirmations</t>
  </si>
  <si>
    <t>TRM Credit - Middle Office</t>
  </si>
  <si>
    <t>TRM Credit - Settlements</t>
  </si>
  <si>
    <t>TRM Developer - ETRM Package</t>
  </si>
  <si>
    <t>TRM Developer - Financial Package</t>
  </si>
  <si>
    <t>TRM Developer - Java</t>
  </si>
  <si>
    <t>TRM Developer - MSFT</t>
  </si>
  <si>
    <t>TRM Equities - Confirmations</t>
  </si>
  <si>
    <t>TRM Equities - Middle Office</t>
  </si>
  <si>
    <t>TRM Equities - Settlements</t>
  </si>
  <si>
    <t>TRM FXO - Confirmations</t>
  </si>
  <si>
    <t>TRM FXO - Middle Office</t>
  </si>
  <si>
    <t>TRM FXO - Settlements</t>
  </si>
  <si>
    <t>TRM Interest Rates - Confirmations</t>
  </si>
  <si>
    <t>TRM Interest Rates - Middle Office</t>
  </si>
  <si>
    <t>TRM Interest Rates - Settlements</t>
  </si>
  <si>
    <t>TRM Process Solutions - Business Analyst</t>
  </si>
  <si>
    <t>TRM Process Solutions - Program Office Support</t>
  </si>
  <si>
    <t>TRM Process Solutions - Programme Manager</t>
  </si>
  <si>
    <t>TRM Process Solutions - Project Manager</t>
  </si>
  <si>
    <t>TRM Specialist - ETRM Package</t>
  </si>
  <si>
    <t>TRM Specialist - Financial Package</t>
  </si>
  <si>
    <t>TRM Systems Architect - Java</t>
  </si>
  <si>
    <t>TRM Systems Architect - MSFT</t>
  </si>
  <si>
    <t>Technical Strategist</t>
  </si>
  <si>
    <t>Test Analyst</t>
  </si>
  <si>
    <t>Test Analyst Automation</t>
  </si>
  <si>
    <t>Test Analyst Performance</t>
  </si>
  <si>
    <t>Test Delivery Director</t>
  </si>
  <si>
    <t>Test Lead Automation</t>
  </si>
  <si>
    <t>Test Lead Performance</t>
  </si>
  <si>
    <t>Test Lead Product</t>
  </si>
  <si>
    <t>Tester Product</t>
  </si>
  <si>
    <t>Track Lead - BridgeTrack</t>
  </si>
  <si>
    <t>Track Lead - Flash</t>
  </si>
  <si>
    <t>Track Lead - MSFT</t>
  </si>
  <si>
    <t>Track Lead - Site Development</t>
  </si>
  <si>
    <t>VP</t>
  </si>
  <si>
    <t>Expert Infrastructure</t>
  </si>
  <si>
    <t>Associate People Strategy Benefits</t>
  </si>
  <si>
    <t>Associate People Strategy Expatriate</t>
  </si>
  <si>
    <t>Director Expansion</t>
  </si>
  <si>
    <t>Director GPM</t>
  </si>
  <si>
    <t>Director Oracle</t>
  </si>
  <si>
    <t>Director Staffing</t>
  </si>
  <si>
    <t>Manager IT GS Global Support</t>
  </si>
  <si>
    <t>Manager Oracle Applications</t>
  </si>
  <si>
    <t>Manager People Strategy Compensation</t>
  </si>
  <si>
    <t>Senior Associate IT GS Global Support L2</t>
  </si>
  <si>
    <t>Senior Associate People Strategy Benefits</t>
  </si>
  <si>
    <t>Senior Associate People Strategy Compensation</t>
  </si>
  <si>
    <t>Senior Associate People Strategy Expatriate</t>
  </si>
  <si>
    <t>Senior Consultant DBA Oracle Applications L1</t>
  </si>
  <si>
    <t>Senior Consultant DBA Oracle Applications L2</t>
  </si>
  <si>
    <t>Senior Manager Operations</t>
  </si>
  <si>
    <t>Senior Manager Oracle Applications</t>
  </si>
  <si>
    <t>Senior Manager Risk Management</t>
  </si>
  <si>
    <t>Trainee IT</t>
  </si>
  <si>
    <t>Trainee IT GS Global Support</t>
  </si>
  <si>
    <t>Vice President Hiring</t>
  </si>
  <si>
    <t>Vice President IT</t>
  </si>
  <si>
    <t>Vice President Operations</t>
  </si>
  <si>
    <t>ABP Calc</t>
  </si>
  <si>
    <t>HP Calc</t>
  </si>
  <si>
    <t>Buffered Calc</t>
  </si>
  <si>
    <t>Additional Details</t>
  </si>
  <si>
    <t>Rate</t>
  </si>
  <si>
    <t>Cost</t>
  </si>
  <si>
    <t>Comments</t>
  </si>
  <si>
    <t>Total Team Cost</t>
  </si>
  <si>
    <t>Grand Total Cost</t>
  </si>
  <si>
    <t>Director Interactive Program Management</t>
  </si>
  <si>
    <t>Associate Information Security</t>
  </si>
  <si>
    <t>Chief Information Security Officer</t>
  </si>
  <si>
    <t>Director Information Security</t>
  </si>
  <si>
    <t>Manager Information Security</t>
  </si>
  <si>
    <t>Senior Associate Information Security</t>
  </si>
  <si>
    <t>Senior Manager Information Security</t>
  </si>
  <si>
    <t>How to use tabs</t>
  </si>
  <si>
    <t>Preliminary Name</t>
  </si>
  <si>
    <t>Hour Per Day</t>
  </si>
  <si>
    <t>Percent
Allocation</t>
  </si>
  <si>
    <t>Total FTE Days</t>
  </si>
  <si>
    <t>Total Risk LOE (Calculated)</t>
  </si>
  <si>
    <t>Total Add-in LOE in days (Calculated)</t>
  </si>
  <si>
    <t>TITTLE_NAME</t>
  </si>
  <si>
    <t>ROLE_NAME</t>
  </si>
  <si>
    <t>Art Director - Concept</t>
  </si>
  <si>
    <t>Art Director - Design</t>
  </si>
  <si>
    <t>Content Coordinator</t>
  </si>
  <si>
    <t>Copywriter - Concept</t>
  </si>
  <si>
    <t>Copywriter - Content CCC</t>
  </si>
  <si>
    <t>Copywriter - Content Marketing</t>
  </si>
  <si>
    <t>Designer - Production</t>
  </si>
  <si>
    <t>Information Architect - Experience Design</t>
  </si>
  <si>
    <t>Interaction Designer L1</t>
  </si>
  <si>
    <t>Interaction Designer L2</t>
  </si>
  <si>
    <t>Animator - 3D Maya</t>
  </si>
  <si>
    <t>Animator - Flash</t>
  </si>
  <si>
    <t>Interactive Developer - FLEX</t>
  </si>
  <si>
    <t>Interactive Developer - Flash</t>
  </si>
  <si>
    <t>Interactive Developer - HTML/CSS/JS</t>
  </si>
  <si>
    <t>Interactive Developer - Javascript SME</t>
  </si>
  <si>
    <t>Interactive Developer - PHP</t>
  </si>
  <si>
    <t>Search Planner</t>
  </si>
  <si>
    <t>Associate Creative Director - Experience Design</t>
  </si>
  <si>
    <t>BA-Automotive - Requirement Definition</t>
  </si>
  <si>
    <t>BA-Consumer Packaged Goods - Strategy</t>
  </si>
  <si>
    <t>BA-Consumer Packaged Goods-Requirement Definition</t>
  </si>
  <si>
    <t>BA-Healthcare - Requirement Definition</t>
  </si>
  <si>
    <t>BA-Media/Entertainment - Process/OCM</t>
  </si>
  <si>
    <t>BA-Media/Entertainment - Requirement Definition</t>
  </si>
  <si>
    <t>BA-Mobile - Requirement Definition</t>
  </si>
  <si>
    <t>BA-Technology - Requirement Definition</t>
  </si>
  <si>
    <t>BA-Travel - Requirement Definition</t>
  </si>
  <si>
    <t>Associate Creative Director - Copy</t>
  </si>
  <si>
    <t>Associate Creative Director - Design</t>
  </si>
  <si>
    <t>Associate Creative Director - IA</t>
  </si>
  <si>
    <t>DBA</t>
  </si>
  <si>
    <t>Infrastructure Analyst - CMS</t>
  </si>
  <si>
    <t>Infrastructure Analyst - Commerce</t>
  </si>
  <si>
    <t>APM - Interactive</t>
  </si>
  <si>
    <t>Analyst Consumer &amp; Industry Research - UX</t>
  </si>
  <si>
    <t>Analyst Consumer&amp;Industry Research-Social Insights</t>
  </si>
  <si>
    <t>Analyst Experience Research - Discovery</t>
  </si>
  <si>
    <t>Analyst Experience Research - Marketing Strategy</t>
  </si>
  <si>
    <t>Analyst Experience Research - UX Assessment</t>
  </si>
  <si>
    <t>Analyst Experience Research - User Testing</t>
  </si>
  <si>
    <t>Analyst Experience Research-Requirement Definition</t>
  </si>
  <si>
    <t>Editor - Video</t>
  </si>
  <si>
    <t>Developer - ASP/dotNet</t>
  </si>
  <si>
    <t>Developer - ATG</t>
  </si>
  <si>
    <t>Developer - Adobe CQ</t>
  </si>
  <si>
    <t>Developer - Core Java</t>
  </si>
  <si>
    <t>Developer - Demandware</t>
  </si>
  <si>
    <t>Developer - Documentum</t>
  </si>
  <si>
    <t>Developer - Drupal</t>
  </si>
  <si>
    <t>Developer - Endeca</t>
  </si>
  <si>
    <t>Developer - Fatwire</t>
  </si>
  <si>
    <t>Developer - Hybris</t>
  </si>
  <si>
    <t>Developer - Interwoven</t>
  </si>
  <si>
    <t>Developer - Jahia</t>
  </si>
  <si>
    <t>Developer - Java Portal Package</t>
  </si>
  <si>
    <t>Developer - Java Web Presentation Framework</t>
  </si>
  <si>
    <t>Developer - Jive</t>
  </si>
  <si>
    <t>Developer - Liferay</t>
  </si>
  <si>
    <t>Developer - MVC</t>
  </si>
  <si>
    <t>Developer - Sharepoint</t>
  </si>
  <si>
    <t>Developer - Silverlight</t>
  </si>
  <si>
    <t>Developer - TIBCO</t>
  </si>
  <si>
    <t>Developer - Tridion</t>
  </si>
  <si>
    <t>Developer - WCF</t>
  </si>
  <si>
    <t>Developer - WCS</t>
  </si>
  <si>
    <t>Developer - dotNet</t>
  </si>
  <si>
    <t>Developer - dotNet/Core C#</t>
  </si>
  <si>
    <t>Mobile App Developer</t>
  </si>
  <si>
    <t>Mobile Developer - Android</t>
  </si>
  <si>
    <t>Mobile Developer - C++</t>
  </si>
  <si>
    <t>Mobile Developer - IOS</t>
  </si>
  <si>
    <t>Mobile Developer - Java</t>
  </si>
  <si>
    <t>Creative Director - Experience Design</t>
  </si>
  <si>
    <t>Engagement Lead Business Consulting</t>
  </si>
  <si>
    <t>Engagement Lead Content Strategy</t>
  </si>
  <si>
    <t>Expert Test</t>
  </si>
  <si>
    <t>Specialist DBA</t>
  </si>
  <si>
    <t>Infrastructure Sales Specialist</t>
  </si>
  <si>
    <t>Specialist - Adobe CQ</t>
  </si>
  <si>
    <t>Junior Producer</t>
  </si>
  <si>
    <t>Junior Interaction Designer</t>
  </si>
  <si>
    <t>Lead Content Strategist - Adobe CQ</t>
  </si>
  <si>
    <t>Lead Information Architect - Experience Design</t>
  </si>
  <si>
    <t>Lead Information Architect - Experience Strategy</t>
  </si>
  <si>
    <t>Manager Interaction Designer</t>
  </si>
  <si>
    <t>Senior Designer</t>
  </si>
  <si>
    <t>Track Lead Interactive Development</t>
  </si>
  <si>
    <t>Lead Consumer &amp; Industry Research</t>
  </si>
  <si>
    <t>Lead Consumer &amp; Industry Research - UX</t>
  </si>
  <si>
    <t>Lead Consumer &amp; Industry Research-Social Insights</t>
  </si>
  <si>
    <t>Lead Experience Research - Discovery</t>
  </si>
  <si>
    <t>Lead Experience Research - Marketing Strategy</t>
  </si>
  <si>
    <t>Lead Experience Research - Requirements Definition</t>
  </si>
  <si>
    <t>Lead Experience Research - UX Strategy</t>
  </si>
  <si>
    <t>Lead Experience Research - User Testing</t>
  </si>
  <si>
    <t>Lead Marketing Analytics</t>
  </si>
  <si>
    <t>Lead Marketing Strategy</t>
  </si>
  <si>
    <t>Track Lead Mobile - Android</t>
  </si>
  <si>
    <t>Track Lead Mobile - IOS</t>
  </si>
  <si>
    <t>Production Artist - Illustrator</t>
  </si>
  <si>
    <t>Production Artist - Storyboard</t>
  </si>
  <si>
    <t>Specialist Test ATG</t>
  </si>
  <si>
    <t>Specialist Test Creative</t>
  </si>
  <si>
    <t>Specialist Test DayCQ</t>
  </si>
  <si>
    <t>Specialist Test Demandware</t>
  </si>
  <si>
    <t>Specialist Test Hybris</t>
  </si>
  <si>
    <t>Specialist Test Intervowen</t>
  </si>
  <si>
    <t>Specialist Test Mobile</t>
  </si>
  <si>
    <t>Specialist Test Security</t>
  </si>
  <si>
    <t>Specialist Test Tridion</t>
  </si>
  <si>
    <t>Specialist Test WCS</t>
  </si>
  <si>
    <t>Track Lead - Liferay</t>
  </si>
  <si>
    <t>Track Lead - MVC</t>
  </si>
  <si>
    <t>Track Lead - Silverlight</t>
  </si>
  <si>
    <t>Track Lead - TIBCO</t>
  </si>
  <si>
    <t>Track Lead - WCF</t>
  </si>
  <si>
    <t>Senior DBA</t>
  </si>
  <si>
    <t>Senior Infrastructure Analyst - CMS</t>
  </si>
  <si>
    <t>Senior Infrastructure Analyst - Commerce</t>
  </si>
  <si>
    <t>Infrastructure Sales Analyst</t>
  </si>
  <si>
    <t>Test Analyst ATG</t>
  </si>
  <si>
    <t>Test Analyst Creative</t>
  </si>
  <si>
    <t>Test Analyst DayCQ</t>
  </si>
  <si>
    <t>Test Analyst Demandware</t>
  </si>
  <si>
    <t>Test Analyst Hybris</t>
  </si>
  <si>
    <t>Test Analyst Intervowen</t>
  </si>
  <si>
    <t>Test Analyst Mobile</t>
  </si>
  <si>
    <t>Test Analyst Security</t>
  </si>
  <si>
    <t>Test Analyst Tridion</t>
  </si>
  <si>
    <t>Test Analyst WCS</t>
  </si>
  <si>
    <t>Test Lead ATG</t>
  </si>
  <si>
    <t>Test Lead Creative</t>
  </si>
  <si>
    <t>Test Lead DayCQ</t>
  </si>
  <si>
    <t>Test Lead Demandware</t>
  </si>
  <si>
    <t>Test Lead Hybris</t>
  </si>
  <si>
    <t>Test Lead Intervowen</t>
  </si>
  <si>
    <t>Test Lead Mobile</t>
  </si>
  <si>
    <t>Test Lead Security</t>
  </si>
  <si>
    <t>Test Lead Tridion</t>
  </si>
  <si>
    <t>Test Lead WCS</t>
  </si>
  <si>
    <t>Senior Developer - Android</t>
  </si>
  <si>
    <t>Senior Mobile Developer - Java</t>
  </si>
  <si>
    <t>Senior Developer - Drupal</t>
  </si>
  <si>
    <t>Senior Developer - Hybris</t>
  </si>
  <si>
    <t>Senior Developer - IOS</t>
  </si>
  <si>
    <t>Senior Developer - Interwoven</t>
  </si>
  <si>
    <t>Senior Developer - Jahia</t>
  </si>
  <si>
    <t>Senior Developer - Java Portal Package</t>
  </si>
  <si>
    <t>Senior Developer - Java Web Presentation Framework</t>
  </si>
  <si>
    <t>Senior Developer - Jive</t>
  </si>
  <si>
    <t>Senior Developer - Sharepoint</t>
  </si>
  <si>
    <t>Senior Developer - Tridion</t>
  </si>
  <si>
    <t>Senior Developer - WCS</t>
  </si>
  <si>
    <t>Senior Mobile App Developer</t>
  </si>
  <si>
    <t>Senior Mobile Developer - C++</t>
  </si>
  <si>
    <t>Assistant Project Manager</t>
  </si>
  <si>
    <t>Brand Strategist</t>
  </si>
  <si>
    <t>Change Mgmt Consultant</t>
  </si>
  <si>
    <t>Engagement Leader</t>
  </si>
  <si>
    <t>Prototyper</t>
  </si>
  <si>
    <t>Recorder</t>
  </si>
  <si>
    <t>SME</t>
  </si>
  <si>
    <t>Stage Manager</t>
  </si>
  <si>
    <t>Subject Matter Expert</t>
  </si>
  <si>
    <t>Workshop Coordinator</t>
  </si>
  <si>
    <t>Senior Specialist Test</t>
  </si>
  <si>
    <t>Architect - ASP/dotNet</t>
  </si>
  <si>
    <t>Architect - ATG</t>
  </si>
  <si>
    <t>Architect - Adobe CQ</t>
  </si>
  <si>
    <t>Architect - Core Java</t>
  </si>
  <si>
    <t>Architect - Demandware</t>
  </si>
  <si>
    <t>Architect - Documentum</t>
  </si>
  <si>
    <t>Architect - Drupal</t>
  </si>
  <si>
    <t>Architect - Endeca</t>
  </si>
  <si>
    <t>Architect - Fatwire</t>
  </si>
  <si>
    <t>Architect - Hybris</t>
  </si>
  <si>
    <t>Architect - Interwoven</t>
  </si>
  <si>
    <t>Architect - Jahia</t>
  </si>
  <si>
    <t>Architect - Java Portal Package</t>
  </si>
  <si>
    <t>Architect - Java Web Presentation Framework</t>
  </si>
  <si>
    <t>Architect - Jive</t>
  </si>
  <si>
    <t>Architect - Liferay</t>
  </si>
  <si>
    <t>Architect - MVC</t>
  </si>
  <si>
    <t>Architect - PHP</t>
  </si>
  <si>
    <t>Architect - Sharepoint</t>
  </si>
  <si>
    <t>Architect - Silverlight</t>
  </si>
  <si>
    <t>Architect - TIBCO</t>
  </si>
  <si>
    <t>Architect - Tridion</t>
  </si>
  <si>
    <t>Architect - WCF</t>
  </si>
  <si>
    <t>Architect - WCS</t>
  </si>
  <si>
    <t>Architect - dotNet</t>
  </si>
  <si>
    <t>Architect - dotNet/Core C#</t>
  </si>
  <si>
    <t>Senior Mobile Platform Specialist - Android</t>
  </si>
  <si>
    <t>Senior Mobile Platform Specialist - IOS</t>
  </si>
  <si>
    <t>Senior Interaction Designer L1</t>
  </si>
  <si>
    <t>Senior Interaction Designer L2</t>
  </si>
  <si>
    <t>Motion Graphic Artist - Adobe After Affects</t>
  </si>
  <si>
    <t>Senior Developer - PHP</t>
  </si>
  <si>
    <t>Mobile Platform Specialist - Android</t>
  </si>
  <si>
    <t>Mobile Platform Specialist - IOS</t>
  </si>
  <si>
    <t>Lead Copywriter - Concept</t>
  </si>
  <si>
    <t>Lead Copywriter - Content CCC</t>
  </si>
  <si>
    <t>Lead Copywriter - Content Marketing</t>
  </si>
  <si>
    <t>Executive Creative Director - Content Strategy</t>
  </si>
  <si>
    <t>VP - Content Strategy</t>
  </si>
  <si>
    <t>VP - Design</t>
  </si>
  <si>
    <t>Executive Creative Director - Design</t>
  </si>
  <si>
    <t>Executive Creative Director - Experience Design</t>
  </si>
  <si>
    <t>VP - Experience Design</t>
  </si>
  <si>
    <t>VP - Interactive Development</t>
  </si>
  <si>
    <t>VP - Marketing Strategy and Analytics</t>
  </si>
  <si>
    <t>VP - Media</t>
  </si>
  <si>
    <t>VP - Business Consulting</t>
  </si>
  <si>
    <t>VP - Program Management</t>
  </si>
  <si>
    <t>VP - Technology</t>
  </si>
  <si>
    <t>Production Support Analyst</t>
  </si>
  <si>
    <t>Production Support Engineer</t>
  </si>
  <si>
    <t>Production Support Manager</t>
  </si>
  <si>
    <t>Production Support Senior Analyst</t>
  </si>
  <si>
    <t>Production Support Senior Manager</t>
  </si>
  <si>
    <t>Production Support Team Lead</t>
  </si>
  <si>
    <t>Blank Column reference</t>
  </si>
  <si>
    <t>No Role(s) defined for selected Title - please select another Title</t>
  </si>
  <si>
    <t>Role Message Text</t>
  </si>
  <si>
    <t>IT Generic</t>
  </si>
  <si>
    <t>Prod Support Generic</t>
  </si>
  <si>
    <t>IT Internal Generic</t>
  </si>
  <si>
    <t>Alliances Generic</t>
  </si>
  <si>
    <t>BA-Automotive - Process/OCM</t>
  </si>
  <si>
    <t>BA-Automotive - Strategy</t>
  </si>
  <si>
    <t>BA-Consumer Packaged Goods - Process/OCM</t>
  </si>
  <si>
    <t>BA-Financial Services - Process/OCM</t>
  </si>
  <si>
    <t>BA-Financial Services - Requirement Definition</t>
  </si>
  <si>
    <t>BA-Financial Services - Strategy</t>
  </si>
  <si>
    <t>BA-Healthcare - Process/OCM</t>
  </si>
  <si>
    <t>BA-Healthcare - Strategy</t>
  </si>
  <si>
    <t>BA-Media/Entertainment - Strategy</t>
  </si>
  <si>
    <t>BA-Mobile - Process/OCM</t>
  </si>
  <si>
    <t>BA-Mobile - Strategy</t>
  </si>
  <si>
    <t>BA-Retail/eCommerce - Process/OCM</t>
  </si>
  <si>
    <t>BA-Retail/eCommerce - Requirement Definition</t>
  </si>
  <si>
    <t>BA-Retail/eCommerce - Strategy</t>
  </si>
  <si>
    <t>BA-Technology - Process/OCM</t>
  </si>
  <si>
    <t>BA-Technology - Strategy</t>
  </si>
  <si>
    <t>BA-Travel - Process/OCM</t>
  </si>
  <si>
    <t>BA-Travel - Strategy</t>
  </si>
  <si>
    <t>Executive Admin Generic</t>
  </si>
  <si>
    <t>Expansion Generic</t>
  </si>
  <si>
    <t>Finance Generic</t>
  </si>
  <si>
    <t>PS Generic</t>
  </si>
  <si>
    <t>Hiring Generic</t>
  </si>
  <si>
    <t>Infrastructure Analyst - B&amp;R</t>
  </si>
  <si>
    <t>Legal Generic</t>
  </si>
  <si>
    <t>Marketing Generic</t>
  </si>
  <si>
    <t>Office Services Generic</t>
  </si>
  <si>
    <t>Staffing Generic</t>
  </si>
  <si>
    <t>General Management Generic</t>
  </si>
  <si>
    <t>Business Development Generic</t>
  </si>
  <si>
    <t>Ops Generic</t>
  </si>
  <si>
    <t>Service Delivery Lead</t>
  </si>
  <si>
    <t>Risk Mgmt Generic</t>
  </si>
  <si>
    <t>Sr BA-Automotive - Process/OCM</t>
  </si>
  <si>
    <t>Sr BA-Automotive - Requirement Definition</t>
  </si>
  <si>
    <t>Sr BA-Automotive - Strategy</t>
  </si>
  <si>
    <t>Sr BA-CPG - Process/OCM</t>
  </si>
  <si>
    <t>Sr BA-CPG - Requirement Definition</t>
  </si>
  <si>
    <t>Sr BA-CPG - Strategy</t>
  </si>
  <si>
    <t>Sr BA-Financial Services - Process/OCM</t>
  </si>
  <si>
    <t>Sr BA-Financial Services - Requirement Definition</t>
  </si>
  <si>
    <t>Sr BA-Financial Services - Strategy</t>
  </si>
  <si>
    <t>Sr BA-Healthcare - Process/OCM</t>
  </si>
  <si>
    <t>Sr BA-Healthcare - Requirement Definition</t>
  </si>
  <si>
    <t>Sr BA-Healthcare - Strategy</t>
  </si>
  <si>
    <t>Sr BA-Media/Entertainment - Process/OCM</t>
  </si>
  <si>
    <t>Sr BA-Media/Entertainment - Requirement Definition</t>
  </si>
  <si>
    <t>Sr BA-Media/Entertainment - Strategy</t>
  </si>
  <si>
    <t>Sr BA-Mobile - Process/OCM</t>
  </si>
  <si>
    <t>Sr BA-Mobile - Requirement Definition</t>
  </si>
  <si>
    <t>Sr BA-Mobile - Strategy</t>
  </si>
  <si>
    <t>Sr BA-Retail/eCommerce - Process/OCM</t>
  </si>
  <si>
    <t>Sr BA-Retail/eCommerce - Requirement Definition</t>
  </si>
  <si>
    <t>Sr BA-Retail/eCommerce - Strategy</t>
  </si>
  <si>
    <t>Sr BA-Technology - Process/OCM</t>
  </si>
  <si>
    <t>Sr BA-Technology - Requirement Definition</t>
  </si>
  <si>
    <t>Sr BA-Technology - Strategy</t>
  </si>
  <si>
    <t>Sr BA-Travel - Process/OCM</t>
  </si>
  <si>
    <t>Sr BA-Travel - Requirement Definition</t>
  </si>
  <si>
    <t>Sr BA-Travel - Strategy</t>
  </si>
  <si>
    <t>Senior Infrastructure Analyst - B&amp;R</t>
  </si>
  <si>
    <t>Release Manager - B&amp;R</t>
  </si>
  <si>
    <t>Issue Type</t>
  </si>
  <si>
    <t>JiraIssueType</t>
  </si>
  <si>
    <t>Component 2</t>
  </si>
  <si>
    <t>Issue Summary</t>
  </si>
  <si>
    <t>Label1</t>
  </si>
  <si>
    <t xml:space="preserve"> ABP</t>
  </si>
  <si>
    <t xml:space="preserve"> HP</t>
  </si>
  <si>
    <t>Buffered Estimate</t>
  </si>
  <si>
    <t>Comment</t>
  </si>
  <si>
    <t>JiraLabel3</t>
  </si>
  <si>
    <t>Reporter</t>
  </si>
  <si>
    <t>Story</t>
  </si>
  <si>
    <t>Tracker</t>
  </si>
  <si>
    <t>RS3TrackerType</t>
  </si>
  <si>
    <t>ETC</t>
  </si>
  <si>
    <t>Actual</t>
  </si>
  <si>
    <t>Start Date</t>
  </si>
  <si>
    <t>End Date</t>
  </si>
  <si>
    <t>Acct Director</t>
  </si>
  <si>
    <t>Client Services Director</t>
  </si>
  <si>
    <t>Experience Designer L1</t>
  </si>
  <si>
    <t>Experience Designer L2</t>
  </si>
  <si>
    <t>Junior Associate Business Operations</t>
  </si>
  <si>
    <t>Junior Experience Designer</t>
  </si>
  <si>
    <t>Manager Experience Design</t>
  </si>
  <si>
    <t>Senior Account Director</t>
  </si>
  <si>
    <t>Senior Account Executive</t>
  </si>
  <si>
    <t>Senior Account Manager</t>
  </si>
  <si>
    <t>Senior Experience Designer L1</t>
  </si>
  <si>
    <t>Senior Experience Designer L2</t>
  </si>
  <si>
    <t>VP Client Services</t>
  </si>
  <si>
    <t>Community Manager</t>
  </si>
  <si>
    <t>Social Experience Strategist</t>
  </si>
  <si>
    <t>Developer - Sitecore</t>
  </si>
  <si>
    <t>Architect - ETL</t>
  </si>
  <si>
    <t>Architect - PL/SQL</t>
  </si>
  <si>
    <t>Architect - Sitecore</t>
  </si>
  <si>
    <t>Senior Developer - ATG</t>
  </si>
  <si>
    <t>Senior Developer - Adobe CQ</t>
  </si>
  <si>
    <t>Senior Developer - Demandware</t>
  </si>
  <si>
    <t>Senior Developer - Endeca</t>
  </si>
  <si>
    <t>Senior Developer - Liferay</t>
  </si>
  <si>
    <t>Senior Developer - MVC</t>
  </si>
  <si>
    <t>Senior Developer - Silverlight</t>
  </si>
  <si>
    <t>Senior Developer - Sitecore</t>
  </si>
  <si>
    <t>Track Lead - ATG</t>
  </si>
  <si>
    <t>Track Lead - Adobe CQ</t>
  </si>
  <si>
    <t>Track Lead - Demandware</t>
  </si>
  <si>
    <t>Track Lead - Drupal</t>
  </si>
  <si>
    <t>Track Lead - ETL</t>
  </si>
  <si>
    <t>Track Lead - Endeca</t>
  </si>
  <si>
    <t>Track Lead - Hybris</t>
  </si>
  <si>
    <t>Track Lead - Interwoven</t>
  </si>
  <si>
    <t>Track Lead - PL/SQL</t>
  </si>
  <si>
    <t>Track Lead - Sharepoint</t>
  </si>
  <si>
    <t>Track Lead - Sitecore</t>
  </si>
  <si>
    <t>Track Lead - Tridion</t>
  </si>
  <si>
    <t>Track Lead - WCS</t>
  </si>
  <si>
    <t xml:space="preserve">                             Total LOE in Days</t>
  </si>
  <si>
    <t>&lt;Enter filename of scope matrix&gt;</t>
  </si>
  <si>
    <t>1. The tool has not been tested on different locales (i.e. UK, Germany, India), which may cause some date format issues. For example for German users ensure that your PC is configured to use (.) as the decimal symbol and not (,).
2. There might be small cosmetic issues, please report them on the Vox group: 'Sapient Estimation Tool Help Forum'</t>
  </si>
  <si>
    <t>Phase</t>
  </si>
  <si>
    <t>list_Release</t>
  </si>
  <si>
    <t>list_Phase</t>
  </si>
  <si>
    <t>Sub Category</t>
  </si>
  <si>
    <t>Add in %</t>
  </si>
  <si>
    <t>Risk %</t>
  </si>
  <si>
    <t>Add In + Risk LOE</t>
  </si>
  <si>
    <t>(Add In + Risk LOE)%</t>
  </si>
  <si>
    <t>Grand Total</t>
  </si>
  <si>
    <t>Sum of Buffered</t>
  </si>
  <si>
    <t>Select Track/Phase/release from dropdown in cell B3</t>
  </si>
  <si>
    <t>Enter any Tracks,Phase and Release you will have on your project here:</t>
  </si>
  <si>
    <t>Select View</t>
  </si>
  <si>
    <t>Total</t>
  </si>
  <si>
    <t>destABPCol = destWBHandle.Sheets(mappingxlSheet).Cells(61, 3).Value</t>
  </si>
  <si>
    <t>destHPCol = destWBHandle.Sheets(mappingxlSheet).Cells(62, 3).Value</t>
  </si>
  <si>
    <t>destAssumptionsCol = destWBHandle.Sheets(mappingxlSheet).Cells(63, 3).Value</t>
  </si>
  <si>
    <t xml:space="preserve">    destCategory = destWBHandle.Sheets(mappingxlSheet).Cells(7, 3).Value</t>
  </si>
  <si>
    <t xml:space="preserve">    destHeaderRow = destWBHandle.Sheets(mappingxlSheet).Cells(7, 4).Value</t>
  </si>
  <si>
    <t xml:space="preserve">    destSubCat = destWBHandle.Sheets(mappingxlSheet).Cells(8, 3).Value</t>
  </si>
  <si>
    <t xml:space="preserve">    destPhase = destWBHandle.Sheets(mappingxlSheet).Cells(9, 3).Value</t>
  </si>
  <si>
    <t xml:space="preserve">    destTrack = destWBHandle.Sheets(mappingxlSheet).Cells(10, 3).Value</t>
  </si>
  <si>
    <t xml:space="preserve">    destStoryName = destWBHandle.Sheets(mappingxlSheet).Cells(11, 3).Value</t>
  </si>
  <si>
    <t xml:space="preserve">    destDescription = destWBHandle.Sheets(mappingxlSheet).Cells(12, 3).Value</t>
  </si>
  <si>
    <t xml:space="preserve">    destScope = destWBHandle.Sheets(mappingxlSheet).Cells(13, 3).Value</t>
  </si>
  <si>
    <t xml:space="preserve">    destInOut = destWBHandle.Sheets(mappingxlSheet).Cells(14, 3).Value</t>
  </si>
  <si>
    <t xml:space="preserve">    destRel = destWBHandle.Sheets(mappingxlSheet).Cells(15, 3).Value</t>
  </si>
  <si>
    <t xml:space="preserve">    destStoryType = destWBHandle.Sheets(mappingxlSheet).Cells(16, 3).Value</t>
  </si>
  <si>
    <t xml:space="preserve">    destABP = destWBHandle.Sheets(mappingxlSheet).Cells(17, 3).Value</t>
  </si>
  <si>
    <t xml:space="preserve">    destHP = destWBHandle.Sheets(mappingxlSheet).Cells(18, 3).Value</t>
  </si>
  <si>
    <t xml:space="preserve">    destMult = destWBHandle.Sheets(mappingxlSheet).Cells(19, 3).Value</t>
  </si>
  <si>
    <t xml:space="preserve">    destABPCalc = destWBHandle.Sheets(mappingxlSheet).Cells(20, 3).Value</t>
  </si>
  <si>
    <t xml:space="preserve">    destHPCalc = destWBHandle.Sheets(mappingxlSheet).Cells(21, 3).Value</t>
  </si>
  <si>
    <t xml:space="preserve">    destBufferCalc = destWBHandle.Sheets(mappingxlSheet).Cells(22, 3).Value</t>
  </si>
  <si>
    <t xml:space="preserve">    destNotes = destWBHandle.Sheets(mappingxlSheet).Cells(23, 3).Value</t>
  </si>
  <si>
    <t xml:space="preserve">    destPrjStartDateCol = destWBHandle.Sheets(mappingxlSheet).Cells(42, 3).Value</t>
  </si>
  <si>
    <t xml:space="preserve">    destBillRateCat = destWBHandle.Sheets(mappingxlSheet).Cells(46, 3).Value</t>
  </si>
  <si>
    <t xml:space="preserve">    destBillRateCatRow = destWBHandle.Sheets(mappingxlSheet).Cells(46, 4).Value</t>
  </si>
  <si>
    <t xml:space="preserve">    destLoc = destWBHandle.Sheets(mappingxlSheet).Cells(47, 3).Value</t>
  </si>
  <si>
    <t xml:space="preserve">    destTitle = destWBHandle.Sheets(mappingxlSheet).Cells(48, 3).Value</t>
  </si>
  <si>
    <t xml:space="preserve">    destRole = destWBHandle.Sheets(mappingxlSheet).Cells(49, 3).Value</t>
  </si>
  <si>
    <t xml:space="preserve">    destPhase = destWBHandle.Sheets(mappingxlSheet).Cells(50, 3).Value</t>
  </si>
  <si>
    <t xml:space="preserve">    destTrack = destWBHandle.Sheets(mappingxlSheet).Cells(51, 3).Value</t>
  </si>
  <si>
    <t xml:space="preserve">    destRel = destWBHandle.Sheets(mappingxlSheet).Cells(52, 3).Value</t>
  </si>
  <si>
    <t xml:space="preserve">    destFirstDate = destWBHandle.Sheets(mappingxlSheet).Cells(53, 3).Value</t>
  </si>
  <si>
    <t xml:space="preserve">    destPreName = destWBHandle.Sheets(mappingxlSheet).Cells(54, 3).Value</t>
  </si>
  <si>
    <t xml:space="preserve">    destRate = destWBHandle.Sheets(mappingxlSheet).Cells(55, 3).Value</t>
  </si>
  <si>
    <t xml:space="preserve">    destHrsPerDay = destWBHandle.Sheets(mappingxlSheet).Cells(56, 3).Value</t>
  </si>
  <si>
    <t xml:space="preserve">    destComments = destWBHandle.Sheets(mappingxlSheet).Cells(57, 3).Value</t>
  </si>
  <si>
    <t xml:space="preserve">    destPrjStartDaterow = destWBHandle.Sheets(mappingxlSheet).Cells(42, 4).Value</t>
  </si>
  <si>
    <t>destCat = destWBHandle.Sheets(mappingxlSheet).Cells(33, 3).Value</t>
  </si>
  <si>
    <t>destPhase = destWBHandle.Sheets(mappingxlSheet).Cells(34, 3).Value</t>
  </si>
  <si>
    <t>destTrack = destWBHandle.Sheets(mappingxlSheet).Cells(35, 3).Value</t>
  </si>
  <si>
    <t>destrelease = destWBHandle.Sheets(mappingxlSheet).Cells(36, 3).Value</t>
  </si>
  <si>
    <t>destRisk = destWBHandle.Sheets(mappingxlSheet).Cells(37, 3).Value</t>
  </si>
  <si>
    <t>destTeamSize = destWBHandle.Sheets(mappingxlSheet).Cells(38, 3).Value</t>
  </si>
  <si>
    <t>destImpact = destWBHandle.Sheets(mappingxlSheet).Cells(39, 3).Value</t>
  </si>
  <si>
    <t>destLikelihood = destWBHandle.Sheets(mappingxlSheet).Cells(40, 3).Value</t>
  </si>
  <si>
    <t>destMitiAndRiskCol = destWBHandle.Sheets(mappingxlSheet).Cells(58, 3).Value</t>
  </si>
  <si>
    <t>destMitiAndRiskRow = destWBHandle.Sheets(mappingxlSheet).Cells(58, 4).Value</t>
  </si>
  <si>
    <t>destCat = destWBHandle.Sheets(mappingxlSheet).Cells(24, 3).Value</t>
  </si>
  <si>
    <t>destPhase = destWBHandle.Sheets(mappingxlSheet).Cells(25, 3).Value</t>
  </si>
  <si>
    <t>destTrack = destWBHandle.Sheets(mappingxlSheet).Cells(26, 3).Value</t>
  </si>
  <si>
    <t>destrelease = destWBHandle.Sheets(mappingxlSheet).Cells(27, 3).Value</t>
  </si>
  <si>
    <t>destAddinActivities = destWBHandle.Sheets(mappingxlSheet).Cells(28, 3).Value</t>
  </si>
  <si>
    <t>destTeamSize = destWBHandle.Sheets(mappingxlSheet).Cells(29, 3).Value</t>
  </si>
  <si>
    <t>destDesMetrics = destWBHandle.Sheets(mappingxlSheet).Cells(30, 3).Value</t>
  </si>
  <si>
    <t>destLOEReq = destWBHandle.Sheets(mappingxlSheet).Cells(31, 3).Value</t>
  </si>
  <si>
    <t>destLOEImpactCol = destWBHandle.Sheets(mappingxlSheet).Cells(59, 3).Value</t>
  </si>
  <si>
    <t>destLOEImpactRow = destWBHandle.Sheets(mappingxlSheet).Cells(59, 4).Value</t>
  </si>
  <si>
    <t>destNotes = destWBHandle.Sheets(mappingxlSheet).Cells(32, 3).Value</t>
  </si>
  <si>
    <t xml:space="preserve"> 3).Value</t>
  </si>
  <si>
    <t xml:space="preserve"> 4).Value</t>
  </si>
  <si>
    <t>asdsa</t>
  </si>
  <si>
    <t>dsad</t>
  </si>
  <si>
    <t>sads</t>
  </si>
  <si>
    <t>Add-Ins</t>
  </si>
  <si>
    <t>Add-in Activities
Required</t>
  </si>
  <si>
    <t>LOE
Required</t>
  </si>
  <si>
    <t>Risk
Required</t>
  </si>
  <si>
    <t>Impact (Person Days)
Required</t>
  </si>
  <si>
    <t>Likelihood (%)
Required</t>
  </si>
  <si>
    <t>Risk explanation and mitigation plan
Required</t>
  </si>
  <si>
    <t>destFirstDate</t>
  </si>
  <si>
    <t>Story Types</t>
  </si>
  <si>
    <t>Assumption</t>
  </si>
  <si>
    <t>Risk Buffer
Calculated (Person Days)</t>
  </si>
  <si>
    <t>(All)</t>
  </si>
  <si>
    <t>Category LOE Summary (Story LOE)</t>
  </si>
  <si>
    <t>Track LOE Summary by Phase (Story LOE)</t>
  </si>
  <si>
    <t>Specialist Legal</t>
  </si>
  <si>
    <t>Director Application  Management</t>
  </si>
  <si>
    <t>• Macros must be enabled for this template to work correctly.
• You will be prompted to install the Analysis Toolpack if it is not already installed. This is required for the template to work correctly. Refer to instructions below for more information.
• Supported versions include Excel 2010 for Windows and Excel 2011(version 14.3.9 &amp; above) for Mac.
• This Estimation Tool is compatible with Deal Tool versions 2.0 and above</t>
  </si>
  <si>
    <t>Mumbai</t>
  </si>
  <si>
    <t>Brisbane</t>
  </si>
  <si>
    <t>Melbourne</t>
  </si>
  <si>
    <t>Milan</t>
  </si>
  <si>
    <t>Shanghai</t>
  </si>
  <si>
    <t>Sydney</t>
  </si>
  <si>
    <t>LOE Summary</t>
  </si>
  <si>
    <t>ISSUE ID</t>
  </si>
  <si>
    <t xml:space="preserve"> PARENT ID</t>
  </si>
  <si>
    <t xml:space="preserve"> </t>
  </si>
  <si>
    <t>Charlotte</t>
  </si>
  <si>
    <t>Portland</t>
  </si>
  <si>
    <t>President</t>
  </si>
  <si>
    <t>Fellow Infrastructure</t>
  </si>
  <si>
    <r>
      <t xml:space="preserve">• </t>
    </r>
    <r>
      <rPr>
        <b/>
        <sz val="9"/>
        <color indexed="8"/>
        <rFont val="Calibri"/>
        <family val="2"/>
      </rPr>
      <t>Project Overview</t>
    </r>
    <r>
      <rPr>
        <sz val="9"/>
        <color indexed="8"/>
        <rFont val="Calibri"/>
        <family val="2"/>
      </rPr>
      <t xml:space="preserve"> : Complete this sheet to identify basic data used to populate other sheets and headers. 
• </t>
    </r>
    <r>
      <rPr>
        <b/>
        <sz val="9"/>
        <color indexed="8"/>
        <rFont val="Calibri"/>
        <family val="2"/>
      </rPr>
      <t>Story Type</t>
    </r>
    <r>
      <rPr>
        <sz val="9"/>
        <color indexed="8"/>
        <rFont val="Calibri"/>
        <family val="2"/>
      </rPr>
      <t xml:space="preserve"> : Use this sheet as a worksheet to document metrics with assumptions and their tasks with LOE. Based on your situation, you may find it easier to either create these metrics first, or to first begin to document your stories, then create metrics. In any case, by the end of the process, you should have documented all the metrics you are using in this tab.
All LOE is measured in person days (1 person day = 8 hours of project work (including meetings, etc.). </t>
    </r>
    <r>
      <rPr>
        <b/>
        <sz val="9"/>
        <color indexed="8"/>
        <rFont val="Calibri"/>
        <family val="2"/>
      </rPr>
      <t>Metrics</t>
    </r>
    <r>
      <rPr>
        <sz val="9"/>
        <color indexed="8"/>
        <rFont val="Calibri"/>
        <family val="2"/>
      </rPr>
      <t xml:space="preserve"> section: A metric is a reusable estimate of a buildable unit. This documents all the metrics that can be used to drive the Stories estimate (it drives metric selection dropdowns on the Stories tab). 
• </t>
    </r>
    <r>
      <rPr>
        <b/>
        <sz val="9"/>
        <color indexed="8"/>
        <rFont val="Calibri"/>
        <family val="2"/>
      </rPr>
      <t>Stories</t>
    </r>
    <r>
      <rPr>
        <sz val="9"/>
        <color indexed="8"/>
        <rFont val="Calibri"/>
        <family val="2"/>
      </rPr>
      <t xml:space="preserve"> : Decompose each solution requirement into one or more stories. Embed knowledge risk by providing a range bounded by the ABP and HP estimates. Include all work necessary to advance the project, such as reviews, testing,  etc.  All LOE that does not contribute to the advancement of the project should be placed on the Add-ins tab.
A story should be:
* Understandable     * Testable    * Valuable     * Small enough to complete a handful each iteration
All LOE is measured in person days (1 person day = 8 hours of project work (including meetings, etc.).
User can export stories  &amp; tasks via the options(Export to JIRA-Stories and Tasks) and to export only stories, user can opt (Export to JIRA-Only Stories) option available on the right click menu in stories sheet
• </t>
    </r>
    <r>
      <rPr>
        <b/>
        <sz val="9"/>
        <color indexed="8"/>
        <rFont val="Calibri"/>
        <family val="2"/>
      </rPr>
      <t>Add Ins</t>
    </r>
    <r>
      <rPr>
        <sz val="9"/>
        <color indexed="8"/>
        <rFont val="Calibri"/>
        <family val="2"/>
      </rPr>
      <t xml:space="preserve"> : Use this sheet to document all sources of LOE that do not directly or indirectly advance the progress towards delivering the scope. With the exception of Canada, vacation and sick days are not built into our daily rates, and hence you should build them into your estimate. For a T&amp;M project, vacation and sickness are not counted.
The mid-level plan will likely drive the contents of this sheet, as many items are dependent on the team size.
Items such as brief daily team meetings, Sapient staff meetings, and email are included in the core workday and do not need to be called out here. Code reviews and other peer-to-peer activities should be embedded in the ABP/ HP for the relevant activities as they act to move the project forward.
• </t>
    </r>
    <r>
      <rPr>
        <b/>
        <sz val="9"/>
        <color indexed="8"/>
        <rFont val="Calibri"/>
        <family val="2"/>
      </rPr>
      <t>Objective Risks</t>
    </r>
    <r>
      <rPr>
        <sz val="9"/>
        <color indexed="8"/>
        <rFont val="Calibri"/>
        <family val="2"/>
      </rPr>
      <t xml:space="preserve"> : Use this sheet to document ALL objective risks you have identified for this project. These are things that may happen and cause negative impact on the project. Capture details of all cases where you mitigate a risk by including mitigation LOE. When there is still a risk of impact despite mitigations, capture those here as a maximum impact and probability of occurrence: the product of these numbers gives a risk buffer to incorporate at proper points in the mid-level plan.
• </t>
    </r>
    <r>
      <rPr>
        <b/>
        <sz val="9"/>
        <color indexed="8"/>
        <rFont val="Calibri"/>
        <family val="2"/>
      </rPr>
      <t>Staffing Plan</t>
    </r>
    <r>
      <rPr>
        <sz val="9"/>
        <color indexed="8"/>
        <rFont val="Calibri"/>
        <family val="2"/>
      </rPr>
      <t xml:space="preserve"> : Enter data from your release plan onto this summary sheet to enable easier manipulation and export to the deal tool. Use DD-MON-YY date format. Start date MUST be a Monday. End date MUST be a Friday — the template will export INCORRECT information without this. If necessary, customize the view for presentation on another worksheet — P&amp;L report reads from this format. The Date cell is MANDATORY — the P&amp;L report will not work without this. Enter the total number of people necessary for each role.
T&amp;M resource plans should explicitly exclude vacation and other non-billable time on the Deal Sheet (not on this sheet).
User can export Staffing plan to Deal tool by using 'Export Staffing Plan' option available on the right click menu in Staffing Plan sheet
• </t>
    </r>
    <r>
      <rPr>
        <b/>
        <sz val="9"/>
        <color indexed="8"/>
        <rFont val="Calibri"/>
        <family val="2"/>
      </rPr>
      <t>LOE Summar</t>
    </r>
    <r>
      <rPr>
        <sz val="9"/>
        <color indexed="8"/>
        <rFont val="Calibri"/>
        <family val="2"/>
      </rPr>
      <t>y : This tab will show you how you have balanced your staffing plan against the planned loe by track, phase &amp; release.  This is to ensure that you haven't balanced your staffing to your total loe disproportionally against the types of work.  For example to make sure you haven't staffed all your loe for both site development and qa to the qa track.  To ensure that this report is accurate please make sure to leverage the "track" column accurately on the stories, obective risks, add-ins and staffing plan tabs
All LOE is measured in person days (1 person day = 8 hours of project work (including meetings, etc.).
•</t>
    </r>
    <r>
      <rPr>
        <b/>
        <sz val="9"/>
        <color indexed="8"/>
        <rFont val="Calibri"/>
        <family val="2"/>
      </rPr>
      <t xml:space="preserve"> Total LOE</t>
    </r>
    <r>
      <rPr>
        <sz val="9"/>
        <color indexed="8"/>
        <rFont val="Calibri"/>
        <family val="2"/>
      </rPr>
      <t xml:space="preserve"> : This sheet is read-only and shows the breakdown of the LOE by component.
- Recommended Oversight is 10-18% of total and Objective Risk is 9-17% of total.
Compare the Total LOE to the total person days in the Resource Plan.</t>
    </r>
  </si>
  <si>
    <r>
      <t xml:space="preserve">The use of this tool is not entirely linear. Use this as a general guide, and please post any questions you may have on the </t>
    </r>
    <r>
      <rPr>
        <sz val="9"/>
        <rFont val="Calibri"/>
        <family val="2"/>
      </rPr>
      <t xml:space="preserve">Sapient Estimation Tool Help Forum on Vox.
</t>
    </r>
    <r>
      <rPr>
        <b/>
        <sz val="9"/>
        <rFont val="Calibri"/>
        <family val="2"/>
      </rPr>
      <t>1.</t>
    </r>
    <r>
      <rPr>
        <sz val="9"/>
        <rFont val="Calibri"/>
        <family val="2"/>
      </rPr>
      <t xml:space="preserve"> Capture basic info for your project on the </t>
    </r>
    <r>
      <rPr>
        <i/>
        <sz val="9"/>
        <rFont val="Calibri"/>
        <family val="2"/>
      </rPr>
      <t>Project Overview</t>
    </r>
    <r>
      <rPr>
        <sz val="9"/>
        <rFont val="Calibri"/>
        <family val="2"/>
      </rPr>
      <t xml:space="preserve"> tab. This will drive headers to facilitate printing.
</t>
    </r>
    <r>
      <rPr>
        <b/>
        <sz val="9"/>
        <rFont val="Calibri"/>
        <family val="2"/>
      </rPr>
      <t>2.</t>
    </r>
    <r>
      <rPr>
        <sz val="9"/>
        <rFont val="Calibri"/>
        <family val="2"/>
      </rPr>
      <t xml:space="preserve"> Identify the metrics for the project and enter these in the </t>
    </r>
    <r>
      <rPr>
        <i/>
        <sz val="9"/>
        <rFont val="Calibri"/>
        <family val="2"/>
      </rPr>
      <t>Story Type</t>
    </r>
    <r>
      <rPr>
        <sz val="9"/>
        <rFont val="Calibri"/>
        <family val="2"/>
      </rPr>
      <t xml:space="preserve"> tab.
</t>
    </r>
    <r>
      <rPr>
        <b/>
        <sz val="9"/>
        <rFont val="Calibri"/>
        <family val="2"/>
      </rPr>
      <t>3.</t>
    </r>
    <r>
      <rPr>
        <sz val="9"/>
        <rFont val="Calibri"/>
        <family val="2"/>
      </rPr>
      <t xml:space="preserve"> Populate the tasks for every one of the metrics identified/ selected.
</t>
    </r>
    <r>
      <rPr>
        <b/>
        <sz val="9"/>
        <rFont val="Calibri"/>
        <family val="2"/>
      </rPr>
      <t>4.</t>
    </r>
    <r>
      <rPr>
        <sz val="9"/>
        <rFont val="Calibri"/>
        <family val="2"/>
      </rPr>
      <t xml:space="preserve"> Decompose your solution requirements into stories on the </t>
    </r>
    <r>
      <rPr>
        <i/>
        <sz val="9"/>
        <rFont val="Calibri"/>
        <family val="2"/>
      </rPr>
      <t>Stories</t>
    </r>
    <r>
      <rPr>
        <sz val="9"/>
        <rFont val="Calibri"/>
        <family val="2"/>
      </rPr>
      <t xml:space="preserve"> tab.
</t>
    </r>
    <r>
      <rPr>
        <b/>
        <sz val="9"/>
        <rFont val="Calibri"/>
        <family val="2"/>
      </rPr>
      <t>5.</t>
    </r>
    <r>
      <rPr>
        <sz val="9"/>
        <rFont val="Calibri"/>
        <family val="2"/>
      </rPr>
      <t xml:space="preserve"> Enter your ABP/ HP estimates for each story.
</t>
    </r>
    <r>
      <rPr>
        <b/>
        <sz val="9"/>
        <rFont val="Calibri"/>
        <family val="2"/>
      </rPr>
      <t>6.</t>
    </r>
    <r>
      <rPr>
        <sz val="9"/>
        <rFont val="Calibri"/>
        <family val="2"/>
      </rPr>
      <t xml:space="preserve"> Create a release plan outside this tool, assigning each story to an iteration.
</t>
    </r>
    <r>
      <rPr>
        <b/>
        <sz val="9"/>
        <rFont val="Calibri"/>
        <family val="2"/>
      </rPr>
      <t xml:space="preserve">7. </t>
    </r>
    <r>
      <rPr>
        <sz val="9"/>
        <rFont val="Calibri"/>
        <family val="2"/>
      </rPr>
      <t xml:space="preserve">Create </t>
    </r>
    <r>
      <rPr>
        <i/>
        <sz val="9"/>
        <rFont val="Calibri"/>
        <family val="2"/>
      </rPr>
      <t>Add-ins</t>
    </r>
    <r>
      <rPr>
        <sz val="9"/>
        <rFont val="Calibri"/>
        <family val="2"/>
      </rPr>
      <t xml:space="preserve"> (some of which are based on the level of staffing).
</t>
    </r>
    <r>
      <rPr>
        <b/>
        <sz val="9"/>
        <rFont val="Calibri"/>
        <family val="2"/>
      </rPr>
      <t xml:space="preserve">8. </t>
    </r>
    <r>
      <rPr>
        <sz val="9"/>
        <rFont val="Calibri"/>
        <family val="2"/>
      </rPr>
      <t xml:space="preserve">Document </t>
    </r>
    <r>
      <rPr>
        <i/>
        <sz val="9"/>
        <rFont val="Calibri"/>
        <family val="2"/>
      </rPr>
      <t>Objective Risks</t>
    </r>
    <r>
      <rPr>
        <sz val="9"/>
        <rFont val="Calibri"/>
        <family val="2"/>
      </rPr>
      <t xml:space="preserve">, and include mitigation plans (where relevant). Identify any residual risk and identify a buffer size.
</t>
    </r>
    <r>
      <rPr>
        <b/>
        <sz val="9"/>
        <rFont val="Calibri"/>
        <family val="2"/>
      </rPr>
      <t>9.</t>
    </r>
    <r>
      <rPr>
        <sz val="9"/>
        <rFont val="Calibri"/>
        <family val="2"/>
      </rPr>
      <t xml:space="preserve"> Transfer the resource needs from your release plan onto the </t>
    </r>
    <r>
      <rPr>
        <i/>
        <sz val="9"/>
        <rFont val="Calibri"/>
        <family val="2"/>
      </rPr>
      <t>Staffing Plan</t>
    </r>
    <r>
      <rPr>
        <sz val="9"/>
        <rFont val="Calibri"/>
        <family val="2"/>
      </rPr>
      <t xml:space="preserve"> tab.
</t>
    </r>
    <r>
      <rPr>
        <b/>
        <sz val="9"/>
        <rFont val="Calibri"/>
        <family val="2"/>
      </rPr>
      <t>10.</t>
    </r>
    <r>
      <rPr>
        <sz val="9"/>
        <rFont val="Calibri"/>
        <family val="2"/>
      </rPr>
      <t xml:space="preserve"> Use the </t>
    </r>
    <r>
      <rPr>
        <i/>
        <sz val="9"/>
        <rFont val="Calibri"/>
        <family val="2"/>
      </rPr>
      <t>LOE Summary</t>
    </r>
    <r>
      <rPr>
        <sz val="9"/>
        <rFont val="Calibri"/>
        <family val="2"/>
      </rPr>
      <t xml:space="preserve"> tab to validate your breakdown by track, phase &amp; by release.
</t>
    </r>
    <r>
      <rPr>
        <b/>
        <sz val="9"/>
        <rFont val="Calibri"/>
        <family val="2"/>
      </rPr>
      <t>11.</t>
    </r>
    <r>
      <rPr>
        <sz val="9"/>
        <rFont val="Calibri"/>
        <family val="2"/>
      </rPr>
      <t xml:space="preserve"> Use the </t>
    </r>
    <r>
      <rPr>
        <i/>
        <sz val="9"/>
        <rFont val="Calibri"/>
        <family val="2"/>
      </rPr>
      <t>Total LOE</t>
    </r>
    <r>
      <rPr>
        <sz val="9"/>
        <rFont val="Calibri"/>
        <family val="2"/>
      </rPr>
      <t xml:space="preserve"> tab to understand your overall project estimate.</t>
    </r>
  </si>
  <si>
    <r>
      <t xml:space="preserve">• Have only one version of the estimation template open.  If multiple versions are open, some macros will not work properly.
• Do not insert or delete columns and do not change column headers specifically on the Stories and Staffing Plan tabs, as it will result in problems with exports to the ResultSpace Plan Tool and the Deal Tool.
• Ensure that the Multiplier values are whole numbers, as this is used as a story multiplier when exporting to the ResultSpace Plan tool.
• Ensure that the ABP and HP values are between 0.5 and 100 and are in increments of 0.25.
• To insert new rows in the Stories tab, do not use the standard insert row feature, use the custom "Insert Line with Formulas" option provided under the "SA function" menu. 
• Use the scratch columns in the Stories tab for sub-totals or any other calculations you need.
• Use the Notes field to document any assumptions you made when estimating a story.
• Make sure the Start Date of the project is a Monday, and the end date of the project is a Friday on the Staffing tab to ensure that correct information is exported.
• If you need to extend the timeline in the staffing tab, do not use the standard excel Insert Column feature, use the "Insert Week" button.
• If a person is playing both an oversight role as well as working on actual stories, the role should appear once with the approproiate allocation in the Overhead area and again in the Team area with the appropriate allocation.
</t>
    </r>
    <r>
      <rPr>
        <b/>
        <sz val="9"/>
        <rFont val="Calibri"/>
        <family val="2"/>
        <scheme val="minor"/>
      </rPr>
      <t>• Migrate Content feature will work only on blank Estimation Tool. The original file(to be migrated) needs to have identical columns as in the template for the migration to work
• Migration process takes approximately 1-2 mins so its recommended to save your files, before initiating migration</t>
    </r>
    <r>
      <rPr>
        <sz val="9"/>
        <rFont val="Calibri"/>
        <family val="2"/>
        <scheme val="minor"/>
      </rPr>
      <t xml:space="preserve">
• Migrate Content will migrate data and not the customized changes or any change in the formula</t>
    </r>
  </si>
  <si>
    <t>Original Estimate</t>
  </si>
  <si>
    <t>Las Vegas</t>
  </si>
  <si>
    <t>Mobile Developer - Appcelerator</t>
  </si>
  <si>
    <t>Mobile Developer - Hybrid</t>
  </si>
  <si>
    <t>Mobile Developer - IBM Worklight</t>
  </si>
  <si>
    <t>Mobile Developer - Kony</t>
  </si>
  <si>
    <t>Mobile Developer - Phonegap</t>
  </si>
  <si>
    <t>Mobile Developer - Titanium</t>
  </si>
  <si>
    <t>Mobile Developer - Windows</t>
  </si>
  <si>
    <t>Mobile Developer - Xamarin</t>
  </si>
  <si>
    <t>Junior Mobile Developer - Android</t>
  </si>
  <si>
    <t>Junior Mobile Developer - Appcelerator</t>
  </si>
  <si>
    <t>Junior Mobile Developer - Hybrid</t>
  </si>
  <si>
    <t>Junior Mobile Developer - IBM Worklight</t>
  </si>
  <si>
    <t>Junior Mobile Developer - IOS</t>
  </si>
  <si>
    <t>Junior Mobile Developer - Kony</t>
  </si>
  <si>
    <t>Junior Mobile Developer - Phonegap</t>
  </si>
  <si>
    <t>Junior Mobile Developer - Titanium</t>
  </si>
  <si>
    <t>Junior Mobile Developer - Windows</t>
  </si>
  <si>
    <t>Junior Mobile Developer - Xamarin</t>
  </si>
  <si>
    <t>Architect - Android</t>
  </si>
  <si>
    <t>Architect - Appcelerator</t>
  </si>
  <si>
    <t>Architect - Flex</t>
  </si>
  <si>
    <t>Architect - Hybrid</t>
  </si>
  <si>
    <t>Architect - IBM Worklight</t>
  </si>
  <si>
    <t>Architect - IOS</t>
  </si>
  <si>
    <t>Architect - Kony</t>
  </si>
  <si>
    <t>Architect - PhoneGap</t>
  </si>
  <si>
    <t>Architect - Titanium</t>
  </si>
  <si>
    <t>Architect - Windows</t>
  </si>
  <si>
    <t>Architect - Xamarin</t>
  </si>
  <si>
    <t>Specialist - Android</t>
  </si>
  <si>
    <t>Specialist - Appcelerator</t>
  </si>
  <si>
    <t>Specialist - Flex</t>
  </si>
  <si>
    <t>Specialist - Hybrid</t>
  </si>
  <si>
    <t>Specialist - IBM Worklight</t>
  </si>
  <si>
    <t>Specialist - IOS</t>
  </si>
  <si>
    <t>Specialist - Kony</t>
  </si>
  <si>
    <t>Specialist - PhoneGap</t>
  </si>
  <si>
    <t>Specialist - Titanium</t>
  </si>
  <si>
    <t>Specialist - Windows</t>
  </si>
  <si>
    <t>Specialist - Xamarin</t>
  </si>
  <si>
    <t>Senior Mobile Developer - Android</t>
  </si>
  <si>
    <t>Senior Mobile Developer - Appcelerator</t>
  </si>
  <si>
    <t>Senior Mobile Developer - Hybrid</t>
  </si>
  <si>
    <t>Senior Mobile Developer - IBM Worklight</t>
  </si>
  <si>
    <t>Senior Mobile Developer - IOS</t>
  </si>
  <si>
    <t>Senior Mobile Developer - Kony</t>
  </si>
  <si>
    <t>Senior Mobile Developer - Phonegap</t>
  </si>
  <si>
    <t>Senior Mobile Developer - Titanium</t>
  </si>
  <si>
    <t>Senior Mobile Developer - Windows</t>
  </si>
  <si>
    <t>Senior Mobile Developer - Xamarin</t>
  </si>
  <si>
    <t>Track Lead Mobile - Appcelerator</t>
  </si>
  <si>
    <t>Track Lead Mobile - Hybrid</t>
  </si>
  <si>
    <t>Track Lead Mobile - IBM Worklight</t>
  </si>
  <si>
    <t>Track Lead Mobile - Kony</t>
  </si>
  <si>
    <t>Track Lead Mobile - Phonegap</t>
  </si>
  <si>
    <t>Track Lead Mobile - Titanium</t>
  </si>
  <si>
    <t>Track Lead Mobile - Windows</t>
  </si>
  <si>
    <t>Track Lead Mobile - Xamarin</t>
  </si>
  <si>
    <t>Senior Specialist - Android</t>
  </si>
  <si>
    <t>Senior Specialist - Appcelerator</t>
  </si>
  <si>
    <t>Senior Specialist - Flex</t>
  </si>
  <si>
    <t>Senior Specialist - Hybrid</t>
  </si>
  <si>
    <t>Senior Specialist - IBM Worklight</t>
  </si>
  <si>
    <t>Senior Specialist - IOS</t>
  </si>
  <si>
    <t>Senior Specialist - Kony</t>
  </si>
  <si>
    <t>Senior Specialist - PhoneGap</t>
  </si>
  <si>
    <t>Senior Specialist - Titanium</t>
  </si>
  <si>
    <t>Senior Specialist - Windows</t>
  </si>
  <si>
    <t>Senior Specialist - Xamarin</t>
  </si>
  <si>
    <t>Label2</t>
  </si>
  <si>
    <t>Label 3</t>
  </si>
  <si>
    <t>sadsadsa</t>
  </si>
  <si>
    <t>Task</t>
  </si>
  <si>
    <t>fdsfdsfd</t>
  </si>
  <si>
    <t>gfd</t>
  </si>
  <si>
    <t>ytty</t>
  </si>
  <si>
    <t>wq</t>
  </si>
  <si>
    <t>sadsqweq,wqsadas</t>
  </si>
  <si>
    <t>asdsad,sadsad</t>
  </si>
  <si>
    <t>et_export_2014-11-15_13:24:51</t>
  </si>
  <si>
    <t>Associate Business Operations L1</t>
  </si>
  <si>
    <t>Associate Business Operations L2</t>
  </si>
  <si>
    <t>Senior Associate Business Operations L1</t>
  </si>
  <si>
    <t>Senior Associate Business Operations L2</t>
  </si>
  <si>
    <t>Trainee Production Support</t>
  </si>
  <si>
    <t>Director Finance &amp; Compliance</t>
  </si>
  <si>
    <t>Pune</t>
  </si>
  <si>
    <t>6.3.4</t>
  </si>
  <si>
    <t>BUSINESS REQUIREMENTS</t>
  </si>
  <si>
    <t>USER EXPERIENCE</t>
  </si>
  <si>
    <t>VISUAL DESIGN</t>
  </si>
  <si>
    <t>RAMP UP</t>
  </si>
  <si>
    <t>CONTENT STRATEGY</t>
  </si>
  <si>
    <t>RESEARCH</t>
  </si>
  <si>
    <t>Team Kickoff, Ramp Up, Planning</t>
  </si>
  <si>
    <t>DISCOVER</t>
  </si>
  <si>
    <t>DEFINE/DESIGN</t>
  </si>
  <si>
    <t>DEVELOP</t>
  </si>
  <si>
    <t>TECHNOLOGY</t>
  </si>
  <si>
    <t>RISK/ADD IN</t>
  </si>
  <si>
    <t>Create protocol</t>
  </si>
  <si>
    <t>Review protocol with client</t>
  </si>
  <si>
    <t>Schedule interviews</t>
  </si>
  <si>
    <t>Develop notetaking and debrief templates</t>
  </si>
  <si>
    <t xml:space="preserve">Assumes stakeholders are already identified by sponsor and do not need to be recruited. Assumes 8 stakeholder interviews. </t>
  </si>
  <si>
    <t>STAKEHOLDER INTERVIEWS - PREPARE</t>
  </si>
  <si>
    <t>STAKEHOLDER INTERVIEWS - CONDUCT</t>
  </si>
  <si>
    <t>Setup</t>
  </si>
  <si>
    <t>Conduct interview (60 to 90 minutes)</t>
  </si>
  <si>
    <t>Complete debrief</t>
  </si>
  <si>
    <t>Two team members for each of these steps: the ABP and HP include LOE for both team members. Travel not included. Analysis effort not included, and should be estimated at 1X the effort spent on data collection.</t>
  </si>
  <si>
    <t>SCOPE MATRIX - CREATE</t>
  </si>
  <si>
    <t>Gather available materials from research, client, etc.</t>
  </si>
  <si>
    <t>Create scope matrix template</t>
  </si>
  <si>
    <t>Create initial draft matrix content</t>
  </si>
  <si>
    <t>Prep for prioritization session(s)</t>
  </si>
  <si>
    <t>Conduct prioritization session(s)</t>
  </si>
  <si>
    <t>Internal review</t>
  </si>
  <si>
    <t>Client review</t>
  </si>
  <si>
    <t>Incorporate feedback</t>
  </si>
  <si>
    <t>A list of prioritized features (i.e., functionality and content) that will define what will be designed and built. Non-functional requirements will NOT be included.</t>
  </si>
  <si>
    <t>HIGH COMPLEXITY REQUIREMENT - GATHER &amp; DEFINE</t>
  </si>
  <si>
    <t>Review scope matrix/feature list</t>
  </si>
  <si>
    <t>Conduct requirements working session(s)</t>
  </si>
  <si>
    <t>Create business requirements document (features and functions)</t>
  </si>
  <si>
    <t>Requirement specific to WCAG 2 complicance</t>
  </si>
  <si>
    <t>SITE MAP - LARGE</t>
  </si>
  <si>
    <t>Review organizational model and business requirements</t>
  </si>
  <si>
    <t>Create draft sitemap</t>
  </si>
  <si>
    <t>Medium to large sized site - 100-300 unique pages.
Not doing this if you are doing an interaction framework.</t>
  </si>
  <si>
    <t>WIREFRAME - MEDIUM COMPLEXITY</t>
  </si>
  <si>
    <t>Review requirements</t>
  </si>
  <si>
    <t>Client working session (batch or story level)</t>
  </si>
  <si>
    <t>Create draft wireframe</t>
  </si>
  <si>
    <t>Annotate wireframe</t>
  </si>
  <si>
    <t>Finalize wireframe</t>
  </si>
  <si>
    <t xml:space="preserve">Medium complexity wireframe: has some functionality and some static content. Assumes one round of reviews, client presentation, and iteration.
</t>
  </si>
  <si>
    <t>WIREFRAME - HIGH COMPLEXITY</t>
  </si>
  <si>
    <t>WIREFRAME - LOW COMPLEXITY</t>
  </si>
  <si>
    <t xml:space="preserve">Low complexity wireframe: little or no functionality. Assumes one round of reviews, client presentation, and iteration.
</t>
  </si>
  <si>
    <t xml:space="preserve">High complexity wireframe: has multiple functional elements with complex interactions. Assumes one round of reviews, client presentation, and iteration.
</t>
  </si>
  <si>
    <t>VISUAL COMP - LOW COMPLEXITY</t>
  </si>
  <si>
    <t>Assess functionality to be presented by examining wireframe</t>
  </si>
  <si>
    <t>Apply design direction to page comp - gather assets/image selection</t>
  </si>
  <si>
    <t>Iterate</t>
  </si>
  <si>
    <t>Finalize design comps</t>
  </si>
  <si>
    <t>Create site assets</t>
  </si>
  <si>
    <t>Analysis of brand and offline integration</t>
  </si>
  <si>
    <t>Research illustration, photos, color palettes</t>
  </si>
  <si>
    <t>Competitive research - style, industry, etc.</t>
  </si>
  <si>
    <t>Typographic studies</t>
  </si>
  <si>
    <t>Create moodboard</t>
  </si>
  <si>
    <t>Conceptual brainstorm</t>
  </si>
  <si>
    <t>Document concepts</t>
  </si>
  <si>
    <t>Client presentation</t>
  </si>
  <si>
    <t>Finalize concept</t>
  </si>
  <si>
    <t>VISUAL CONCEPTS</t>
  </si>
  <si>
    <t>Brand exploration and strategy. 1-2 concepts represented in moodboards.</t>
  </si>
  <si>
    <t>Simple design: no assets to create; minimal template/module work. Design direction has been clearly defined previously. Assumes two rounds of reviews, client presentation, and iteration.</t>
  </si>
  <si>
    <t>VISUAL COMP - MEDIUM COMPLEXITY</t>
  </si>
  <si>
    <t>Moderate complexity of design: some assets to create; some functionality and template/module work. Design direction has been clearly defined previously. Assumes two rounds of reviews, client presentation, and iteration.</t>
  </si>
  <si>
    <t>VISUAL COMP - HIGH-COMPLEXITY</t>
  </si>
  <si>
    <t>High complexity of design: multiple assets to create; complex functionality and template/module work, multiple media types. Design direction has been clearly defined previously. Assumes two rounds of reviews, client presentation, and iteration.</t>
  </si>
  <si>
    <t>Establish outline and delivery format</t>
  </si>
  <si>
    <t>Create document template</t>
  </si>
  <si>
    <t>Identify and document visual treatment elements (typography, style sheets, grids, buttons, etc.)</t>
  </si>
  <si>
    <t>Identify and document modules (common UI widgets, search boxes,  etc.)</t>
  </si>
  <si>
    <t>Internal review and iteration</t>
  </si>
  <si>
    <t>Finalize Style Guide and package it for delivery</t>
  </si>
  <si>
    <t>VISUAL DESIGN STYLE GUIDE</t>
  </si>
  <si>
    <t>Up to 20 pages in length for 20 page templates</t>
  </si>
  <si>
    <t>USER RESEARCH - MODERATION</t>
  </si>
  <si>
    <t>USER RESEARCH - REPORT OUT</t>
  </si>
  <si>
    <t>SITE DEV</t>
  </si>
  <si>
    <t>SITE DEV - MEDIUM COMPLEXITY FRAMEWORK</t>
  </si>
  <si>
    <t>Coordinate front-end framework with technology</t>
  </si>
  <si>
    <t>Gather UI requirements</t>
  </si>
  <si>
    <t>Iterate on UI interactions and visual design w/design team</t>
  </si>
  <si>
    <t>Create POC's</t>
  </si>
  <si>
    <t>Architect frontend/production of core code base (high risk, LOE modules)</t>
  </si>
  <si>
    <t>Review code architecture w/backend</t>
  </si>
  <si>
    <t>Standardized backend code base (Java, .NET, PHP). Minimal interactive elements, moderately complex designs.</t>
  </si>
  <si>
    <t>SITE DEV - HTML LOW COMPLEXITY</t>
  </si>
  <si>
    <t>Create code and assets (xHTML, CSS, other technologies)</t>
  </si>
  <si>
    <t>Internal QA testing (across user agents - browser, mobile, etc.)</t>
  </si>
  <si>
    <t>Code review with site development teams</t>
  </si>
  <si>
    <t>Package code and assets for delivery</t>
  </si>
  <si>
    <t>Create standards and framework document</t>
  </si>
  <si>
    <t>Deliver final code base</t>
  </si>
  <si>
    <t>No backend integration (static site). Internal (intranet), small site w/minimal design elements.</t>
  </si>
  <si>
    <t>SITE DEV - HTML MEDIUM COMPLEXITY</t>
  </si>
  <si>
    <t>SITE DEV - HTML HIGH COMPLEXITY</t>
  </si>
  <si>
    <t>Asynchorous framework, heavy frontend/backend integration. Complex design elements. Highly interactive/dynamic architecture.</t>
  </si>
  <si>
    <t>CMS DEV</t>
  </si>
  <si>
    <t>UAT</t>
  </si>
  <si>
    <t>CONTENT - DEFINE STRATEGIC VISION</t>
  </si>
  <si>
    <t>Up to 20 templates</t>
  </si>
  <si>
    <t>COPY GUIDELINES</t>
  </si>
  <si>
    <t>QUALITY ASSURANCE</t>
  </si>
  <si>
    <t>COPY SUPPORT</t>
  </si>
  <si>
    <t>COPY</t>
  </si>
  <si>
    <t>COPY - USABILITY PREP</t>
  </si>
  <si>
    <t>COPY - COPY GUIDELINES</t>
  </si>
  <si>
    <t>Assumes 15 content types across 2,000 pages</t>
  </si>
  <si>
    <t>CONTENT - CONTENT ASSESSMENT</t>
  </si>
  <si>
    <t>CONTENT - CURRENT STATE CONTENT MODEL</t>
  </si>
  <si>
    <t>CONTENT - FUTURE STATE CONTENT MODEL</t>
  </si>
  <si>
    <t>CONTENT REDESIGN</t>
  </si>
  <si>
    <t xml:space="preserve">Up to 2,000 Pages. </t>
  </si>
  <si>
    <t>USER RESEARCH - SCRIPT</t>
  </si>
  <si>
    <t>USER RESEARCH - RECRUITING</t>
  </si>
  <si>
    <t>CONTENT - INVENTORY &amp; CONTENT AUDIT</t>
  </si>
  <si>
    <t>CONTENT - VALIDATE REVISION APPROACH</t>
  </si>
  <si>
    <t>100% REWRITE</t>
  </si>
  <si>
    <t>CONTENT - PAGE REVISIONS</t>
  </si>
  <si>
    <t>CONTENT - MIGRATION STRATEGY</t>
  </si>
  <si>
    <t>CONTENT - CONTENT MATRIX</t>
  </si>
  <si>
    <t>Write from Scratch</t>
  </si>
  <si>
    <t>Internal Review Revisions</t>
  </si>
  <si>
    <t>Client Review Revisions</t>
  </si>
  <si>
    <t>Reviewer will be able to review 8 pages per day with feedback</t>
  </si>
  <si>
    <t>CONTENT - INTERNAL REVIEW (TOTAL REWRITE)</t>
  </si>
  <si>
    <t>CONTENT - INTERNAL REVIEW (25% REWRITE)</t>
  </si>
  <si>
    <t>16 pages per day</t>
  </si>
  <si>
    <t>Revisions</t>
  </si>
  <si>
    <t>Internal and Client Feedback Revisions</t>
  </si>
  <si>
    <t>Initial Write</t>
  </si>
  <si>
    <t>CONTENT - REWRITE</t>
  </si>
  <si>
    <t>CONTENT - ASSET PRODUCTION</t>
  </si>
  <si>
    <t>Layout</t>
  </si>
  <si>
    <t>Asset Search</t>
  </si>
  <si>
    <t>Review</t>
  </si>
  <si>
    <t>CUTOVER</t>
  </si>
  <si>
    <t>OPTIMIZATION/MIGRATION</t>
  </si>
  <si>
    <t>Use Case - Low</t>
  </si>
  <si>
    <t>This is a used to define the process of capturing business requirement with different scenarios.
The purpose of this metric is to capture the work and effort required to define and document a use case with the corresponding preconditions, postconditions, regular and alternate flows, for a functional requirement in scope. The assumption is that this use case defines very simple requirements and does not include any complex conditions. Example of simple requirements are: Simple single step workflow or no approval workflow</t>
  </si>
  <si>
    <t>Review scope matrix and gather high-level requirements</t>
  </si>
  <si>
    <t>Run workshop / discussion with client stakeholders to gather detailed requirements</t>
  </si>
  <si>
    <t>Review reference documentation (where applicable)</t>
  </si>
  <si>
    <t>Document initial use case with preconditions, post conditions and regular flows</t>
  </si>
  <si>
    <t xml:space="preserve">Review initial use case </t>
  </si>
  <si>
    <t>Incorporate review comments, capture alternate flows and update use case</t>
  </si>
  <si>
    <t>Review updated use case</t>
  </si>
  <si>
    <t>Incorporate final review comments and baseline use case</t>
  </si>
  <si>
    <t>Use Case - Medium</t>
  </si>
  <si>
    <t>This is a used to define the process of capturing business requirement with different scenarios.
The purpose of this metric is to capture the work and effort required to define and document a use case with the corresponding preconditions, postconditions, regular and alternate flows, for a functional requirement in scope.
The assumption is that this use case includes some pre-conditions, post conditions and some basic flows that need to be considered. Example of this may be multi-step workflow,CMS Reports, Content Expiration and Archival process</t>
  </si>
  <si>
    <t>Run workshop / discussion with client stake holders to gather detailed requirements</t>
  </si>
  <si>
    <t>Use Case - High</t>
  </si>
  <si>
    <t>This is a used to define the process of capturing business requirement with different scenarios.
The purpose of this metric is to capture the work and effort required to define and document a use case with the corresponding preconditions, postconditions, regular and alternate flows, for a functional requirement in scope.
The assumption is that this use case is used to define very complex requirements.Exampleof this may include Scheduled publishing process, complex taxonomy and metadata management etc</t>
  </si>
  <si>
    <t>Functional Design - Low</t>
  </si>
  <si>
    <t>Functional design includes definition of a business solution by which a particular requirement will be delivere
The assumption is that this includes simple functional design</t>
  </si>
  <si>
    <t>Understanding the business requirements</t>
  </si>
  <si>
    <t>Defining the approach</t>
  </si>
  <si>
    <t>Creation of functional design document</t>
  </si>
  <si>
    <t>Internal Review</t>
  </si>
  <si>
    <t>Feedback Incorporation</t>
  </si>
  <si>
    <t>Client Review</t>
  </si>
  <si>
    <t>Feedback Incorporation and Sign Off</t>
  </si>
  <si>
    <t>Functional Design - Medium</t>
  </si>
  <si>
    <t xml:space="preserve">Functional design includes definition of a business solution by which a particular requirement will be delivered. For eg. defining the business solution for medium complexity requirements like taxonomy/metadat requirements, CMS Authorization and Authentication requirements.
</t>
  </si>
  <si>
    <t>Functional Design - High</t>
  </si>
  <si>
    <t xml:space="preserve">Functional design includes definition of a business solution by which a particular requirement will be delivered. For eg. defining the business solution for high complexity requirements like Content Modeling, Content LifeCycle, Personalization etc.
</t>
  </si>
  <si>
    <t>Technical Design - Low</t>
  </si>
  <si>
    <t>The metric is for designing the technical soution for a requirement.
Example of low complexity techical design may include defining the best practices and development standards for Implementation.</t>
  </si>
  <si>
    <t>Analyze the Functional Use Case</t>
  </si>
  <si>
    <t>Analyze the gaps in the Business Process</t>
  </si>
  <si>
    <t>Identify the technical design for the Business Process</t>
  </si>
  <si>
    <t>Document the Design</t>
  </si>
  <si>
    <t>Technical Design - Medium</t>
  </si>
  <si>
    <t>The metric is for designing the technical soution for a requirement.
Example of medium complexity techical design may include desigining the publishing framework, templating framework etc.</t>
  </si>
  <si>
    <t>Technical Design - High</t>
  </si>
  <si>
    <t>The metric is for designing the technical soution for a requirement.
Example of high complexity techical design may include desigining the branching strategy, CMS-CDS Integration Framework etc.</t>
  </si>
  <si>
    <t>Environment Set Up and Configuration</t>
  </si>
  <si>
    <t>Some assumptions are:
1. The OS and file systems are already in place for the infra team to perform the installations.
2. The estimate for Open Deploy Receiver assumes 1 target environment.
3. The estimate for opening firewall ports might change depending on the process within the client organization.
4.  This metric also includes LiveSite Runtime setup on the tomcat</t>
  </si>
  <si>
    <t>Creating the environment diagram</t>
  </si>
  <si>
    <t>Installing and configure TeamSite server</t>
  </si>
  <si>
    <t>Installing Open Deploy Base Server</t>
  </si>
  <si>
    <t>Opening firewall ports</t>
  </si>
  <si>
    <t>Installing Open Deploy Receiver on target servers</t>
  </si>
  <si>
    <t>Installing Search</t>
  </si>
  <si>
    <t>Installing Reporting Server</t>
  </si>
  <si>
    <t>Install and Configure SitePublisher</t>
  </si>
  <si>
    <t>Install Targeting</t>
  </si>
  <si>
    <t xml:space="preserve">Install and Configure LiveSite Runtime </t>
  </si>
  <si>
    <t>Testing connectivity between TeamSite and target servers</t>
  </si>
  <si>
    <t>CMS Configuration</t>
  </si>
  <si>
    <t xml:space="preserve">This involves email configuration, branch, workarea setup, config management setup ,search configuration, user and group setup </t>
  </si>
  <si>
    <t>Email Configuration</t>
  </si>
  <si>
    <t>Branch, Workarea Confuguration</t>
  </si>
  <si>
    <t>Configuration Management Setup</t>
  </si>
  <si>
    <t>Search Configuration</t>
  </si>
  <si>
    <t>Authorization Configuration</t>
  </si>
  <si>
    <t>Documentation</t>
  </si>
  <si>
    <t>Testing</t>
  </si>
  <si>
    <t>CMS UI Customizations - Low</t>
  </si>
  <si>
    <t>Assumption is this will be simple UI customization like changing the Logo etc</t>
  </si>
  <si>
    <t>Create a war file with custom images, stylesheets, js files and updated JAVA classes if necessary.</t>
  </si>
  <si>
    <t>Create custom src and out folders.</t>
  </si>
  <si>
    <t>Deploy the war file to the out folder.</t>
  </si>
  <si>
    <t>Update various configuration files.</t>
  </si>
  <si>
    <t>Reset the UI.</t>
  </si>
  <si>
    <t>CMS UI Customizations - Medium</t>
  </si>
  <si>
    <t>This will cover CMS UI re branding like adding a tab, etc</t>
  </si>
  <si>
    <t>Create custom code</t>
  </si>
  <si>
    <t>CMS UI Customizations - High</t>
  </si>
  <si>
    <t>This will cover UI re branding for various tabs of the content center, look and feel of the UI, content entry forms and workflowscreens, etc</t>
  </si>
  <si>
    <t>Create Custom code</t>
  </si>
  <si>
    <t>DCT - Low</t>
  </si>
  <si>
    <t>Only OOTB validations are involved.
There are no callouts or system scripts to populate fields/ values.
There are no WYSIWYG elements.
The design document will contain names of elements, their attributes, help text and any OOTB/ custom validations.</t>
  </si>
  <si>
    <t>Designing the XML schema</t>
  </si>
  <si>
    <t>Creating unit test scripts</t>
  </si>
  <si>
    <t>Creating the datacapture config file</t>
  </si>
  <si>
    <t>Creating form API files for custom validation</t>
  </si>
  <si>
    <t>Creating CGI scripts for callouts and look Ups</t>
  </si>
  <si>
    <t>Creating scripts for populating fields/ values or performing validations</t>
  </si>
  <si>
    <t>Updating WYSIWYG configuration file</t>
  </si>
  <si>
    <t>Search Setup</t>
  </si>
  <si>
    <t>Unit Testing</t>
  </si>
  <si>
    <t>Code Review</t>
  </si>
  <si>
    <t>Low level design</t>
  </si>
  <si>
    <t>DCT - Medium</t>
  </si>
  <si>
    <t>Custom validations are used.
There are no custom CGI screens. A Simple system scripts is used to populate fields or values, or assist in validations.
There are WYSIWYG elements.
The design document will contain names of elements, their attributes, help text and any OOTB/ custom validations.</t>
  </si>
  <si>
    <t>Taxonomy Setup</t>
  </si>
  <si>
    <t>Low Level Design</t>
  </si>
  <si>
    <t>DCT - High</t>
  </si>
  <si>
    <t>Heavy custom validations are used.
Custom CGI screens (1) and system scripts (1) are used to populate fields or values, or assist in validations.
There are WYSIWYG elements.
The design document will contain names of elements, their attributes, help text and any OOTB/ custom validations.</t>
  </si>
  <si>
    <t>Creating the config file</t>
  </si>
  <si>
    <t>TPL - Low</t>
  </si>
  <si>
    <t>The TPL simply fetches data from a DCR or a relational database using built-in tags for Perl and XSLT based templates. 
It does not include any additional logic for custom Java or Perl Extensions</t>
  </si>
  <si>
    <t xml:space="preserve">Identify content spots within various mock ups that have similar look and feel </t>
  </si>
  <si>
    <t>Design Review</t>
  </si>
  <si>
    <t>Creating common TPLs</t>
  </si>
  <si>
    <t>Converting asset paths to relative URLs</t>
  </si>
  <si>
    <t>Converting the mock up into a TPL</t>
  </si>
  <si>
    <t>TPL - Medium</t>
  </si>
  <si>
    <t>The TPL fetches data from a DCR or a relational database using built-in tags. It also includes simple Java or Perl Extensions libraries to support additional logic like displaying external presentation logic</t>
  </si>
  <si>
    <t>Create Custom Java/Perl Extension Library</t>
  </si>
  <si>
    <t>TPL - High</t>
  </si>
  <si>
    <t>The TPL fetches data from a DCR or a relational database using built-in tags. It also includes complex Java or Perl Extensions libraries to support additional logic like components which display differently based on parameters passed to them</t>
  </si>
  <si>
    <t>Create Custom Java/Perl Extensions</t>
  </si>
  <si>
    <t>Workflow - Low</t>
  </si>
  <si>
    <t>The workflows do not require any external and CGI tasks. It’s a simple single or two step workflow model with OOB Tasks that can be used completely</t>
  </si>
  <si>
    <t>Preparing diagrams and documents</t>
  </si>
  <si>
    <t>Preparing unit test scripts</t>
  </si>
  <si>
    <t>Creating job definition screen</t>
  </si>
  <si>
    <t>Setting up tasks</t>
  </si>
  <si>
    <t>Setting up job variables</t>
  </si>
  <si>
    <t>Setting up user groups for different tasks</t>
  </si>
  <si>
    <t>Creating perl scripts or CSSDK-API based Java Class for external tasks</t>
  </si>
  <si>
    <t>Creating CGI scripts or CSSDK-API based Java Class for CGI tasks</t>
  </si>
  <si>
    <t>Workflow - Medium</t>
  </si>
  <si>
    <t>The CGI tasks do not require any custom scripts.
There are 2 external tasks which require simple system scripts.
The workflow has complex transitions between tasks and/ or parallel review s scenario.</t>
  </si>
  <si>
    <t>Creating perl scripts or or CSSDK-API based Java Class for external tasks</t>
  </si>
  <si>
    <t>Implementing deployments</t>
  </si>
  <si>
    <t>Workflow - High</t>
  </si>
  <si>
    <t>The CGI and external tasks require custom complex scripts. There are 2 external tasks (Medium Complexity) and 2 CGI tasks (1 requires custom code)
The workflow has complex transitions between tasks and/ or parallel review s scenario.</t>
  </si>
  <si>
    <t>TeamSite Java/CSSDK Implementation</t>
  </si>
  <si>
    <t xml:space="preserve">This includes the Implementation Metrics for Java/CSSDK module. </t>
  </si>
  <si>
    <t>Implement CSSDK Module</t>
  </si>
  <si>
    <t>Perl Module/ Script - Low</t>
  </si>
  <si>
    <t>The module/ script does not involve any XML parsing, interaction with DB or any other external source or any other operation requiring a package.
The script is not for a CGI screen.</t>
  </si>
  <si>
    <t>Identifying functions</t>
  </si>
  <si>
    <t>Designing perl module interfaces</t>
  </si>
  <si>
    <t>Designing CGI screens</t>
  </si>
  <si>
    <t>Creating sequence diagrams</t>
  </si>
  <si>
    <t>Creating use case diagrams</t>
  </si>
  <si>
    <t>Implementing functions</t>
  </si>
  <si>
    <t>Implementing Perl/ CGI scripts (complete with validations in case of CGI screens)</t>
  </si>
  <si>
    <t>Perl Module/ Script - Medium</t>
  </si>
  <si>
    <t>The module/ script involves interaction with DB or any other external source but no special operations like XML parsing, excel spreadsheets, etc.
The script might be for a simple CGI screen.</t>
  </si>
  <si>
    <t>Perl Module/ Script - High</t>
  </si>
  <si>
    <t>The module/ script involves interaction with DB or any other external source and other special operations like XML parsing, excel spreadsheets, etc.
The script might be for a multi operation CGI screen.</t>
  </si>
  <si>
    <t>Third Party Integration</t>
  </si>
  <si>
    <t>Identify the external third party system to be integrate. Design and Implement the solution</t>
  </si>
  <si>
    <t>Analyze the Scope for Custom Application</t>
  </si>
  <si>
    <t>Enumerate Functional Test Scenarios</t>
  </si>
  <si>
    <t>Technical Design Document</t>
  </si>
  <si>
    <t>Code Implementation (Java)</t>
  </si>
  <si>
    <t>Data Deploy - Low</t>
  </si>
  <si>
    <t>The script does not involve any mapping for replicants, filters and retreiving data from external sources or Tuple Preprocessor.
The DB schema will be designed by the application development team.</t>
  </si>
  <si>
    <t>Designing the DB schema for the script</t>
  </si>
  <si>
    <t>Designing the classes for retreiving data from an external source
    - Might involve designing procedures</t>
  </si>
  <si>
    <t>Designing classes for Tuple Pre Processor</t>
  </si>
  <si>
    <t>Implementing DB schema for the script</t>
  </si>
  <si>
    <t>Implementing classes for retreiving data from an external source
    - Might involve implementing procedures</t>
  </si>
  <si>
    <t>Implementing classes for Tuple Pre Processor</t>
  </si>
  <si>
    <t>Data Deploy - Medium</t>
  </si>
  <si>
    <t>The script does involves mapping for replicants and application of filters.
The script does not involve retreiving data from external sources or Tuple Preprocessor.
The DB schema will be designed by the application development team.</t>
  </si>
  <si>
    <t>Data Deploy - High</t>
  </si>
  <si>
    <t>The script involves mapping for replicants, application of filters and retreiving data from external sources or Tuple Preprocessor.
The DB schema will be designed by the application development team.</t>
  </si>
  <si>
    <t>Open Deploy - Low</t>
  </si>
  <si>
    <t>Involves forward deployment with no DnR scripts. The deployment is typically filebased or remotediff</t>
  </si>
  <si>
    <t>Identifying comparison rules</t>
  </si>
  <si>
    <t>Identifying permission rules</t>
  </si>
  <si>
    <t>Identifying target rules</t>
  </si>
  <si>
    <t>Identifying DnR conditions</t>
  </si>
  <si>
    <t>Designing DnR script</t>
  </si>
  <si>
    <t>Creating Unit Test Scripts</t>
  </si>
  <si>
    <t>Implementing the Open Deploy script</t>
  </si>
  <si>
    <t>Implementing the DnR script</t>
  </si>
  <si>
    <t>Open Deploy - Medium</t>
  </si>
  <si>
    <t>Involves forward deployments with a simple DnR script</t>
  </si>
  <si>
    <t>Open Deploy - High</t>
  </si>
  <si>
    <t>Involves fan out  or reverse deployments with  DnR scripts. It may also include Delivery or Payload adapters</t>
  </si>
  <si>
    <t>Creating Delivery/Payload Adapter</t>
  </si>
  <si>
    <t>Reporting - Low</t>
  </si>
  <si>
    <t>Configuration of OOTB Report</t>
  </si>
  <si>
    <t>Identifying changes to OOTB reports/ Designing new reports</t>
  </si>
  <si>
    <t>Reporting - Medium</t>
  </si>
  <si>
    <t>Simple Customization to OOTB Report</t>
  </si>
  <si>
    <t>Updating existing reports or creating new ones</t>
  </si>
  <si>
    <t>Reporting - High</t>
  </si>
  <si>
    <t>Creation of Custom Report and complex customizations to OOTB Report</t>
  </si>
  <si>
    <t xml:space="preserve">SitePublisher Design - Site or Page Controllers </t>
  </si>
  <si>
    <t>These are the site pre, post controllers. The LOE is for a pre-controller or one post-controller or a prefix class.</t>
  </si>
  <si>
    <t>Design Site/Page Controllers</t>
  </si>
  <si>
    <t>Feedback and Review Incorporation</t>
  </si>
  <si>
    <t xml:space="preserve">SitePublisher - Site or Page Controllers </t>
  </si>
  <si>
    <t>Implement Custom Java Class</t>
  </si>
  <si>
    <t>Site/Page Configuration</t>
  </si>
  <si>
    <t>Unit test site</t>
  </si>
  <si>
    <t>SitePublisher Design - Content Component - Low</t>
  </si>
  <si>
    <t>Component with 3 fields and no external DCR mapping (ex Banner). Assumes UI is available and template with necessary JS are available. Assumption is there will be only 1 low-complexity skin</t>
  </si>
  <si>
    <t>SitePublisher - Content Component - Low</t>
  </si>
  <si>
    <t>Create component</t>
  </si>
  <si>
    <t>Create Content XML</t>
  </si>
  <si>
    <t>Create Apprearence XSL</t>
  </si>
  <si>
    <t>Unit test component</t>
  </si>
  <si>
    <t>SitePublisher Design - Content Component - Medium</t>
  </si>
  <si>
    <t>Component with 3 - 5 fields and teamsite DCR mapping. Assumes UI is available and template with necessary JS are available.  Assumption is there will be 1 complex skin</t>
  </si>
  <si>
    <t>Define and design data model/types</t>
  </si>
  <si>
    <t>SitePublisher - Content Component - Medium</t>
  </si>
  <si>
    <t>SitePublisher Design - Content Component - High</t>
  </si>
  <si>
    <t>Component with more than 5 fields and complex DCR mapping, Database mapping and XML/XSL definition, Assumes UI is available and template with necessary JS are available.  Assumption is there will be 2 complex skins</t>
  </si>
  <si>
    <t>SitePublisher - Content Component - High</t>
  </si>
  <si>
    <t>Extending the Data Model</t>
  </si>
  <si>
    <t>SitePublisher Design - Dynamic Component Design and Development - Low</t>
  </si>
  <si>
    <t>Component with External and/or Controllers. Assuming it involves one simple External Class and not more than 3 Datums.  Assuming that the LiveSite Runtime Toolkit framework will be setup. The External java code could be as simple as reading a file from a filesystem</t>
  </si>
  <si>
    <t>SitePublisher - Dynamic Component Development - Low</t>
  </si>
  <si>
    <t>Create Data Types</t>
  </si>
  <si>
    <t>Create Apprearence XML</t>
  </si>
  <si>
    <t>Create External Java Code to deliver dynamic content</t>
  </si>
  <si>
    <t>SitePublisher  Design - Dynamic Component Design and Development - Medium</t>
  </si>
  <si>
    <t>Component with External and/or Controllers. Assuming it involves 1-3 External Class and not more than 3 Datums. Assuming that the LiveSite Runtime Toolkit framework will be setup. The external java code is of medium complexity like code to read from a Database .</t>
  </si>
  <si>
    <t>SitePublisher - Dynamic Component Development - Medium</t>
  </si>
  <si>
    <t>SitePublisher  Design - Dynamic Component Design and Development - High</t>
  </si>
  <si>
    <t>Component with External and/or Controllers. Assuming it involves complex External Classes and has more than 5 Datums. Assuming that the LiveSite Runtime Toolkit framework will be setup. The external java code is of high complexity like integration with third-party system using there API's to retrieve data</t>
  </si>
  <si>
    <t>SitePublisher - Dynamic Component Development - High</t>
  </si>
  <si>
    <t>SitePublisher - Template Design</t>
  </si>
  <si>
    <t xml:space="preserve"> Page Template creation and design</t>
  </si>
  <si>
    <t>Identify Template Design</t>
  </si>
  <si>
    <t>Assemble components</t>
  </si>
  <si>
    <t>Set Page Attributes</t>
  </si>
  <si>
    <t>Verify and validate</t>
  </si>
  <si>
    <t xml:space="preserve">SitePublisher - Fixed Layout Page Template </t>
  </si>
  <si>
    <t>Define a fixed layout template which can contain 3-5 components and has a custom css design</t>
  </si>
  <si>
    <t>Identify Page Layout Design</t>
  </si>
  <si>
    <t>Create Fixed Layout Template</t>
  </si>
  <si>
    <t>Customize CSS</t>
  </si>
  <si>
    <t>SitePublisher Taxonomy  Creation</t>
  </si>
  <si>
    <t>This includes creating taxonomy and configuring TagUI for it. Assumption is that Taxonomy will be well defined</t>
  </si>
  <si>
    <t>Define Taxonomy</t>
  </si>
  <si>
    <t>Map Assets</t>
  </si>
  <si>
    <t>Configure Tag UI</t>
  </si>
  <si>
    <t>Configure Asset Deployment</t>
  </si>
  <si>
    <t>Targeting - Content Rules and Segments - Low Complexity</t>
  </si>
  <si>
    <t>This includes LOE for simple Targeting Rules and Segments. It does not involve Business Object Model Customization. Assumption is taxonomy will be pre-created</t>
  </si>
  <si>
    <t>Create Segment</t>
  </si>
  <si>
    <t>Create Content Rule</t>
  </si>
  <si>
    <t>Unit Test</t>
  </si>
  <si>
    <t>LiveSite Taglib - User Profile Integration</t>
  </si>
  <si>
    <t>This metric includes the User Profile Integration requirement for an External System</t>
  </si>
  <si>
    <t>Analyze/Design the User Profile Integration Reqs</t>
  </si>
  <si>
    <t>Implement Custom UserProfileFactory and UserProfile</t>
  </si>
  <si>
    <t>Expose External System User Profile Object</t>
  </si>
  <si>
    <t>LiveSite Taglib - Page Integration</t>
  </si>
  <si>
    <t>Assumption is that the component creation LOE will be tracked seperately using the Component Creation Metric. This metric takes care of using the components</t>
  </si>
  <si>
    <t>Integrate SitePublisher page with External App</t>
  </si>
  <si>
    <t>Integrate CSS</t>
  </si>
  <si>
    <t>Test Publishing</t>
  </si>
  <si>
    <t>Targeting - Content Rules and Segments - Medium Complexity</t>
  </si>
  <si>
    <t>This includes LOE for simple Targeting Rules and Segments. It  includes simple customizations to the Business Object Model. It does not involve user profile customization. Assumption is taxonomy will be pre-created</t>
  </si>
  <si>
    <t>Customize BOM</t>
  </si>
  <si>
    <t>Targeting - Content Rules and Segments - High Complexity</t>
  </si>
  <si>
    <t>This includes LOE for complex Targeting Rules and Segments.It involves customizing the user profile and customizing the Business Object Model. Assumption is taxonomy will be pre-created</t>
  </si>
  <si>
    <t>Customize User Profile</t>
  </si>
  <si>
    <t>Targeting - Component Design and Development</t>
  </si>
  <si>
    <t>This includes LOE for a dynamic targeting component using DCR Datum. It includes customization to retrieve and display the DCR's</t>
  </si>
  <si>
    <t>Create Component</t>
  </si>
  <si>
    <t>Dynamic Code to fetch the DCR</t>
  </si>
  <si>
    <t>Automated Content Migration Script</t>
  </si>
  <si>
    <t>The purpose of this metric is to capture the effort required to create a migration script for a particular content type. This LOE includes only TeamSite content migration and does not include MediaBin Content Migration Script</t>
  </si>
  <si>
    <t>Identifying the content  type that needs to migrated to the new environment</t>
  </si>
  <si>
    <t>Analyzing whether the content type can be mapped to the new content entry forms or not</t>
  </si>
  <si>
    <t>Identifying files for which previous versions need to be migrated</t>
  </si>
  <si>
    <t>Designing content migration scripts</t>
  </si>
  <si>
    <t>Implement Migration Script to map source content into target XML</t>
  </si>
  <si>
    <t>Create Script to add Extended Attributes in TeamSite</t>
  </si>
  <si>
    <t>Implement Asset Migration</t>
  </si>
  <si>
    <t>Migration Run</t>
  </si>
  <si>
    <t>The purpose of this metric is to capture the effort required to execute migration for a particular content type, including all QA activities. This metric assumes that the migration scripts already exist.</t>
  </si>
  <si>
    <t>Run Migration Script</t>
  </si>
  <si>
    <t>HTML Prototype</t>
  </si>
  <si>
    <t>This will include creating the HTML Prototype of the pages by the site dev. This is specifically used to define the LiveSite Pages HTML prototype</t>
  </si>
  <si>
    <t>Implement HTML from HTML screen</t>
  </si>
  <si>
    <t>Cross browser testing</t>
  </si>
  <si>
    <t>Person Days</t>
  </si>
  <si>
    <t>These might cover time taken to perform build &amp; release, content deployment/ migration using Open Deploy/ Perl scripts, etc.</t>
  </si>
  <si>
    <t>Build &amp; Release Setup - Low</t>
  </si>
  <si>
    <t>This low metric assumes an integration with CMS Shared Services BnR Toolkit and the LOE is only for the integration effort and basic enhancements like setup, etc</t>
  </si>
  <si>
    <t>Evaluate the "CMS Shared Services BnR Toolkit" for the Project</t>
  </si>
  <si>
    <t>Analyze and design enhancements</t>
  </si>
  <si>
    <t>Setup Branching Structure</t>
  </si>
  <si>
    <t>Document Development Processes</t>
  </si>
  <si>
    <t>BnR Toolkit Setup</t>
  </si>
  <si>
    <t>Basic Enhancements</t>
  </si>
  <si>
    <t>Build &amp; Release Setup - High</t>
  </si>
  <si>
    <t>The build and release implementation will be a combination of workflows, Open Deploy scripts and Perl, CGI, and shell scripts. This will be mainly for only TeamSite, OD Code and LiveSite Code</t>
  </si>
  <si>
    <t>Identifying the build &amp; release process and Determining the user and group ownership of code files on the server</t>
  </si>
  <si>
    <t>Automate LiveSite Code Build and Release Process</t>
  </si>
  <si>
    <t>Create Scripts to automate setup for branches and folders</t>
  </si>
  <si>
    <t>Create OpenDeployment Scripts for pushing the code to the other environment</t>
  </si>
  <si>
    <t>Integrate with Maven/SVN for automatic Java Code Deployment</t>
  </si>
  <si>
    <t>LiveSite Development Model Setup</t>
  </si>
  <si>
    <t>Documenting the process</t>
  </si>
  <si>
    <t>Java Functional Low</t>
  </si>
  <si>
    <t>- Read only screen
- &lt;2-3 UI components
- No actions
Or
&lt;2 UI components
1 actions
Or
Reuse from other screen with some modifications
- No screen specific security requirements. 
- Simple Pega integration</t>
  </si>
  <si>
    <t>SRS &amp; SDS Understanding</t>
  </si>
  <si>
    <t>Java code</t>
  </si>
  <si>
    <t>Configuration elements</t>
  </si>
  <si>
    <t>Code Review &amp; incorporation</t>
  </si>
  <si>
    <t>Jtest</t>
  </si>
  <si>
    <t>Java Functional Medium</t>
  </si>
  <si>
    <t>- Transactional screen
- &lt;5-7 UI components
- &lt; 2 actions
- &lt;4-5 screen level validations
- 1 Pega + CMS integrations
Or
- Read only screen
- &lt;3 actions
&lt; 2-3 filter criteria
- Simple Pega integration
- No screen specific security requirements.</t>
  </si>
  <si>
    <t>Java Functional High</t>
  </si>
  <si>
    <t>- Transactional screen
- &gt; 5-7 UI components
- &gt;1 actions
- &gt;5-7 screen level validations
- &gt; 1 Pega + CMS integrations
- mutiple tabs</t>
  </si>
  <si>
    <t>INFRASTRUCTURE</t>
  </si>
  <si>
    <t>CONTENT ENTRY</t>
  </si>
  <si>
    <t>Step</t>
  </si>
  <si>
    <t>Create medium-fidelity on-screen prototype for user testing</t>
  </si>
  <si>
    <t>15-20 pages, with navigational elements. Visual design not applied. Wireframes and user testing protocol already exist as an input to this story.</t>
  </si>
  <si>
    <t>Review protocol</t>
  </si>
  <si>
    <t>Review wireframes</t>
  </si>
  <si>
    <t>Develop HTML pages</t>
  </si>
  <si>
    <t>Prepare materials for testing</t>
  </si>
  <si>
    <t>Internal QA review</t>
  </si>
  <si>
    <t>Create high-fidelity on-screen prototype for user testing</t>
  </si>
  <si>
    <t>15-20 pages, with navigational elements. Visual design applied. Wireframes, visual comps, and user testing protocol already exist as an input to this story.</t>
  </si>
  <si>
    <t>Review visual design comps</t>
  </si>
  <si>
    <t>Create medium-fidelity paper prototype for user testing</t>
  </si>
  <si>
    <t>10-15 pages, with navigational elements. Wireframes and user testing protocol already exist as an input to this story.</t>
  </si>
  <si>
    <t>Adapt wireframes for prototype</t>
  </si>
  <si>
    <t>Migration Support</t>
  </si>
  <si>
    <t>Warranty</t>
  </si>
  <si>
    <t>MIGRATE</t>
  </si>
  <si>
    <t>Usability</t>
  </si>
  <si>
    <t>Go-live</t>
  </si>
  <si>
    <t>WCAG Development Guidelines</t>
  </si>
  <si>
    <t>Draft Guidelines</t>
  </si>
  <si>
    <t>Client Review/Approval</t>
  </si>
  <si>
    <t>QA</t>
  </si>
  <si>
    <t>CR</t>
  </si>
  <si>
    <t>Forms - Migrate Low Complexity Form</t>
  </si>
  <si>
    <t>Aligning  HTML form to follow responsive design (Grid Layout) &amp; WCAG compliance</t>
  </si>
  <si>
    <t>Apply form specific styling</t>
  </si>
  <si>
    <t>Existing js integration for form functionality</t>
  </si>
  <si>
    <t>Simple from with 5 to 10 fields with no dynamic behabiour</t>
  </si>
  <si>
    <t>Forms- Migrate Medium Complexity Form</t>
  </si>
  <si>
    <t>Forms with 5 to 10 fields with dynamic behabiour</t>
  </si>
  <si>
    <t>Forms- Migrate High complexity Form</t>
  </si>
  <si>
    <t>Thirdpary service integration using client side script</t>
  </si>
  <si>
    <t>Type</t>
  </si>
  <si>
    <t>Area</t>
  </si>
  <si>
    <t>Dependencies</t>
  </si>
  <si>
    <t>Due Date</t>
  </si>
  <si>
    <t>Owner</t>
  </si>
  <si>
    <t>Analyzing existing script to identify validation rules</t>
  </si>
  <si>
    <t>Test case preparation</t>
  </si>
  <si>
    <t>Client side functional validation</t>
  </si>
  <si>
    <t>Business rules verification - server side</t>
  </si>
  <si>
    <t>UI &amp; responsive validation</t>
  </si>
  <si>
    <t>Accessibility testing</t>
  </si>
  <si>
    <t>Form Verification - QA</t>
  </si>
  <si>
    <t>Implementation of CTA for Landing Pages</t>
  </si>
  <si>
    <t>Phone Number Links in Mobile</t>
  </si>
  <si>
    <t>HTML development &amp; css chnges</t>
  </si>
  <si>
    <t>PGE-519 (PPR-4399)- Implementation of CTA for Landing Pages</t>
  </si>
  <si>
    <t>Component Update</t>
  </si>
  <si>
    <t>PGE-213 (PPR-4617) -Phone Number Links in Mobile</t>
  </si>
  <si>
    <t>Changes will be made for 
1&gt; Bio Profile (C013)
2&gt; Event Detail (C027)</t>
  </si>
  <si>
    <t>PGE-683(PPR-3161)-Remove second label in text box or disable</t>
  </si>
  <si>
    <t>Remove  place holder text</t>
  </si>
  <si>
    <t>DCR update to update HTML</t>
  </si>
  <si>
    <t>Verification</t>
  </si>
  <si>
    <t>Medium complexity mobile view</t>
  </si>
  <si>
    <t>Component Update - Medium Complexity</t>
  </si>
  <si>
    <t>PGE-595 (PPR-4620) - Homepage Hero Key Tasks | Increasing from 4 to 6</t>
  </si>
  <si>
    <t>PGE-144(PPR-4619)- The tables on my test page look different from the tables shown on Frontify</t>
  </si>
  <si>
    <t>HTML &amp; CSS development to support 6 key tasks</t>
  </si>
  <si>
    <t>Design to support additional screen</t>
  </si>
  <si>
    <t>PGE-687 (PPR-4622) -Inccorect background color of Inactive tab for comoponent C009</t>
  </si>
  <si>
    <t>Changing background color of the tab and perform color contrast check for all browsers and device</t>
  </si>
  <si>
    <t>PGE-597(PPR-4623)-C020 Media Gellery | "previous" and "next" buttons are displayed even though this content is "1 of 1"</t>
  </si>
  <si>
    <t>Component update to implement logic to display buttons only when there are multiple items to be viewed</t>
  </si>
  <si>
    <t>PGE-1103(PPR-4625)- Hide HOMEPAGE Hero Image in Mobile View</t>
  </si>
  <si>
    <t>List of components that will be impacted:
1. C001 - Homepage hero login section
2. C004 - Login
3. C007 - Content Preview
4. C013 - Bioprofile listing
5. C014 - Bioprofile detail
6. C017 - Short form content with tertiary CTA
7. C020 - Media Gallery
8. C029 - Sign In CTA</t>
  </si>
  <si>
    <t>tertiary link arrow wrapping with the link text change</t>
  </si>
  <si>
    <t>PGE-1101 (PPR-2305, PPR-4626)</t>
  </si>
  <si>
    <t>PGE-1099-  Feature link alignment for 3 column screen</t>
  </si>
  <si>
    <t>PGE-1098(PPR-4627) - Need better definition between components when more than one component is authored on a page</t>
  </si>
  <si>
    <t>PGE-1097 - alignments when multiple components are used at the same page</t>
  </si>
  <si>
    <t>Providing standard offset for component as additional feature</t>
  </si>
  <si>
    <t>Component Updates to provide additional options for making component to align in the page with other component</t>
  </si>
  <si>
    <t xml:space="preserve">PGE-1105 (PPR-4628) - Update mobile view for Resource Center </t>
  </si>
  <si>
    <t>21 landing pages will have to be reauthored</t>
  </si>
  <si>
    <t>HTML update for Bio Profile &amp; Event Details to include "tel" tag</t>
  </si>
  <si>
    <t>Update visuals</t>
  </si>
  <si>
    <t>New skin development to support 6 key task</t>
  </si>
  <si>
    <t>PGE-1102(PPR-2205) - CTA copy alignment</t>
  </si>
  <si>
    <t>Component update - Search Results</t>
  </si>
  <si>
    <t>Sudip/ Kunal to add assumption</t>
  </si>
  <si>
    <t>Stabilization</t>
  </si>
  <si>
    <t>Integration Testing &amp; Function QA support (PG&amp;E Environment)</t>
  </si>
  <si>
    <t>PGE-519 (PPR-4399)</t>
  </si>
  <si>
    <t xml:space="preserve">New skin for Sign in CTA </t>
  </si>
  <si>
    <t>Impact analysis and design for new skin</t>
  </si>
  <si>
    <t>New skin development for Sign in CTA</t>
  </si>
  <si>
    <t>Landing Page Template update with Sign in CTA</t>
  </si>
  <si>
    <t>A new skin for Sign in CTA component will be developed which will have edge to edge placement with no top margin.</t>
  </si>
  <si>
    <t xml:space="preserve">The new Skin for Sign in CTA always will be used along with section header in Landing page template. </t>
  </si>
  <si>
    <t>Applicable for both
1&gt;  Feature Link
2&gt; Resource Center</t>
  </si>
  <si>
    <t>All CR's</t>
  </si>
  <si>
    <t>QA verification will include the preparation and review of test cases</t>
  </si>
  <si>
    <t>QA verification will include the multilingual support.</t>
  </si>
  <si>
    <t>PGE-1105 (PPR-4628)</t>
  </si>
  <si>
    <t>Changes is only for mobile view. Desktop view is not verified and changed.</t>
  </si>
  <si>
    <t xml:space="preserve">Estimation done based on ,
i. 3-column layout will use 4 grid columns
ii. 2-column layout will use 6 grid columns
</t>
  </si>
  <si>
    <t>D</t>
  </si>
  <si>
    <t>R</t>
  </si>
  <si>
    <t>I</t>
  </si>
  <si>
    <t>1&gt; Assuming 5 component need to go through the change. 
2&gt; All components have 1 Skin
2&gt; Providing standard offset for component as additional feature</t>
  </si>
  <si>
    <t>1&gt; Assuming 5 component need to go through the change. 
2&gt; All components have 1 skin
2&gt; Providing standard offset for component as additional feature</t>
  </si>
  <si>
    <t>Vacation/ Sick leaves</t>
  </si>
  <si>
    <t>Preparation and review of Test cases</t>
  </si>
  <si>
    <t>Retesting of defects and regression</t>
  </si>
  <si>
    <t>Functional Validation &amp; cross browser</t>
  </si>
  <si>
    <t>Authoring</t>
  </si>
  <si>
    <t>Functionality</t>
  </si>
  <si>
    <t>PGE-213 (PPR-4617)</t>
  </si>
  <si>
    <t>"tel" tag will be updated for phone number for following components, 
1&gt; Bio Profile (C013)
2&gt; Event Detail (C027)</t>
  </si>
  <si>
    <t>PGE-683(PPR-3161)</t>
  </si>
  <si>
    <t>We will be removing placeholder text for all the 16 forms. This will have no impact to the AT users.</t>
  </si>
  <si>
    <t>PGE-144(PPR-4619)</t>
  </si>
  <si>
    <t>Medium complexity mobile view for table needs to be re created</t>
  </si>
  <si>
    <t>PGE-595 (PPR-4620)</t>
  </si>
  <si>
    <t>New skin for Home Page Hero component will be developed to support for 6 keys view for mobile, tablet and desktop</t>
  </si>
  <si>
    <t>Existing 4 keys view for mobile, tablet and desktop will be default view in the existing template</t>
  </si>
  <si>
    <t xml:space="preserve">No separate view/icon for Tablet will be developed/supported to address  6 keys view </t>
  </si>
  <si>
    <t>Additional Complexity to support mobile view with 6 key tasks as it possibly will bring long scroll and intoduce low complexity changes to mobile view of Home Page Hero component</t>
  </si>
  <si>
    <t>Low complexity changes will be made to mobile view of Home Page Hero component to support 6 key tasks to avoid long scroll in mobile page.</t>
  </si>
  <si>
    <t>Validate realestate of 6 key components support across all the device in mobile/desktop</t>
  </si>
  <si>
    <t>PGE-597(PPR-4623)</t>
  </si>
  <si>
    <t>Previous/Next buttons will be removed only when total media on page is 1. Else they will continue to work same when more items are there.</t>
  </si>
  <si>
    <t>When there is more than 1 media is available and user at  very first video, Previous button will be in disable state (Same functionality as currently available)</t>
  </si>
  <si>
    <t>When there is more than 1 media is available and user at  very last video, Next button will be in disable state (Same functionality as currently available)</t>
  </si>
  <si>
    <t>PGE-1103(PPR-4625)</t>
  </si>
  <si>
    <t xml:space="preserve">Alert will come after Key tasks and tabbing order will be different for Desktop and Mobile.
Desktop Tabbing order: Login, Alert, Key Tasks
Mobile Tabbing order: Login, Key Tasks, Alert
</t>
  </si>
  <si>
    <t xml:space="preserve">Dynamically changing "Alert" position for mobile view </t>
  </si>
  <si>
    <t>Removing Image for mobile view</t>
  </si>
  <si>
    <t>PGE-1102(PPR-2205)</t>
  </si>
  <si>
    <t>PGE-1099</t>
  </si>
  <si>
    <t xml:space="preserve">Only grid alignment will be changed to address this solution.
i. 3-column layout will use 4 grid columns
ii. 2-column layout will use 6 grid columns
</t>
  </si>
  <si>
    <t>Scope</t>
  </si>
  <si>
    <t>PGE-1097</t>
  </si>
  <si>
    <t>5 component need to go through the change of offset change for desktop view</t>
  </si>
  <si>
    <t>In Mobile view grouping of the items will be removed. The changes will be made for following components,
1&gt;  Feature Link
2&gt; Resource Center</t>
  </si>
  <si>
    <t xml:space="preserve">The CR will be validated against sample pages created for all the templates.  </t>
  </si>
  <si>
    <t>No separate SSB testing cycle will be supported for this CR.</t>
  </si>
  <si>
    <t>SSB Accessibility Testing</t>
  </si>
  <si>
    <t>31/05/2016</t>
  </si>
  <si>
    <t>MC</t>
  </si>
  <si>
    <t>PG&amp;E - CRs</t>
  </si>
  <si>
    <t>Creative</t>
  </si>
  <si>
    <t>Client Approved creative deliverable</t>
  </si>
  <si>
    <t>No separate QA activity will be performed for already authored pages to identify the regression of all the CRs</t>
  </si>
  <si>
    <t>(blank)</t>
  </si>
  <si>
    <t>PGE-1099-  Feature link alignment for 3 column skin</t>
  </si>
  <si>
    <t>PGE-597(PPR-4623)-C020 Media Gallery | "previous" and "next" buttons are displayed even though this content is "1 of 1"</t>
  </si>
  <si>
    <t>HTML changes for aligning updated grid structure</t>
  </si>
  <si>
    <t xml:space="preserve">Section header component doesn't have any bottom margin, this will ensure no margin appears between section header and sign in CTA in  in Landing page template. </t>
  </si>
  <si>
    <t>List of components that will be impacted:
1. C001 - Homepage hero login section
2. C004 - Login
3. C007 - Content Preview
4. C013 - Bio profile listing
5. C014 - Bio profile detail
6. C017 - Short form content with tertiary CTA
7. C020 - Media Gallery
8. C029 - Sign In CTA
9. C026 - Search Results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</si>
</sst>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dd\-mmm\-yyyy"/>
    <numFmt numFmtId="165" formatCode="_([$€]* #,##0.00_);_([$€]* \(#,##0.00\);_([$€]* &quot;-&quot;??_);_(@_)"/>
    <numFmt numFmtId="166" formatCode="[$-809]dd\-mmm\-yy;@"/>
    <numFmt numFmtId="167" formatCode="0.0"/>
    <numFmt numFmtId="168" formatCode="[$-409]d\-mmm\-yy;@"/>
  </numFmts>
  <fonts count="46">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10"/>
      <name val="Arial"/>
      <family val="2"/>
    </font>
    <font>
      <b/>
      <sz val="10"/>
      <name val="Arial"/>
      <family val="2"/>
    </font>
    <font>
      <sz val="8"/>
      <name val="SapientSansRegular"/>
    </font>
    <font>
      <b/>
      <sz val="10"/>
      <color theme="1"/>
      <name val="Calibri"/>
      <family val="2"/>
      <scheme val="minor"/>
    </font>
    <font>
      <sz val="10"/>
      <color theme="1"/>
      <name val="Calibri"/>
      <family val="2"/>
      <scheme val="minor"/>
    </font>
    <font>
      <b/>
      <sz val="16"/>
      <color rgb="FFFF0000"/>
      <name val="Calibri"/>
      <family val="2"/>
      <scheme val="minor"/>
    </font>
    <font>
      <b/>
      <sz val="12"/>
      <color theme="1"/>
      <name val="Calibri"/>
      <family val="2"/>
      <scheme val="minor"/>
    </font>
    <font>
      <b/>
      <sz val="12"/>
      <color rgb="FFFF0000"/>
      <name val="Calibri"/>
      <family val="2"/>
      <scheme val="minor"/>
    </font>
    <font>
      <sz val="8"/>
      <color indexed="81"/>
      <name val="Tahoma"/>
      <family val="2"/>
    </font>
    <font>
      <sz val="8"/>
      <color theme="1"/>
      <name val="Calibri"/>
      <family val="2"/>
      <scheme val="minor"/>
    </font>
    <font>
      <b/>
      <i/>
      <sz val="8"/>
      <color theme="0" tint="-4.9989318521683403E-2"/>
      <name val="Calibri"/>
      <family val="2"/>
      <scheme val="minor"/>
    </font>
    <font>
      <b/>
      <sz val="8"/>
      <color theme="1"/>
      <name val="Calibri"/>
      <family val="2"/>
      <scheme val="minor"/>
    </font>
    <font>
      <b/>
      <sz val="18"/>
      <color theme="1"/>
      <name val="Calibri"/>
      <family val="2"/>
      <scheme val="minor"/>
    </font>
    <font>
      <b/>
      <sz val="8"/>
      <color indexed="81"/>
      <name val="Tahoma"/>
      <family val="2"/>
    </font>
    <font>
      <b/>
      <sz val="10"/>
      <color theme="1" tint="0.249977111117893"/>
      <name val="Calibri"/>
      <family val="2"/>
      <scheme val="minor"/>
    </font>
    <font>
      <b/>
      <sz val="10"/>
      <color rgb="FFFF0000"/>
      <name val="Calibri"/>
      <family val="2"/>
      <scheme val="minor"/>
    </font>
    <font>
      <sz val="12"/>
      <color rgb="FFFF0000"/>
      <name val="Calibri"/>
      <family val="2"/>
      <scheme val="minor"/>
    </font>
    <font>
      <b/>
      <sz val="10"/>
      <name val="Calibri"/>
      <family val="2"/>
      <scheme val="minor"/>
    </font>
    <font>
      <b/>
      <sz val="12"/>
      <name val="Calibri"/>
      <family val="2"/>
      <scheme val="minor"/>
    </font>
    <font>
      <sz val="10"/>
      <name val="Calibri"/>
      <family val="2"/>
      <scheme val="minor"/>
    </font>
    <font>
      <sz val="12"/>
      <color theme="1"/>
      <name val="Calibri"/>
      <family val="2"/>
      <scheme val="minor"/>
    </font>
    <font>
      <sz val="12"/>
      <color theme="0"/>
      <name val="Calibri"/>
      <family val="2"/>
      <scheme val="minor"/>
    </font>
    <font>
      <b/>
      <sz val="12"/>
      <color rgb="FF000000"/>
      <name val="Webdings"/>
      <family val="1"/>
      <charset val="2"/>
    </font>
    <font>
      <sz val="9"/>
      <name val="Calibri"/>
      <family val="2"/>
      <scheme val="minor"/>
    </font>
    <font>
      <b/>
      <sz val="9"/>
      <color indexed="8"/>
      <name val="Calibri"/>
      <family val="2"/>
    </font>
    <font>
      <sz val="9"/>
      <color indexed="8"/>
      <name val="Calibri"/>
      <family val="2"/>
    </font>
    <font>
      <sz val="9"/>
      <name val="Calibri"/>
      <family val="2"/>
    </font>
    <font>
      <b/>
      <sz val="9"/>
      <name val="Calibri"/>
      <family val="2"/>
    </font>
    <font>
      <i/>
      <sz val="9"/>
      <name val="Calibri"/>
      <family val="2"/>
    </font>
    <font>
      <b/>
      <sz val="9"/>
      <name val="Calibri"/>
      <family val="2"/>
      <scheme val="minor"/>
    </font>
    <font>
      <sz val="10"/>
      <color rgb="FFFF0000"/>
      <name val="Calibri"/>
      <family val="2"/>
      <scheme val="minor"/>
    </font>
    <font>
      <sz val="9"/>
      <name val="Arial"/>
      <family val="2"/>
    </font>
    <font>
      <sz val="12"/>
      <color theme="1"/>
      <name val="Calibri"/>
      <family val="2"/>
      <charset val="128"/>
      <scheme val="minor"/>
    </font>
    <font>
      <b/>
      <sz val="10"/>
      <color theme="0"/>
      <name val="Calibri"/>
      <family val="2"/>
      <scheme val="minor"/>
    </font>
    <font>
      <b/>
      <sz val="10"/>
      <color rgb="FF000000"/>
      <name val="Calibri"/>
      <family val="2"/>
    </font>
    <font>
      <sz val="12"/>
      <color rgb="FF000000"/>
      <name val="Calibri"/>
      <family val="2"/>
    </font>
    <font>
      <sz val="11"/>
      <color rgb="FF1F497D"/>
      <name val="Calibri"/>
      <family val="2"/>
      <scheme val="minor"/>
    </font>
    <font>
      <b/>
      <sz val="11"/>
      <color theme="1"/>
      <name val="Calibri"/>
      <family val="2"/>
      <scheme val="minor"/>
    </font>
  </fonts>
  <fills count="32">
    <fill>
      <patternFill patternType="none"/>
    </fill>
    <fill>
      <patternFill patternType="gray125"/>
    </fill>
    <fill>
      <patternFill patternType="solid">
        <fgColor indexed="9"/>
        <bgColor indexed="64"/>
      </patternFill>
    </fill>
    <fill>
      <patternFill patternType="solid">
        <fgColor indexed="25"/>
        <bgColor indexed="64"/>
      </patternFill>
    </fill>
    <fill>
      <patternFill patternType="solid">
        <fgColor rgb="FFC0C0C0"/>
        <bgColor indexed="64"/>
      </patternFill>
    </fill>
    <fill>
      <patternFill patternType="solid">
        <fgColor rgb="FFFFFF99"/>
        <bgColor indexed="64"/>
      </patternFill>
    </fill>
    <fill>
      <patternFill patternType="solid">
        <fgColor rgb="FFFF0000"/>
        <bgColor indexed="64"/>
      </patternFill>
    </fill>
    <fill>
      <patternFill patternType="solid">
        <fgColor rgb="FFFFCC00"/>
        <bgColor indexed="64"/>
      </patternFill>
    </fill>
    <fill>
      <patternFill patternType="solid">
        <fgColor rgb="FFFF6600"/>
        <bgColor indexed="64"/>
      </patternFill>
    </fill>
    <fill>
      <patternFill patternType="solid">
        <fgColor rgb="FF00FF00"/>
        <bgColor indexed="64"/>
      </patternFill>
    </fill>
    <fill>
      <patternFill patternType="solid">
        <fgColor rgb="FFCCFFF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rgb="FFDFE5E6"/>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4" tint="0.39997558519241921"/>
        <bgColor indexed="64"/>
      </patternFill>
    </fill>
    <fill>
      <patternFill patternType="solid">
        <fgColor rgb="FFFFFF00"/>
        <bgColor indexed="64"/>
      </patternFill>
    </fill>
    <fill>
      <patternFill patternType="solid">
        <fgColor theme="3"/>
        <bgColor indexed="64"/>
      </patternFill>
    </fill>
    <fill>
      <patternFill patternType="solid">
        <fgColor theme="2" tint="-0.249977111117893"/>
        <bgColor indexed="64"/>
      </patternFill>
    </fill>
    <fill>
      <patternFill patternType="solid">
        <fgColor rgb="FFFFC00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5"/>
        <bgColor indexed="64"/>
      </patternFill>
    </fill>
    <fill>
      <patternFill patternType="solid">
        <fgColor theme="6"/>
        <bgColor indexed="64"/>
      </patternFill>
    </fill>
    <fill>
      <patternFill patternType="solid">
        <fgColor theme="0" tint="-0.34998626667073579"/>
        <bgColor indexed="64"/>
      </patternFill>
    </fill>
  </fills>
  <borders count="216">
    <border>
      <left/>
      <right/>
      <top/>
      <bottom/>
      <diagonal/>
    </border>
    <border>
      <left/>
      <right/>
      <top style="hair">
        <color indexed="22"/>
      </top>
      <bottom style="hair">
        <color indexed="22"/>
      </bottom>
      <diagonal/>
    </border>
    <border>
      <left style="thin">
        <color indexed="26"/>
      </left>
      <right style="thin">
        <color indexed="26"/>
      </right>
      <top style="thin">
        <color indexed="26"/>
      </top>
      <bottom style="thin">
        <color indexed="26"/>
      </bottom>
      <diagonal/>
    </border>
    <border>
      <left style="thin">
        <color indexed="26"/>
      </left>
      <right style="thin">
        <color indexed="26"/>
      </right>
      <top style="thin">
        <color auto="1"/>
      </top>
      <bottom style="thin">
        <color indexed="10"/>
      </bottom>
      <diagonal/>
    </border>
    <border>
      <left style="thin">
        <color rgb="FFCCFFFF"/>
      </left>
      <right style="thin">
        <color auto="1"/>
      </right>
      <top/>
      <bottom/>
      <diagonal/>
    </border>
    <border>
      <left style="thin">
        <color rgb="FFCCFFFF"/>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top style="thin">
        <color auto="1"/>
      </top>
      <bottom/>
      <diagonal/>
    </border>
    <border>
      <left style="thin">
        <color rgb="FFCCFFFF"/>
      </left>
      <right style="thin">
        <color auto="1"/>
      </right>
      <top style="thin">
        <color auto="1"/>
      </top>
      <bottom style="thin">
        <color auto="1"/>
      </bottom>
      <diagonal/>
    </border>
    <border>
      <left/>
      <right style="thin">
        <color rgb="FFCCFFFF"/>
      </right>
      <top/>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theme="0" tint="-0.34998626667073579"/>
      </right>
      <top style="thin">
        <color auto="1"/>
      </top>
      <bottom style="thin">
        <color theme="0" tint="-0.14996795556505021"/>
      </bottom>
      <diagonal/>
    </border>
    <border>
      <left style="thin">
        <color auto="1"/>
      </left>
      <right style="thin">
        <color theme="0" tint="-0.34998626667073579"/>
      </right>
      <top style="thin">
        <color theme="0" tint="-0.14996795556505021"/>
      </top>
      <bottom style="thin">
        <color theme="0" tint="-0.14996795556505021"/>
      </bottom>
      <diagonal/>
    </border>
    <border>
      <left style="thin">
        <color auto="1"/>
      </left>
      <right style="thin">
        <color theme="0" tint="-0.34998626667073579"/>
      </right>
      <top/>
      <bottom style="thin">
        <color auto="1"/>
      </bottom>
      <diagonal/>
    </border>
    <border>
      <left/>
      <right style="thin">
        <color indexed="47"/>
      </right>
      <top style="thin">
        <color auto="1"/>
      </top>
      <bottom style="thin">
        <color theme="0" tint="-0.14996795556505021"/>
      </bottom>
      <diagonal/>
    </border>
    <border>
      <left style="thin">
        <color indexed="47"/>
      </left>
      <right style="thin">
        <color indexed="47"/>
      </right>
      <top style="thin">
        <color auto="1"/>
      </top>
      <bottom style="thin">
        <color theme="0" tint="-0.14996795556505021"/>
      </bottom>
      <diagonal/>
    </border>
    <border>
      <left/>
      <right style="thin">
        <color indexed="47"/>
      </right>
      <top style="thin">
        <color theme="0" tint="-0.14996795556505021"/>
      </top>
      <bottom style="thin">
        <color theme="0" tint="-0.14996795556505021"/>
      </bottom>
      <diagonal/>
    </border>
    <border>
      <left style="thin">
        <color indexed="47"/>
      </left>
      <right style="thin">
        <color indexed="47"/>
      </right>
      <top style="thin">
        <color theme="0" tint="-0.14996795556505021"/>
      </top>
      <bottom style="thin">
        <color theme="0" tint="-0.14996795556505021"/>
      </bottom>
      <diagonal/>
    </border>
    <border>
      <left/>
      <right style="thin">
        <color indexed="47"/>
      </right>
      <top/>
      <bottom style="thin">
        <color auto="1"/>
      </bottom>
      <diagonal/>
    </border>
    <border>
      <left style="thin">
        <color indexed="47"/>
      </left>
      <right style="thin">
        <color indexed="47"/>
      </right>
      <top/>
      <bottom style="thin">
        <color auto="1"/>
      </bottom>
      <diagonal/>
    </border>
    <border>
      <left style="thin">
        <color auto="1"/>
      </left>
      <right style="thin">
        <color theme="0" tint="-0.24994659260841701"/>
      </right>
      <top style="thin">
        <color auto="1"/>
      </top>
      <bottom style="thin">
        <color theme="0" tint="-0.14996795556505021"/>
      </bottom>
      <diagonal/>
    </border>
    <border>
      <left style="thin">
        <color auto="1"/>
      </left>
      <right style="thin">
        <color theme="0" tint="-0.24994659260841701"/>
      </right>
      <top style="thin">
        <color theme="0" tint="-0.14996795556505021"/>
      </top>
      <bottom style="thin">
        <color theme="0" tint="-0.14996795556505021"/>
      </bottom>
      <diagonal/>
    </border>
    <border>
      <left/>
      <right style="thin">
        <color auto="1"/>
      </right>
      <top style="thin">
        <color auto="1"/>
      </top>
      <bottom style="thin">
        <color theme="0" tint="-0.14996795556505021"/>
      </bottom>
      <diagonal/>
    </border>
    <border>
      <left/>
      <right style="thin">
        <color auto="1"/>
      </right>
      <top style="thin">
        <color theme="0" tint="-0.14996795556505021"/>
      </top>
      <bottom style="thin">
        <color theme="0" tint="-0.14996795556505021"/>
      </bottom>
      <diagonal/>
    </border>
    <border>
      <left/>
      <right style="thin">
        <color auto="1"/>
      </right>
      <top style="thin">
        <color theme="0" tint="-0.14996795556505021"/>
      </top>
      <bottom style="thin">
        <color auto="1"/>
      </bottom>
      <diagonal/>
    </border>
    <border>
      <left/>
      <right style="thin">
        <color auto="1"/>
      </right>
      <top style="thin">
        <color auto="1"/>
      </top>
      <bottom/>
      <diagonal/>
    </border>
    <border>
      <left/>
      <right style="thin">
        <color auto="1"/>
      </right>
      <top/>
      <bottom/>
      <diagonal/>
    </border>
    <border>
      <left style="thin">
        <color auto="1"/>
      </left>
      <right style="thin">
        <color theme="0" tint="-0.24994659260841701"/>
      </right>
      <top style="thin">
        <color theme="0" tint="-0.14996795556505021"/>
      </top>
      <bottom style="thin">
        <color auto="1"/>
      </bottom>
      <diagonal/>
    </border>
    <border>
      <left style="thin">
        <color auto="1"/>
      </left>
      <right style="thin">
        <color theme="0" tint="-0.249977111117893"/>
      </right>
      <top style="thin">
        <color auto="1"/>
      </top>
      <bottom style="thin">
        <color auto="1"/>
      </bottom>
      <diagonal/>
    </border>
    <border>
      <left style="thin">
        <color auto="1"/>
      </left>
      <right style="thin">
        <color auto="1"/>
      </right>
      <top style="thin">
        <color auto="1"/>
      </top>
      <bottom style="thin">
        <color theme="0" tint="-0.249977111117893"/>
      </bottom>
      <diagonal/>
    </border>
    <border>
      <left style="thin">
        <color auto="1"/>
      </left>
      <right/>
      <top style="thin">
        <color auto="1"/>
      </top>
      <bottom style="thin">
        <color theme="0" tint="-0.249977111117893"/>
      </bottom>
      <diagonal/>
    </border>
    <border>
      <left/>
      <right style="thin">
        <color auto="1"/>
      </right>
      <top style="thin">
        <color auto="1"/>
      </top>
      <bottom style="thin">
        <color theme="0" tint="-0.249977111117893"/>
      </bottom>
      <diagonal/>
    </border>
    <border>
      <left/>
      <right/>
      <top/>
      <bottom style="thin">
        <color theme="0" tint="-0.14999847407452621"/>
      </bottom>
      <diagonal/>
    </border>
    <border>
      <left/>
      <right style="thin">
        <color rgb="FFCCFFFF"/>
      </right>
      <top/>
      <bottom style="thin">
        <color theme="0" tint="-0.14999847407452621"/>
      </bottom>
      <diagonal/>
    </border>
    <border>
      <left/>
      <right/>
      <top style="thin">
        <color theme="0" tint="-0.14999847407452621"/>
      </top>
      <bottom style="thin">
        <color theme="0" tint="-0.14999847407452621"/>
      </bottom>
      <diagonal/>
    </border>
    <border>
      <left/>
      <right style="thin">
        <color auto="1"/>
      </right>
      <top style="thin">
        <color theme="0" tint="-0.14999847407452621"/>
      </top>
      <bottom style="thin">
        <color theme="0" tint="-0.14999847407452621"/>
      </bottom>
      <diagonal/>
    </border>
    <border>
      <left/>
      <right style="thin">
        <color auto="1"/>
      </right>
      <top/>
      <bottom style="thin">
        <color theme="0" tint="-0.14999847407452621"/>
      </bottom>
      <diagonal/>
    </border>
    <border>
      <left style="thin">
        <color auto="1"/>
      </left>
      <right style="thin">
        <color theme="0" tint="-0.249977111117893"/>
      </right>
      <top/>
      <bottom style="thin">
        <color auto="1"/>
      </bottom>
      <diagonal/>
    </border>
    <border>
      <left/>
      <right style="thin">
        <color theme="0" tint="-0.14999847407452621"/>
      </right>
      <top style="thin">
        <color auto="1"/>
      </top>
      <bottom style="thin">
        <color auto="1"/>
      </bottom>
      <diagonal/>
    </border>
    <border>
      <left style="thin">
        <color auto="1"/>
      </left>
      <right style="thin">
        <color theme="0" tint="-0.14999847407452621"/>
      </right>
      <top style="thin">
        <color auto="1"/>
      </top>
      <bottom style="thin">
        <color theme="0" tint="-0.249977111117893"/>
      </bottom>
      <diagonal/>
    </border>
    <border>
      <left style="thin">
        <color rgb="FFCCFFFF"/>
      </left>
      <right style="thin">
        <color theme="0" tint="-0.14999847407452621"/>
      </right>
      <top/>
      <bottom style="thin">
        <color theme="0" tint="-0.14999847407452621"/>
      </bottom>
      <diagonal/>
    </border>
    <border>
      <left style="thin">
        <color rgb="FFCCFFFF"/>
      </left>
      <right style="thin">
        <color theme="0" tint="-0.14999847407452621"/>
      </right>
      <top style="thin">
        <color theme="0" tint="-0.14999847407452621"/>
      </top>
      <bottom style="thin">
        <color theme="0" tint="-0.14999847407452621"/>
      </bottom>
      <diagonal/>
    </border>
    <border>
      <left style="thin">
        <color rgb="FFCCFFFF"/>
      </left>
      <right style="thin">
        <color theme="0" tint="-0.14999847407452621"/>
      </right>
      <top/>
      <bottom style="thin">
        <color auto="1"/>
      </bottom>
      <diagonal/>
    </border>
    <border>
      <left/>
      <right style="thin">
        <color theme="0" tint="-0.14999847407452621"/>
      </right>
      <top style="thin">
        <color auto="1"/>
      </top>
      <bottom style="thin">
        <color theme="0" tint="-0.249977111117893"/>
      </bottom>
      <diagonal/>
    </border>
    <border>
      <left/>
      <right style="thin">
        <color theme="0" tint="-0.14999847407452621"/>
      </right>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style="thin">
        <color theme="0" tint="-0.14999847407452621"/>
      </right>
      <top/>
      <bottom style="thin">
        <color auto="1"/>
      </bottom>
      <diagonal/>
    </border>
    <border>
      <left/>
      <right style="thin">
        <color theme="0" tint="-0.14999847407452621"/>
      </right>
      <top/>
      <bottom/>
      <diagonal/>
    </border>
    <border>
      <left/>
      <right/>
      <top style="thin">
        <color auto="1"/>
      </top>
      <bottom style="thin">
        <color theme="0" tint="-0.249977111117893"/>
      </bottom>
      <diagonal/>
    </border>
    <border>
      <left style="thin">
        <color auto="1"/>
      </left>
      <right style="thin">
        <color theme="0" tint="-0.14999847407452621"/>
      </right>
      <top style="thin">
        <color theme="0" tint="-0.14999847407452621"/>
      </top>
      <bottom style="thin">
        <color auto="1"/>
      </bottom>
      <diagonal/>
    </border>
    <border>
      <left/>
      <right style="thin">
        <color theme="0" tint="-0.14999847407452621"/>
      </right>
      <top style="thin">
        <color theme="0" tint="-0.14999847407452621"/>
      </top>
      <bottom style="thin">
        <color auto="1"/>
      </bottom>
      <diagonal/>
    </border>
    <border>
      <left style="thin">
        <color theme="0" tint="-0.14999847407452621"/>
      </left>
      <right style="thin">
        <color auto="1"/>
      </right>
      <top style="thin">
        <color auto="1"/>
      </top>
      <bottom style="thin">
        <color theme="0" tint="-0.249977111117893"/>
      </bottom>
      <diagonal/>
    </border>
    <border>
      <left style="thin">
        <color theme="0" tint="-0.14999847407452621"/>
      </left>
      <right style="thin">
        <color theme="0" tint="-0.14999847407452621"/>
      </right>
      <top style="thin">
        <color auto="1"/>
      </top>
      <bottom/>
      <diagonal/>
    </border>
    <border>
      <left style="thin">
        <color theme="0" tint="-0.14999847407452621"/>
      </left>
      <right style="thin">
        <color theme="0" tint="-0.14999847407452621"/>
      </right>
      <top style="thin">
        <color auto="1"/>
      </top>
      <bottom style="thin">
        <color theme="0" tint="-0.249977111117893"/>
      </bottom>
      <diagonal/>
    </border>
    <border>
      <left style="thin">
        <color theme="0" tint="-0.14999847407452621"/>
      </left>
      <right style="thin">
        <color theme="0" tint="-0.14999847407452621"/>
      </right>
      <top/>
      <bottom/>
      <diagonal/>
    </border>
    <border>
      <left style="thin">
        <color auto="1"/>
      </left>
      <right style="thin">
        <color theme="0" tint="-0.14999847407452621"/>
      </right>
      <top style="thin">
        <color auto="1"/>
      </top>
      <bottom style="thin">
        <color theme="0" tint="-0.14999847407452621"/>
      </bottom>
      <diagonal/>
    </border>
    <border>
      <left style="thin">
        <color theme="0" tint="-0.14999847407452621"/>
      </left>
      <right style="thin">
        <color theme="0" tint="-0.14999847407452621"/>
      </right>
      <top style="thin">
        <color auto="1"/>
      </top>
      <bottom style="thin">
        <color theme="0" tint="-0.14999847407452621"/>
      </bottom>
      <diagonal/>
    </border>
    <border>
      <left/>
      <right style="thin">
        <color theme="0" tint="-0.14999847407452621"/>
      </right>
      <top style="thin">
        <color auto="1"/>
      </top>
      <bottom/>
      <diagonal/>
    </border>
    <border>
      <left style="thin">
        <color auto="1"/>
      </left>
      <right style="thin">
        <color auto="1"/>
      </right>
      <top style="thin">
        <color theme="0" tint="-0.14999847407452621"/>
      </top>
      <bottom style="thin">
        <color theme="0" tint="-0.14999847407452621"/>
      </bottom>
      <diagonal/>
    </border>
    <border>
      <left style="thin">
        <color auto="1"/>
      </left>
      <right style="thin">
        <color theme="0" tint="-0.14999847407452621"/>
      </right>
      <top/>
      <bottom/>
      <diagonal/>
    </border>
    <border>
      <left style="thin">
        <color auto="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auto="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auto="1"/>
      </left>
      <right style="thin">
        <color theme="0" tint="-0.14999847407452621"/>
      </right>
      <top/>
      <bottom style="thin">
        <color theme="0" tint="-0.14999847407452621"/>
      </bottom>
      <diagonal/>
    </border>
    <border>
      <left style="thin">
        <color theme="0" tint="-0.14999847407452621"/>
      </left>
      <right style="thin">
        <color auto="1"/>
      </right>
      <top/>
      <bottom style="thin">
        <color theme="0" tint="-0.14999847407452621"/>
      </bottom>
      <diagonal/>
    </border>
    <border>
      <left style="thin">
        <color auto="1"/>
      </left>
      <right style="thin">
        <color rgb="FFCCFFFF"/>
      </right>
      <top/>
      <bottom style="thin">
        <color auto="1"/>
      </bottom>
      <diagonal/>
    </border>
    <border>
      <left/>
      <right style="thin">
        <color rgb="FFCCFFFF"/>
      </right>
      <top/>
      <bottom style="thin">
        <color auto="1"/>
      </bottom>
      <diagonal/>
    </border>
    <border>
      <left style="thin">
        <color rgb="FFCCFFFF"/>
      </left>
      <right style="thin">
        <color auto="1"/>
      </right>
      <top/>
      <bottom style="thin">
        <color theme="0" tint="-0.14999847407452621"/>
      </bottom>
      <diagonal/>
    </border>
    <border>
      <left style="thin">
        <color auto="1"/>
      </left>
      <right/>
      <top style="thin">
        <color theme="0" tint="-0.249977111117893"/>
      </top>
      <bottom style="thin">
        <color theme="0" tint="-0.14999847407452621"/>
      </bottom>
      <diagonal/>
    </border>
    <border>
      <left style="thin">
        <color rgb="FFCCFFFF"/>
      </left>
      <right style="thin">
        <color theme="0" tint="-0.14999847407452621"/>
      </right>
      <top style="thin">
        <color theme="0" tint="-0.249977111117893"/>
      </top>
      <bottom style="thin">
        <color theme="0" tint="-0.14999847407452621"/>
      </bottom>
      <diagonal/>
    </border>
    <border>
      <left/>
      <right/>
      <top style="thin">
        <color theme="0" tint="-0.249977111117893"/>
      </top>
      <bottom style="thin">
        <color theme="0" tint="-0.14999847407452621"/>
      </bottom>
      <diagonal/>
    </border>
    <border>
      <left style="thin">
        <color rgb="FFCCFFFF"/>
      </left>
      <right style="thin">
        <color auto="1"/>
      </right>
      <top style="thin">
        <color theme="0" tint="-0.249977111117893"/>
      </top>
      <bottom style="thin">
        <color theme="0" tint="-0.14999847407452621"/>
      </bottom>
      <diagonal/>
    </border>
    <border>
      <left style="thin">
        <color auto="1"/>
      </left>
      <right style="thin">
        <color theme="0" tint="-0.14999847407452621"/>
      </right>
      <top style="thin">
        <color auto="1"/>
      </top>
      <bottom style="thin">
        <color auto="1"/>
      </bottom>
      <diagonal/>
    </border>
    <border>
      <left style="thin">
        <color auto="1"/>
      </left>
      <right style="thin">
        <color theme="0" tint="-0.14999847407452621"/>
      </right>
      <top/>
      <bottom style="thin">
        <color auto="1"/>
      </bottom>
      <diagonal/>
    </border>
    <border>
      <left/>
      <right style="thin">
        <color rgb="FFCCFFFF"/>
      </right>
      <top style="thin">
        <color theme="0" tint="-0.14999847407452621"/>
      </top>
      <bottom style="thin">
        <color theme="0" tint="-0.14999847407452621"/>
      </bottom>
      <diagonal/>
    </border>
    <border>
      <left style="thin">
        <color rgb="FFCCFFFF"/>
      </left>
      <right style="thin">
        <color auto="1"/>
      </right>
      <top style="thin">
        <color theme="0" tint="-0.14999847407452621"/>
      </top>
      <bottom style="thin">
        <color theme="0" tint="-0.14999847407452621"/>
      </bottom>
      <diagonal/>
    </border>
    <border>
      <left/>
      <right style="thin">
        <color auto="1"/>
      </right>
      <top/>
      <bottom style="thin">
        <color auto="1"/>
      </bottom>
      <diagonal/>
    </border>
    <border>
      <left/>
      <right style="thin">
        <color theme="0" tint="-0.249977111117893"/>
      </right>
      <top style="thin">
        <color auto="1"/>
      </top>
      <bottom style="thin">
        <color auto="1"/>
      </bottom>
      <diagonal/>
    </border>
    <border>
      <left style="thin">
        <color theme="0" tint="-0.14999847407452621"/>
      </left>
      <right style="thin">
        <color theme="0" tint="-0.14999847407452621"/>
      </right>
      <top style="thin">
        <color theme="0" tint="-0.14999847407452621"/>
      </top>
      <bottom style="thin">
        <color auto="1"/>
      </bottom>
      <diagonal/>
    </border>
    <border>
      <left style="thin">
        <color theme="0" tint="-0.14999847407452621"/>
      </left>
      <right style="thin">
        <color theme="0" tint="-0.14999847407452621"/>
      </right>
      <top/>
      <bottom style="thin">
        <color auto="1"/>
      </bottom>
      <diagonal/>
    </border>
    <border>
      <left/>
      <right style="thin">
        <color auto="1"/>
      </right>
      <top style="thin">
        <color theme="0" tint="-0.249977111117893"/>
      </top>
      <bottom style="thin">
        <color theme="0" tint="-0.14999847407452621"/>
      </bottom>
      <diagonal/>
    </border>
    <border>
      <left style="thin">
        <color auto="1"/>
      </left>
      <right style="thin">
        <color theme="0" tint="-0.14999847407452621"/>
      </right>
      <top style="thin">
        <color theme="0" tint="-0.249977111117893"/>
      </top>
      <bottom style="thin">
        <color theme="0" tint="-0.14999847407452621"/>
      </bottom>
      <diagonal/>
    </border>
    <border>
      <left/>
      <right/>
      <top style="thin">
        <color auto="1"/>
      </top>
      <bottom/>
      <diagonal/>
    </border>
    <border>
      <left/>
      <right style="thin">
        <color rgb="FFCCFFFF"/>
      </right>
      <top style="thin">
        <color auto="1"/>
      </top>
      <bottom style="thin">
        <color auto="1"/>
      </bottom>
      <diagonal/>
    </border>
    <border>
      <left style="thin">
        <color rgb="FFCCFFFF"/>
      </left>
      <right style="thin">
        <color theme="0" tint="-0.14999847407452621"/>
      </right>
      <top style="thin">
        <color auto="1"/>
      </top>
      <bottom style="thin">
        <color auto="1"/>
      </bottom>
      <diagonal/>
    </border>
    <border>
      <left style="thin">
        <color theme="0" tint="-0.14999847407452621"/>
      </left>
      <right style="thin">
        <color rgb="FFCCFFFF"/>
      </right>
      <top style="thin">
        <color auto="1"/>
      </top>
      <bottom style="thin">
        <color auto="1"/>
      </bottom>
      <diagonal/>
    </border>
    <border>
      <left style="thin">
        <color theme="0" tint="-0.14999847407452621"/>
      </left>
      <right/>
      <top style="thin">
        <color auto="1"/>
      </top>
      <bottom style="thin">
        <color auto="1"/>
      </bottom>
      <diagonal/>
    </border>
    <border>
      <left style="thin">
        <color theme="0" tint="-0.14999847407452621"/>
      </left>
      <right style="thin">
        <color auto="1"/>
      </right>
      <top style="thin">
        <color auto="1"/>
      </top>
      <bottom style="thin">
        <color auto="1"/>
      </bottom>
      <diagonal/>
    </border>
    <border>
      <left style="thin">
        <color theme="0" tint="-0.14999847407452621"/>
      </left>
      <right style="thin">
        <color theme="0" tint="-0.14999847407452621"/>
      </right>
      <top style="thin">
        <color auto="1"/>
      </top>
      <bottom style="thin">
        <color auto="1"/>
      </bottom>
      <diagonal/>
    </border>
    <border>
      <left style="thin">
        <color theme="0" tint="-0.14999847407452621"/>
      </left>
      <right style="thin">
        <color auto="1"/>
      </right>
      <top style="thin">
        <color theme="0" tint="-0.14999847407452621"/>
      </top>
      <bottom/>
      <diagonal/>
    </border>
    <border>
      <left style="thin">
        <color auto="1"/>
      </left>
      <right style="thin">
        <color theme="0" tint="-0.14999847407452621"/>
      </right>
      <top/>
      <bottom style="thin">
        <color theme="0" tint="-0.249977111117893"/>
      </bottom>
      <diagonal/>
    </border>
    <border>
      <left style="thin">
        <color theme="0" tint="-0.14999847407452621"/>
      </left>
      <right style="thin">
        <color theme="0" tint="-0.14999847407452621"/>
      </right>
      <top/>
      <bottom style="thin">
        <color theme="0" tint="-0.249977111117893"/>
      </bottom>
      <diagonal/>
    </border>
    <border>
      <left/>
      <right style="thin">
        <color theme="0" tint="-0.14999847407452621"/>
      </right>
      <top/>
      <bottom style="thin">
        <color theme="0" tint="-0.249977111117893"/>
      </bottom>
      <diagonal/>
    </border>
    <border>
      <left/>
      <right style="thin">
        <color auto="1"/>
      </right>
      <top/>
      <bottom style="thin">
        <color theme="0" tint="-0.249977111117893"/>
      </bottom>
      <diagonal/>
    </border>
    <border>
      <left style="thin">
        <color auto="1"/>
      </left>
      <right style="thin">
        <color theme="0" tint="-0.14999847407452621"/>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auto="1"/>
      </right>
      <top style="thin">
        <color theme="0" tint="-0.249977111117893"/>
      </top>
      <bottom style="thin">
        <color theme="0" tint="-0.249977111117893"/>
      </bottom>
      <diagonal/>
    </border>
    <border>
      <left/>
      <right style="thin">
        <color auto="1"/>
      </right>
      <top style="thin">
        <color auto="1"/>
      </top>
      <bottom style="thin">
        <color theme="0" tint="-0.14999847407452621"/>
      </bottom>
      <diagonal/>
    </border>
    <border>
      <left style="thin">
        <color theme="0" tint="-0.14999847407452621"/>
      </left>
      <right style="thin">
        <color auto="1"/>
      </right>
      <top style="thin">
        <color auto="1"/>
      </top>
      <bottom/>
      <diagonal/>
    </border>
    <border>
      <left style="thin">
        <color auto="1"/>
      </left>
      <right style="thin">
        <color theme="0" tint="-0.249977111117893"/>
      </right>
      <top/>
      <bottom/>
      <diagonal/>
    </border>
    <border>
      <left style="thin">
        <color theme="0" tint="-0.249977111117893"/>
      </left>
      <right/>
      <top style="thin">
        <color theme="0" tint="-0.249977111117893"/>
      </top>
      <bottom style="thin">
        <color theme="0" tint="-0.249977111117893"/>
      </bottom>
      <diagonal/>
    </border>
    <border>
      <left style="thin">
        <color auto="1"/>
      </left>
      <right style="thin">
        <color theme="0" tint="-0.249977111117893"/>
      </right>
      <top style="thin">
        <color auto="1"/>
      </top>
      <bottom/>
      <diagonal/>
    </border>
    <border>
      <left style="thin">
        <color theme="0" tint="-0.14999847407452621"/>
      </left>
      <right style="thin">
        <color auto="1"/>
      </right>
      <top style="thin">
        <color theme="0" tint="-0.249977111117893"/>
      </top>
      <bottom style="thin">
        <color auto="1"/>
      </bottom>
      <diagonal/>
    </border>
    <border>
      <left style="thin">
        <color theme="0" tint="-0.14999847407452621"/>
      </left>
      <right/>
      <top style="thin">
        <color theme="0" tint="-0.249977111117893"/>
      </top>
      <bottom style="thin">
        <color auto="1"/>
      </bottom>
      <diagonal/>
    </border>
    <border>
      <left style="thin">
        <color theme="0" tint="-0.249977111117893"/>
      </left>
      <right style="thin">
        <color theme="0" tint="-0.14999847407452621"/>
      </right>
      <top style="thin">
        <color auto="1"/>
      </top>
      <bottom/>
      <diagonal/>
    </border>
    <border>
      <left style="thin">
        <color theme="0" tint="-0.249977111117893"/>
      </left>
      <right style="thin">
        <color theme="0" tint="-0.14999847407452621"/>
      </right>
      <top style="thin">
        <color theme="0" tint="-0.14999847407452621"/>
      </top>
      <bottom/>
      <diagonal/>
    </border>
    <border>
      <left style="thin">
        <color theme="0" tint="-0.249977111117893"/>
      </left>
      <right/>
      <top style="thin">
        <color theme="0" tint="-0.14999847407452621"/>
      </top>
      <bottom style="thin">
        <color auto="1"/>
      </bottom>
      <diagonal/>
    </border>
    <border>
      <left style="thin">
        <color theme="0" tint="-0.14999847407452621"/>
      </left>
      <right style="thin">
        <color auto="1"/>
      </right>
      <top/>
      <bottom style="thin">
        <color auto="1"/>
      </bottom>
      <diagonal/>
    </border>
    <border>
      <left style="thin">
        <color theme="0" tint="-0.249977111117893"/>
      </left>
      <right/>
      <top style="thin">
        <color auto="1"/>
      </top>
      <bottom style="thin">
        <color auto="1"/>
      </bottom>
      <diagonal/>
    </border>
    <border>
      <left style="thin">
        <color theme="0" tint="-0.249977111117893"/>
      </left>
      <right style="thin">
        <color auto="1"/>
      </right>
      <top style="thin">
        <color theme="0" tint="-0.14999847407452621"/>
      </top>
      <bottom style="thin">
        <color auto="1"/>
      </bottom>
      <diagonal/>
    </border>
    <border>
      <left style="thin">
        <color theme="0" tint="-0.249977111117893"/>
      </left>
      <right style="thin">
        <color auto="1"/>
      </right>
      <top style="thin">
        <color auto="1"/>
      </top>
      <bottom style="thin">
        <color theme="0" tint="-0.14999847407452621"/>
      </bottom>
      <diagonal/>
    </border>
    <border>
      <left style="thin">
        <color auto="1"/>
      </left>
      <right/>
      <top style="thin">
        <color theme="0" tint="-0.14999847407452621"/>
      </top>
      <bottom/>
      <diagonal/>
    </border>
    <border>
      <left style="thin">
        <color auto="1"/>
      </left>
      <right style="thin">
        <color theme="0" tint="-0.14999847407452621"/>
      </right>
      <top style="thin">
        <color theme="0" tint="-0.14999847407452621"/>
      </top>
      <bottom/>
      <diagonal/>
    </border>
    <border>
      <left style="thin">
        <color theme="0" tint="-0.14999847407452621"/>
      </left>
      <right style="thin">
        <color auto="1"/>
      </right>
      <top style="thin">
        <color theme="0" tint="-0.14999847407452621"/>
      </top>
      <bottom style="thin">
        <color auto="1"/>
      </bottom>
      <diagonal/>
    </border>
    <border>
      <left/>
      <right/>
      <top/>
      <bottom style="thin">
        <color theme="0" tint="-0.249977111117893"/>
      </bottom>
      <diagonal/>
    </border>
    <border>
      <left style="thin">
        <color rgb="FFCCFFFF"/>
      </left>
      <right style="thin">
        <color theme="0" tint="-0.14999847407452621"/>
      </right>
      <top style="thin">
        <color theme="0" tint="-0.14996795556505021"/>
      </top>
      <bottom style="thin">
        <color theme="0" tint="-0.14996795556505021"/>
      </bottom>
      <diagonal/>
    </border>
    <border>
      <left style="thin">
        <color theme="0" tint="-0.14999847407452621"/>
      </left>
      <right style="thin">
        <color theme="0" tint="-0.14999847407452621"/>
      </right>
      <top style="thin">
        <color theme="0" tint="-0.14996795556505021"/>
      </top>
      <bottom style="thin">
        <color theme="0" tint="-0.14996795556505021"/>
      </bottom>
      <diagonal/>
    </border>
    <border>
      <left/>
      <right style="thin">
        <color theme="0" tint="-0.14999847407452621"/>
      </right>
      <top style="thin">
        <color theme="0" tint="-0.14996795556505021"/>
      </top>
      <bottom style="thin">
        <color theme="0" tint="-0.14996795556505021"/>
      </bottom>
      <diagonal/>
    </border>
    <border>
      <left/>
      <right style="thin">
        <color rgb="FFCCFFFF"/>
      </right>
      <top style="thin">
        <color theme="0" tint="-0.14996795556505021"/>
      </top>
      <bottom style="thin">
        <color theme="0" tint="-0.1499679555650502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theme="0" tint="-0.14999847407452621"/>
      </right>
      <top style="thin">
        <color auto="1"/>
      </top>
      <bottom style="thin">
        <color theme="0" tint="-0.249977111117893"/>
      </bottom>
      <diagonal/>
    </border>
    <border>
      <left style="thin">
        <color auto="1"/>
      </left>
      <right/>
      <top style="thin">
        <color theme="0" tint="-0.249977111117893"/>
      </top>
      <bottom style="thin">
        <color theme="0" tint="-0.249977111117893"/>
      </bottom>
      <diagonal/>
    </border>
    <border>
      <left style="thin">
        <color auto="1"/>
      </left>
      <right style="thin">
        <color auto="1"/>
      </right>
      <top style="thin">
        <color theme="0" tint="-0.249977111117893"/>
      </top>
      <bottom style="thin">
        <color theme="0" tint="-0.249977111117893"/>
      </bottom>
      <diagonal/>
    </border>
    <border>
      <left style="thin">
        <color auto="1"/>
      </left>
      <right/>
      <top style="thin">
        <color auto="1"/>
      </top>
      <bottom/>
      <diagonal/>
    </border>
    <border>
      <left/>
      <right style="thin">
        <color auto="1"/>
      </right>
      <top style="thin">
        <color auto="1"/>
      </top>
      <bottom/>
      <diagonal/>
    </border>
    <border>
      <left style="thin">
        <color indexed="47"/>
      </left>
      <right style="thin">
        <color auto="1"/>
      </right>
      <top style="thin">
        <color auto="1"/>
      </top>
      <bottom style="thin">
        <color theme="0" tint="-0.14996795556505021"/>
      </bottom>
      <diagonal/>
    </border>
    <border>
      <left style="thin">
        <color indexed="47"/>
      </left>
      <right style="thin">
        <color auto="1"/>
      </right>
      <top style="thin">
        <color theme="0" tint="-0.14996795556505021"/>
      </top>
      <bottom style="thin">
        <color theme="0" tint="-0.14996795556505021"/>
      </bottom>
      <diagonal/>
    </border>
    <border>
      <left style="thin">
        <color indexed="47"/>
      </left>
      <right style="thin">
        <color auto="1"/>
      </right>
      <top/>
      <bottom style="thin">
        <color auto="1"/>
      </bottom>
      <diagonal/>
    </border>
    <border>
      <left style="thin">
        <color theme="0" tint="-0.14999847407452621"/>
      </left>
      <right style="thin">
        <color theme="0" tint="-0.14999847407452621"/>
      </right>
      <top style="thin">
        <color auto="1"/>
      </top>
      <bottom style="thin">
        <color theme="0" tint="-0.249977111117893"/>
      </bottom>
      <diagonal/>
    </border>
    <border>
      <left/>
      <right style="thin">
        <color theme="0" tint="-0.14999847407452621"/>
      </right>
      <top style="thin">
        <color auto="1"/>
      </top>
      <bottom style="thin">
        <color theme="0" tint="-0.249977111117893"/>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auto="1"/>
      </top>
      <bottom style="thin">
        <color theme="0" tint="-0.249977111117893"/>
      </bottom>
      <diagonal/>
    </border>
    <border>
      <left style="thin">
        <color theme="0" tint="-0.14999847407452621"/>
      </left>
      <right style="thin">
        <color theme="0" tint="-0.14996795556505021"/>
      </right>
      <top style="thin">
        <color auto="1"/>
      </top>
      <bottom/>
      <diagonal/>
    </border>
    <border>
      <left/>
      <right style="thin">
        <color theme="0" tint="-0.249977111117893"/>
      </right>
      <top style="thin">
        <color auto="1"/>
      </top>
      <bottom style="thin">
        <color theme="0" tint="-0.249977111117893"/>
      </bottom>
      <diagonal/>
    </border>
    <border>
      <left style="thin">
        <color theme="0" tint="-0.14999847407452621"/>
      </left>
      <right style="thin">
        <color theme="0" tint="-0.249977111117893"/>
      </right>
      <top style="thin">
        <color auto="1"/>
      </top>
      <bottom style="thin">
        <color auto="1"/>
      </bottom>
      <diagonal/>
    </border>
    <border>
      <left style="thin">
        <color theme="0" tint="-0.14999847407452621"/>
      </left>
      <right/>
      <top style="thin">
        <color auto="1"/>
      </top>
      <bottom/>
      <diagonal/>
    </border>
    <border>
      <left style="thin">
        <color auto="1"/>
      </left>
      <right style="thin">
        <color theme="0" tint="-0.14999847407452621"/>
      </right>
      <top style="thin">
        <color auto="1"/>
      </top>
      <bottom/>
      <diagonal/>
    </border>
    <border>
      <left style="thin">
        <color theme="1"/>
      </left>
      <right style="thin">
        <color theme="0" tint="-0.14996795556505021"/>
      </right>
      <top style="thin">
        <color theme="1"/>
      </top>
      <bottom style="thin">
        <color theme="0" tint="-0.14996795556505021"/>
      </bottom>
      <diagonal/>
    </border>
    <border>
      <left style="thin">
        <color theme="0" tint="-0.14996795556505021"/>
      </left>
      <right style="thin">
        <color theme="0" tint="-0.14996795556505021"/>
      </right>
      <top style="thin">
        <color theme="1"/>
      </top>
      <bottom style="thin">
        <color theme="0" tint="-0.14996795556505021"/>
      </bottom>
      <diagonal/>
    </border>
    <border>
      <left style="thin">
        <color theme="0" tint="-0.14996795556505021"/>
      </left>
      <right style="thin">
        <color theme="1"/>
      </right>
      <top style="thin">
        <color theme="1"/>
      </top>
      <bottom style="thin">
        <color theme="0" tint="-0.14996795556505021"/>
      </bottom>
      <diagonal/>
    </border>
    <border>
      <left style="thin">
        <color theme="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right>
      <top style="thin">
        <color theme="0" tint="-0.14996795556505021"/>
      </top>
      <bottom style="thin">
        <color theme="0" tint="-0.14996795556505021"/>
      </bottom>
      <diagonal/>
    </border>
    <border>
      <left style="thin">
        <color theme="1"/>
      </left>
      <right style="thin">
        <color theme="0" tint="-0.14996795556505021"/>
      </right>
      <top style="thin">
        <color theme="0" tint="-0.14996795556505021"/>
      </top>
      <bottom style="thin">
        <color theme="1"/>
      </bottom>
      <diagonal/>
    </border>
    <border>
      <left style="thin">
        <color theme="0" tint="-0.14996795556505021"/>
      </left>
      <right style="thin">
        <color theme="0" tint="-0.14996795556505021"/>
      </right>
      <top style="thin">
        <color theme="0" tint="-0.14996795556505021"/>
      </top>
      <bottom style="thin">
        <color theme="1"/>
      </bottom>
      <diagonal/>
    </border>
    <border>
      <left style="thin">
        <color theme="0" tint="-0.14996795556505021"/>
      </left>
      <right style="thin">
        <color theme="1"/>
      </right>
      <top style="thin">
        <color theme="0" tint="-0.14996795556505021"/>
      </top>
      <bottom style="thin">
        <color theme="1"/>
      </bottom>
      <diagonal/>
    </border>
    <border>
      <left style="thin">
        <color auto="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auto="1"/>
      </right>
      <top style="thin">
        <color theme="0" tint="-0.14996795556505021"/>
      </top>
      <bottom style="thin">
        <color theme="0" tint="-0.14996795556505021"/>
      </bottom>
      <diagonal/>
    </border>
    <border>
      <left style="thin">
        <color auto="1"/>
      </left>
      <right style="thin">
        <color theme="0" tint="-0.14996795556505021"/>
      </right>
      <top style="thin">
        <color theme="0" tint="-0.14996795556505021"/>
      </top>
      <bottom style="thin">
        <color auto="1"/>
      </bottom>
      <diagonal/>
    </border>
    <border>
      <left style="thin">
        <color theme="0" tint="-0.14996795556505021"/>
      </left>
      <right style="thin">
        <color theme="0" tint="-0.14996795556505021"/>
      </right>
      <top style="thin">
        <color theme="0" tint="-0.14996795556505021"/>
      </top>
      <bottom style="thin">
        <color auto="1"/>
      </bottom>
      <diagonal/>
    </border>
    <border>
      <left style="thin">
        <color theme="0" tint="-0.14996795556505021"/>
      </left>
      <right style="thin">
        <color auto="1"/>
      </right>
      <top style="thin">
        <color theme="0" tint="-0.14996795556505021"/>
      </top>
      <bottom style="thin">
        <color auto="1"/>
      </bottom>
      <diagonal/>
    </border>
    <border>
      <left style="thin">
        <color auto="1"/>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auto="1"/>
      </right>
      <top/>
      <bottom style="thin">
        <color theme="0" tint="-0.14996795556505021"/>
      </bottom>
      <diagonal/>
    </border>
    <border>
      <left style="thin">
        <color auto="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bottom style="thin">
        <color auto="1"/>
      </bottom>
      <diagonal/>
    </border>
    <border>
      <left style="thin">
        <color auto="1"/>
      </left>
      <right style="thin">
        <color theme="0" tint="-0.14999847407452621"/>
      </right>
      <top style="thin">
        <color theme="0" tint="-0.14996795556505021"/>
      </top>
      <bottom style="thin">
        <color theme="0" tint="-0.14996795556505021"/>
      </bottom>
      <diagonal/>
    </border>
    <border>
      <left style="thin">
        <color theme="0" tint="-0.14999847407452621"/>
      </left>
      <right style="thin">
        <color theme="0" tint="-0.14996795556505021"/>
      </right>
      <top/>
      <bottom style="thin">
        <color theme="0" tint="-0.14996795556505021"/>
      </bottom>
      <diagonal/>
    </border>
    <border>
      <left style="thin">
        <color theme="0" tint="-0.14999847407452621"/>
      </left>
      <right style="thin">
        <color theme="0" tint="-0.14999847407452621"/>
      </right>
      <top/>
      <bottom style="thin">
        <color theme="0" tint="-0.24994659260841701"/>
      </bottom>
      <diagonal/>
    </border>
    <border>
      <left style="thin">
        <color theme="0" tint="-0.14999847407452621"/>
      </left>
      <right/>
      <top/>
      <bottom style="thin">
        <color theme="0" tint="-0.24994659260841701"/>
      </bottom>
      <diagonal/>
    </border>
    <border>
      <left style="thin">
        <color theme="0" tint="-0.14999847407452621"/>
      </left>
      <right style="thin">
        <color theme="0" tint="-0.14996795556505021"/>
      </right>
      <top/>
      <bottom style="thin">
        <color theme="0" tint="-0.24994659260841701"/>
      </bottom>
      <diagonal/>
    </border>
    <border>
      <left/>
      <right style="thin">
        <color auto="1"/>
      </right>
      <top/>
      <bottom style="thin">
        <color theme="0" tint="-0.24994659260841701"/>
      </bottom>
      <diagonal/>
    </border>
    <border>
      <left/>
      <right/>
      <top style="thin">
        <color theme="0" tint="-0.14999847407452621"/>
      </top>
      <bottom style="thin">
        <color auto="1"/>
      </bottom>
      <diagonal/>
    </border>
    <border>
      <left/>
      <right style="thin">
        <color theme="0" tint="-0.249977111117893"/>
      </right>
      <top style="thin">
        <color auto="1"/>
      </top>
      <bottom/>
      <diagonal/>
    </border>
    <border>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auto="1"/>
      </bottom>
      <diagonal/>
    </border>
    <border>
      <left style="thin">
        <color auto="1"/>
      </left>
      <right style="thin">
        <color auto="1"/>
      </right>
      <top style="thin">
        <color theme="0" tint="-0.34998626667073579"/>
      </top>
      <bottom style="thin">
        <color auto="1"/>
      </bottom>
      <diagonal/>
    </border>
    <border>
      <left style="thin">
        <color auto="1"/>
      </left>
      <right style="thin">
        <color auto="1"/>
      </right>
      <top style="thin">
        <color theme="0" tint="-0.34998626667073579"/>
      </top>
      <bottom style="thin">
        <color theme="0" tint="-0.34998626667073579"/>
      </bottom>
      <diagonal/>
    </border>
    <border>
      <left style="thin">
        <color auto="1"/>
      </left>
      <right style="thin">
        <color auto="1"/>
      </right>
      <top style="thin">
        <color auto="1"/>
      </top>
      <bottom/>
      <diagonal/>
    </border>
    <border>
      <left style="thin">
        <color theme="1"/>
      </left>
      <right style="thin">
        <color theme="0" tint="-0.34998626667073579"/>
      </right>
      <top style="thin">
        <color theme="1"/>
      </top>
      <bottom style="thin">
        <color theme="0" tint="-0.34998626667073579"/>
      </bottom>
      <diagonal/>
    </border>
    <border>
      <left style="thin">
        <color auto="1"/>
      </left>
      <right style="thin">
        <color auto="1"/>
      </right>
      <top style="thin">
        <color auto="1"/>
      </top>
      <bottom style="thin">
        <color auto="1"/>
      </bottom>
      <diagonal/>
    </border>
    <border>
      <left/>
      <right style="thin">
        <color auto="1"/>
      </right>
      <top style="thin">
        <color auto="1"/>
      </top>
      <bottom style="thin">
        <color theme="0" tint="-0.24994659260841701"/>
      </bottom>
      <diagonal/>
    </border>
    <border>
      <left/>
      <right style="thin">
        <color auto="1"/>
      </right>
      <top style="thin">
        <color theme="0" tint="-0.24994659260841701"/>
      </top>
      <bottom style="thin">
        <color theme="0" tint="-0.24994659260841701"/>
      </bottom>
      <diagonal/>
    </border>
    <border>
      <left/>
      <right style="thin">
        <color auto="1"/>
      </right>
      <top style="thin">
        <color theme="0" tint="-0.24994659260841701"/>
      </top>
      <bottom style="thin">
        <color auto="1"/>
      </bottom>
      <diagonal/>
    </border>
    <border>
      <left style="thin">
        <color auto="1"/>
      </left>
      <right style="thin">
        <color rgb="FFD9D9D9"/>
      </right>
      <top/>
      <bottom style="thin">
        <color rgb="FFD9D9D9"/>
      </bottom>
      <diagonal/>
    </border>
    <border>
      <left style="thin">
        <color rgb="FFD9D9D9"/>
      </left>
      <right style="thin">
        <color rgb="FFD9D9D9"/>
      </right>
      <top/>
      <bottom style="thin">
        <color rgb="FFD9D9D9"/>
      </bottom>
      <diagonal/>
    </border>
    <border>
      <left style="thin">
        <color rgb="FFD9D9D9"/>
      </left>
      <right style="thin">
        <color auto="1"/>
      </right>
      <top/>
      <bottom style="thin">
        <color rgb="FFD9D9D9"/>
      </bottom>
      <diagonal/>
    </border>
    <border>
      <left style="thin">
        <color auto="1"/>
      </left>
      <right style="thin">
        <color rgb="FFD9D9D9"/>
      </right>
      <top style="thin">
        <color rgb="FFD9D9D9"/>
      </top>
      <bottom style="thin">
        <color auto="1"/>
      </bottom>
      <diagonal/>
    </border>
    <border>
      <left style="thin">
        <color rgb="FFD9D9D9"/>
      </left>
      <right style="thin">
        <color rgb="FFD9D9D9"/>
      </right>
      <top style="thin">
        <color rgb="FFD9D9D9"/>
      </top>
      <bottom style="thin">
        <color auto="1"/>
      </bottom>
      <diagonal/>
    </border>
    <border>
      <left style="thin">
        <color rgb="FFD9D9D9"/>
      </left>
      <right style="thin">
        <color auto="1"/>
      </right>
      <top style="thin">
        <color rgb="FFD9D9D9"/>
      </top>
      <bottom style="thin">
        <color auto="1"/>
      </bottom>
      <diagonal/>
    </border>
    <border>
      <left style="thin">
        <color theme="0" tint="-0.14999847407452621"/>
      </left>
      <right style="thin">
        <color auto="1"/>
      </right>
      <top/>
      <bottom/>
      <diagonal/>
    </border>
    <border>
      <left style="thin">
        <color auto="1"/>
      </left>
      <right style="thin">
        <color rgb="FFD9D9D9"/>
      </right>
      <top style="thin">
        <color rgb="FFD9D9D9"/>
      </top>
      <bottom style="thin">
        <color rgb="FFD9D9D9"/>
      </bottom>
      <diagonal/>
    </border>
    <border>
      <left style="thin">
        <color rgb="FFD9D9D9"/>
      </left>
      <right style="thin">
        <color rgb="FFD9D9D9"/>
      </right>
      <top style="thin">
        <color rgb="FFD9D9D9"/>
      </top>
      <bottom style="thin">
        <color rgb="FFD9D9D9"/>
      </bottom>
      <diagonal/>
    </border>
    <border>
      <left style="thin">
        <color rgb="FFD9D9D9"/>
      </left>
      <right style="thin">
        <color auto="1"/>
      </right>
      <top style="thin">
        <color rgb="FFD9D9D9"/>
      </top>
      <bottom style="thin">
        <color rgb="FFD9D9D9"/>
      </bottom>
      <diagonal/>
    </border>
    <border>
      <left style="thin">
        <color theme="0" tint="-0.14999847407452621"/>
      </left>
      <right style="thin">
        <color auto="1"/>
      </right>
      <top style="thin">
        <color theme="0" tint="-0.249977111117893"/>
      </top>
      <bottom/>
      <diagonal/>
    </border>
    <border>
      <left style="thin">
        <color theme="0" tint="-0.249977111117893"/>
      </left>
      <right/>
      <top style="thin">
        <color theme="0" tint="-0.14999847407452621"/>
      </top>
      <bottom style="thin">
        <color theme="0" tint="-0.14999847407452621"/>
      </bottom>
      <diagonal/>
    </border>
    <border>
      <left style="thin">
        <color auto="1"/>
      </left>
      <right style="thin">
        <color theme="0" tint="-0.249977111117893"/>
      </right>
      <top style="thin">
        <color auto="1"/>
      </top>
      <bottom style="thin">
        <color theme="0" tint="-0.14999847407452621"/>
      </bottom>
      <diagonal/>
    </border>
    <border>
      <left style="thin">
        <color auto="1"/>
      </left>
      <right style="thin">
        <color theme="0" tint="-0.249977111117893"/>
      </right>
      <top style="thin">
        <color theme="0" tint="-0.14999847407452621"/>
      </top>
      <bottom style="thin">
        <color theme="0" tint="-0.14999847407452621"/>
      </bottom>
      <diagonal/>
    </border>
    <border>
      <left style="thin">
        <color auto="1"/>
      </left>
      <right style="thin">
        <color theme="0" tint="-0.249977111117893"/>
      </right>
      <top/>
      <bottom style="thin">
        <color theme="0" tint="-0.14999847407452621"/>
      </bottom>
      <diagonal/>
    </border>
    <border>
      <left style="thin">
        <color auto="1"/>
      </left>
      <right style="thin">
        <color theme="0" tint="-0.249977111117893"/>
      </right>
      <top style="thin">
        <color theme="0" tint="-0.14999847407452621"/>
      </top>
      <bottom style="thin">
        <color auto="1"/>
      </bottom>
      <diagonal/>
    </border>
    <border>
      <left style="thin">
        <color indexed="47"/>
      </left>
      <right style="thin">
        <color indexed="47"/>
      </right>
      <top style="thin">
        <color indexed="47"/>
      </top>
      <bottom style="thin">
        <color indexed="47"/>
      </bottom>
      <diagonal/>
    </border>
    <border>
      <left style="thin">
        <color indexed="47"/>
      </left>
      <right style="thin">
        <color indexed="47"/>
      </right>
      <top style="thin">
        <color indexed="47"/>
      </top>
      <bottom/>
      <diagonal/>
    </border>
    <border>
      <left/>
      <right style="thin">
        <color rgb="FFCCFFFF"/>
      </right>
      <top style="thin">
        <color auto="1"/>
      </top>
      <bottom/>
      <diagonal/>
    </border>
    <border>
      <left style="thin">
        <color rgb="FFCCFFFF"/>
      </left>
      <right style="thin">
        <color rgb="FFCCFFFF"/>
      </right>
      <top style="thin">
        <color auto="1"/>
      </top>
      <bottom/>
      <diagonal/>
    </border>
    <border>
      <left style="thin">
        <color rgb="FFCCFFFF"/>
      </left>
      <right style="thin">
        <color auto="1"/>
      </right>
      <top style="thin">
        <color auto="1"/>
      </top>
      <bottom/>
      <diagonal/>
    </border>
    <border>
      <left style="thin">
        <color auto="1"/>
      </left>
      <right/>
      <top style="thin">
        <color auto="1"/>
      </top>
      <bottom style="thin">
        <color rgb="FFCCFFFF"/>
      </bottom>
      <diagonal/>
    </border>
    <border>
      <left style="thin">
        <color auto="1"/>
      </left>
      <right/>
      <top style="thin">
        <color rgb="FFCCFFFF"/>
      </top>
      <bottom style="thin">
        <color rgb="FFCCFFFF"/>
      </bottom>
      <diagonal/>
    </border>
    <border>
      <left style="thin">
        <color auto="1"/>
      </left>
      <right/>
      <top style="thin">
        <color rgb="FFCCFFFF"/>
      </top>
      <bottom/>
      <diagonal/>
    </border>
    <border>
      <left style="thin">
        <color auto="1"/>
      </left>
      <right/>
      <top style="thin">
        <color rgb="FFCCFFFF"/>
      </top>
      <bottom style="thin">
        <color auto="1"/>
      </bottom>
      <diagonal/>
    </border>
    <border>
      <left style="thin">
        <color theme="0" tint="-0.14999847407452621"/>
      </left>
      <right/>
      <top style="thin">
        <color theme="0" tint="-0.14999847407452621"/>
      </top>
      <bottom style="thin">
        <color auto="1"/>
      </bottom>
      <diagonal/>
    </border>
    <border>
      <left style="thin">
        <color auto="1"/>
      </left>
      <right style="thin">
        <color theme="0" tint="-0.14996795556505021"/>
      </right>
      <top/>
      <bottom/>
      <diagonal/>
    </border>
    <border>
      <left style="thin">
        <color auto="1"/>
      </left>
      <right style="thin">
        <color auto="1"/>
      </right>
      <top style="thin">
        <color auto="1"/>
      </top>
      <bottom style="thin">
        <color theme="0" tint="-0.14996795556505021"/>
      </bottom>
      <diagonal/>
    </border>
  </borders>
  <cellStyleXfs count="23389">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8" fillId="0" borderId="0"/>
    <xf numFmtId="164" fontId="8" fillId="0" borderId="0">
      <alignment horizontal="left"/>
    </xf>
    <xf numFmtId="165" fontId="8" fillId="0" borderId="0" applyFont="0" applyFill="0" applyBorder="0" applyAlignment="0" applyProtection="0"/>
    <xf numFmtId="49" fontId="10" fillId="0" borderId="1">
      <alignment vertical="top" wrapText="1"/>
    </xf>
    <xf numFmtId="0" fontId="8" fillId="2" borderId="2">
      <alignment horizontal="left" vertical="top" wrapText="1"/>
      <protection locked="0"/>
    </xf>
    <xf numFmtId="164" fontId="8" fillId="2" borderId="2">
      <alignment horizontal="left" vertical="top" wrapText="1"/>
      <protection locked="0"/>
    </xf>
    <xf numFmtId="0" fontId="9" fillId="3" borderId="3">
      <alignment horizontal="left" vertical="center"/>
    </xf>
    <xf numFmtId="9" fontId="28"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8" fillId="0" borderId="0"/>
    <xf numFmtId="0" fontId="40"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8" fillId="0" borderId="0"/>
  </cellStyleXfs>
  <cellXfs count="601">
    <xf numFmtId="0" fontId="0" fillId="0" borderId="0" xfId="0"/>
    <xf numFmtId="0" fontId="13" fillId="0" borderId="0" xfId="0" applyFont="1" applyAlignment="1">
      <alignment vertical="center"/>
    </xf>
    <xf numFmtId="0" fontId="14" fillId="0" borderId="0" xfId="0" applyFont="1"/>
    <xf numFmtId="0" fontId="15" fillId="0" borderId="0" xfId="0" applyFont="1" applyAlignment="1">
      <alignment vertical="center"/>
    </xf>
    <xf numFmtId="0" fontId="0" fillId="0" borderId="0" xfId="0" applyAlignment="1"/>
    <xf numFmtId="0" fontId="0" fillId="0" borderId="0" xfId="0" applyBorder="1"/>
    <xf numFmtId="0" fontId="18" fillId="0" borderId="0" xfId="0" applyFont="1" applyAlignment="1">
      <alignment wrapText="1"/>
    </xf>
    <xf numFmtId="0" fontId="12" fillId="0" borderId="0" xfId="0" applyFont="1" applyAlignment="1">
      <alignment vertical="top"/>
    </xf>
    <xf numFmtId="0" fontId="0" fillId="0" borderId="6" xfId="0" applyBorder="1" applyAlignment="1">
      <alignment vertical="top"/>
    </xf>
    <xf numFmtId="0" fontId="0" fillId="0" borderId="7" xfId="0" applyBorder="1" applyAlignment="1">
      <alignment vertical="top"/>
    </xf>
    <xf numFmtId="0" fontId="12" fillId="0" borderId="0" xfId="0" applyFont="1" applyAlignment="1">
      <alignment vertical="top" wrapText="1"/>
    </xf>
    <xf numFmtId="0" fontId="0" fillId="4" borderId="0" xfId="0" applyFill="1"/>
    <xf numFmtId="49" fontId="0" fillId="0" borderId="0" xfId="0" applyNumberFormat="1" applyAlignment="1">
      <alignment horizontal="right"/>
    </xf>
    <xf numFmtId="0" fontId="0" fillId="0" borderId="0" xfId="0" applyAlignment="1">
      <alignment horizontal="right"/>
    </xf>
    <xf numFmtId="0" fontId="11" fillId="4" borderId="9" xfId="0" applyFont="1" applyFill="1" applyBorder="1" applyAlignment="1">
      <alignment vertical="center"/>
    </xf>
    <xf numFmtId="0" fontId="12" fillId="4" borderId="15" xfId="0" applyFont="1" applyFill="1" applyBorder="1"/>
    <xf numFmtId="0" fontId="12" fillId="0" borderId="0" xfId="0" applyFont="1"/>
    <xf numFmtId="0" fontId="12" fillId="0" borderId="0" xfId="0" applyFont="1" applyAlignment="1">
      <alignment vertical="center"/>
    </xf>
    <xf numFmtId="0" fontId="0" fillId="0" borderId="7" xfId="0" applyBorder="1" applyAlignment="1">
      <alignment horizontal="left" vertical="top" wrapText="1"/>
    </xf>
    <xf numFmtId="0" fontId="0" fillId="0" borderId="8" xfId="0" applyBorder="1" applyAlignment="1">
      <alignment vertical="top" wrapText="1"/>
    </xf>
    <xf numFmtId="0" fontId="0" fillId="0" borderId="8" xfId="0" applyBorder="1" applyAlignment="1">
      <alignment horizontal="left" vertical="top" wrapText="1"/>
    </xf>
    <xf numFmtId="0" fontId="18" fillId="0" borderId="0" xfId="0" applyFont="1" applyAlignment="1">
      <alignment shrinkToFit="1"/>
    </xf>
    <xf numFmtId="0" fontId="0" fillId="0" borderId="0" xfId="0" applyFill="1"/>
    <xf numFmtId="0" fontId="18" fillId="0" borderId="0" xfId="0" applyFont="1" applyFill="1" applyAlignment="1">
      <alignment wrapText="1"/>
    </xf>
    <xf numFmtId="0" fontId="14" fillId="0" borderId="0" xfId="0" applyFont="1" applyAlignment="1">
      <alignment horizontal="center" wrapText="1"/>
    </xf>
    <xf numFmtId="0" fontId="0" fillId="11" borderId="0" xfId="0" applyFill="1"/>
    <xf numFmtId="0" fontId="0" fillId="12" borderId="0" xfId="0" applyFill="1"/>
    <xf numFmtId="0" fontId="0" fillId="0" borderId="0" xfId="0" applyFill="1" applyBorder="1"/>
    <xf numFmtId="0" fontId="0" fillId="12" borderId="0" xfId="0" applyFill="1" applyAlignment="1">
      <alignment horizontal="center"/>
    </xf>
    <xf numFmtId="0" fontId="0" fillId="12" borderId="0" xfId="0" applyFill="1" applyAlignment="1"/>
    <xf numFmtId="0" fontId="0" fillId="11" borderId="0" xfId="0" applyFill="1" applyAlignment="1">
      <alignment horizontal="center"/>
    </xf>
    <xf numFmtId="0" fontId="0" fillId="11" borderId="0" xfId="0" applyFill="1" applyAlignment="1"/>
    <xf numFmtId="0" fontId="0" fillId="13" borderId="0" xfId="0" applyFill="1"/>
    <xf numFmtId="0" fontId="0" fillId="13" borderId="0" xfId="0" applyFill="1" applyAlignment="1">
      <alignment horizontal="center"/>
    </xf>
    <xf numFmtId="0" fontId="0" fillId="13" borderId="0" xfId="0" applyFill="1" applyAlignment="1"/>
    <xf numFmtId="0" fontId="0" fillId="5" borderId="0" xfId="0" applyFill="1" applyAlignment="1">
      <alignment horizontal="center"/>
    </xf>
    <xf numFmtId="0" fontId="0" fillId="5" borderId="0" xfId="0" applyFill="1" applyAlignment="1"/>
    <xf numFmtId="0" fontId="0" fillId="5" borderId="0" xfId="0" applyFill="1"/>
    <xf numFmtId="0" fontId="11" fillId="4" borderId="15" xfId="0" applyFont="1" applyFill="1" applyBorder="1" applyAlignment="1">
      <alignment vertical="center"/>
    </xf>
    <xf numFmtId="2" fontId="0" fillId="0" borderId="7" xfId="0" applyNumberFormat="1" applyBorder="1" applyAlignment="1">
      <alignment horizontal="right" vertical="top"/>
    </xf>
    <xf numFmtId="2" fontId="0" fillId="4" borderId="7" xfId="0" applyNumberFormat="1" applyFill="1" applyBorder="1" applyAlignment="1">
      <alignment horizontal="right" vertical="top"/>
    </xf>
    <xf numFmtId="1" fontId="0" fillId="0" borderId="7" xfId="0" applyNumberFormat="1" applyBorder="1" applyAlignment="1">
      <alignment horizontal="right" vertical="top"/>
    </xf>
    <xf numFmtId="0" fontId="0" fillId="0" borderId="7" xfId="0" applyBorder="1" applyAlignment="1">
      <alignment horizontal="right" vertical="top"/>
    </xf>
    <xf numFmtId="2" fontId="12" fillId="4" borderId="16" xfId="0" applyNumberFormat="1" applyFont="1" applyFill="1" applyBorder="1" applyAlignment="1">
      <alignment horizontal="right" vertical="center"/>
    </xf>
    <xf numFmtId="0" fontId="12" fillId="4" borderId="10" xfId="0" applyFont="1" applyFill="1" applyBorder="1" applyAlignment="1">
      <alignment horizontal="right" vertical="center" wrapText="1"/>
    </xf>
    <xf numFmtId="0" fontId="12" fillId="4" borderId="16" xfId="0" applyFont="1" applyFill="1" applyBorder="1" applyAlignment="1">
      <alignment horizontal="right" vertical="center" wrapText="1"/>
    </xf>
    <xf numFmtId="0" fontId="12" fillId="4" borderId="15" xfId="0" applyFont="1" applyFill="1" applyBorder="1" applyAlignment="1">
      <alignment wrapText="1"/>
    </xf>
    <xf numFmtId="0" fontId="12" fillId="4" borderId="15" xfId="0" applyFont="1" applyFill="1" applyBorder="1" applyAlignment="1" applyProtection="1">
      <alignment wrapText="1"/>
      <protection locked="0"/>
    </xf>
    <xf numFmtId="0" fontId="0" fillId="0" borderId="32" xfId="0" applyBorder="1"/>
    <xf numFmtId="2" fontId="0" fillId="0" borderId="51" xfId="0" applyNumberFormat="1" applyBorder="1"/>
    <xf numFmtId="2" fontId="0" fillId="0" borderId="50" xfId="0" applyNumberFormat="1" applyBorder="1"/>
    <xf numFmtId="2" fontId="0" fillId="0" borderId="52" xfId="0" applyNumberFormat="1" applyBorder="1"/>
    <xf numFmtId="0" fontId="12" fillId="4" borderId="32" xfId="0" applyNumberFormat="1" applyFont="1" applyFill="1" applyBorder="1" applyAlignment="1">
      <alignment horizontal="left" vertical="center"/>
    </xf>
    <xf numFmtId="0" fontId="12" fillId="4" borderId="60" xfId="0" applyNumberFormat="1" applyFont="1" applyFill="1" applyBorder="1" applyAlignment="1">
      <alignment horizontal="left" vertical="center"/>
    </xf>
    <xf numFmtId="0" fontId="25" fillId="15" borderId="26" xfId="0" applyFont="1" applyFill="1" applyBorder="1" applyAlignment="1">
      <alignment horizontal="left" wrapText="1"/>
    </xf>
    <xf numFmtId="0" fontId="25" fillId="15" borderId="27" xfId="0" applyFont="1" applyFill="1" applyBorder="1" applyAlignment="1">
      <alignment horizontal="left" wrapText="1"/>
    </xf>
    <xf numFmtId="0" fontId="25" fillId="15" borderId="33" xfId="0" applyFont="1" applyFill="1" applyBorder="1" applyAlignment="1">
      <alignment horizontal="left" wrapText="1"/>
    </xf>
    <xf numFmtId="0" fontId="26" fillId="15" borderId="17" xfId="0" applyFont="1" applyFill="1" applyBorder="1" applyAlignment="1">
      <alignment horizontal="left" vertical="center" wrapText="1"/>
    </xf>
    <xf numFmtId="0" fontId="26" fillId="15" borderId="18" xfId="0" applyFont="1" applyFill="1" applyBorder="1" applyAlignment="1">
      <alignment horizontal="left" vertical="center" wrapText="1"/>
    </xf>
    <xf numFmtId="0" fontId="26" fillId="15" borderId="19" xfId="0" applyFont="1" applyFill="1" applyBorder="1" applyAlignment="1">
      <alignment horizontal="left" vertical="center" wrapText="1"/>
    </xf>
    <xf numFmtId="0" fontId="25" fillId="15" borderId="49" xfId="0" applyFont="1" applyFill="1" applyBorder="1" applyAlignment="1">
      <alignment horizontal="left" vertical="center" wrapText="1"/>
    </xf>
    <xf numFmtId="0" fontId="25" fillId="15" borderId="57" xfId="0" applyFont="1" applyFill="1" applyBorder="1" applyAlignment="1">
      <alignment horizontal="left" vertical="center" wrapText="1"/>
    </xf>
    <xf numFmtId="2" fontId="0" fillId="4" borderId="50" xfId="0" applyNumberFormat="1" applyFill="1" applyBorder="1" applyAlignment="1">
      <alignment vertical="center"/>
    </xf>
    <xf numFmtId="0" fontId="25" fillId="15" borderId="59" xfId="0" applyFont="1" applyFill="1" applyBorder="1" applyAlignment="1">
      <alignment horizontal="left" vertical="center" wrapText="1"/>
    </xf>
    <xf numFmtId="0" fontId="12" fillId="0" borderId="60" xfId="0" applyFont="1" applyFill="1" applyBorder="1" applyAlignment="1">
      <alignment horizontal="left" vertical="top"/>
    </xf>
    <xf numFmtId="0" fontId="12" fillId="0" borderId="60" xfId="0" applyFont="1" applyFill="1" applyBorder="1" applyAlignment="1">
      <alignment horizontal="left" vertical="top" wrapText="1"/>
    </xf>
    <xf numFmtId="2" fontId="12" fillId="0" borderId="53" xfId="0" applyNumberFormat="1" applyFont="1" applyFill="1" applyBorder="1" applyAlignment="1">
      <alignment horizontal="right" vertical="top"/>
    </xf>
    <xf numFmtId="0" fontId="12" fillId="0" borderId="66" xfId="0" applyFont="1" applyFill="1" applyBorder="1" applyAlignment="1">
      <alignment vertical="top"/>
    </xf>
    <xf numFmtId="0" fontId="12" fillId="0" borderId="67" xfId="0" applyFont="1" applyFill="1" applyBorder="1" applyAlignment="1">
      <alignment horizontal="left" vertical="top"/>
    </xf>
    <xf numFmtId="0" fontId="12" fillId="0" borderId="67" xfId="0" applyFont="1" applyFill="1" applyBorder="1" applyAlignment="1">
      <alignment horizontal="left" vertical="top" wrapText="1"/>
    </xf>
    <xf numFmtId="2" fontId="12" fillId="0" borderId="51" xfId="0" applyNumberFormat="1" applyFont="1" applyFill="1" applyBorder="1" applyAlignment="1">
      <alignment horizontal="right" vertical="top"/>
    </xf>
    <xf numFmtId="2" fontId="12" fillId="0" borderId="67" xfId="0" applyNumberFormat="1" applyFont="1" applyFill="1" applyBorder="1" applyAlignment="1">
      <alignment horizontal="right" vertical="top"/>
    </xf>
    <xf numFmtId="1" fontId="12" fillId="0" borderId="51" xfId="0" applyNumberFormat="1" applyFont="1" applyFill="1" applyBorder="1" applyAlignment="1">
      <alignment horizontal="right" vertical="top"/>
    </xf>
    <xf numFmtId="2" fontId="12" fillId="5" borderId="67" xfId="0" applyNumberFormat="1" applyFont="1" applyFill="1" applyBorder="1" applyAlignment="1">
      <alignment horizontal="right" vertical="top"/>
    </xf>
    <xf numFmtId="2" fontId="12" fillId="4" borderId="67" xfId="0" applyNumberFormat="1" applyFont="1" applyFill="1" applyBorder="1" applyAlignment="1">
      <alignment horizontal="right" vertical="top"/>
    </xf>
    <xf numFmtId="0" fontId="12" fillId="0" borderId="41" xfId="0" applyFont="1" applyFill="1" applyBorder="1" applyAlignment="1">
      <alignment horizontal="left" vertical="top" wrapText="1"/>
    </xf>
    <xf numFmtId="2" fontId="12" fillId="5" borderId="38" xfId="0" applyNumberFormat="1" applyFont="1" applyFill="1" applyBorder="1" applyAlignment="1">
      <alignment horizontal="right" vertical="top"/>
    </xf>
    <xf numFmtId="2" fontId="12" fillId="4" borderId="46" xfId="0" applyNumberFormat="1" applyFont="1" applyFill="1" applyBorder="1" applyAlignment="1">
      <alignment horizontal="right" vertical="top"/>
    </xf>
    <xf numFmtId="2" fontId="12" fillId="5" borderId="70" xfId="0" applyNumberFormat="1" applyFont="1" applyFill="1" applyBorder="1" applyAlignment="1">
      <alignment horizontal="right" vertical="top"/>
    </xf>
    <xf numFmtId="2" fontId="12" fillId="4" borderId="70" xfId="0" applyNumberFormat="1" applyFont="1" applyFill="1" applyBorder="1" applyAlignment="1">
      <alignment horizontal="right" vertical="top"/>
    </xf>
    <xf numFmtId="0" fontId="12" fillId="0" borderId="42" xfId="0" applyFont="1" applyFill="1" applyBorder="1" applyAlignment="1">
      <alignment horizontal="left" vertical="top" wrapText="1"/>
    </xf>
    <xf numFmtId="2" fontId="12" fillId="4" borderId="50" xfId="0" applyNumberFormat="1" applyFont="1" applyFill="1" applyBorder="1" applyAlignment="1">
      <alignment horizontal="right" vertical="top"/>
    </xf>
    <xf numFmtId="0" fontId="12" fillId="0" borderId="70" xfId="0" applyFont="1" applyFill="1" applyBorder="1" applyAlignment="1">
      <alignment horizontal="left" vertical="top"/>
    </xf>
    <xf numFmtId="0" fontId="12" fillId="0" borderId="70" xfId="0" applyFont="1" applyFill="1" applyBorder="1" applyAlignment="1">
      <alignment horizontal="left" vertical="top" wrapText="1"/>
    </xf>
    <xf numFmtId="2" fontId="12" fillId="0" borderId="50" xfId="0" applyNumberFormat="1" applyFont="1" applyFill="1" applyBorder="1" applyAlignment="1">
      <alignment horizontal="right" vertical="top"/>
    </xf>
    <xf numFmtId="2" fontId="12" fillId="0" borderId="70" xfId="0" applyNumberFormat="1" applyFont="1" applyFill="1" applyBorder="1" applyAlignment="1">
      <alignment horizontal="right" vertical="top"/>
    </xf>
    <xf numFmtId="1" fontId="12" fillId="0" borderId="50" xfId="0" applyNumberFormat="1" applyFont="1" applyFill="1" applyBorder="1" applyAlignment="1">
      <alignment horizontal="right" vertical="top"/>
    </xf>
    <xf numFmtId="1" fontId="12" fillId="0" borderId="67" xfId="0" applyNumberFormat="1" applyFont="1" applyFill="1" applyBorder="1" applyAlignment="1">
      <alignment horizontal="right" vertical="top"/>
    </xf>
    <xf numFmtId="0" fontId="12" fillId="0" borderId="67" xfId="0" applyFont="1" applyFill="1" applyBorder="1" applyAlignment="1">
      <alignment vertical="top"/>
    </xf>
    <xf numFmtId="0" fontId="0" fillId="0" borderId="9" xfId="0" applyBorder="1"/>
    <xf numFmtId="0" fontId="0" fillId="0" borderId="15" xfId="0" applyBorder="1"/>
    <xf numFmtId="0" fontId="0" fillId="0" borderId="10" xfId="0" applyBorder="1"/>
    <xf numFmtId="0" fontId="25" fillId="15" borderId="36" xfId="0" applyFont="1" applyFill="1" applyBorder="1" applyAlignment="1">
      <alignment vertical="center"/>
    </xf>
    <xf numFmtId="0" fontId="25" fillId="15" borderId="54" xfId="0" applyFont="1" applyFill="1" applyBorder="1" applyAlignment="1">
      <alignment vertical="top" wrapText="1"/>
    </xf>
    <xf numFmtId="0" fontId="25" fillId="15" borderId="37" xfId="0" applyFont="1" applyFill="1" applyBorder="1" applyAlignment="1">
      <alignment vertical="top"/>
    </xf>
    <xf numFmtId="0" fontId="25" fillId="15" borderId="45" xfId="0" applyFont="1" applyFill="1" applyBorder="1" applyAlignment="1">
      <alignment horizontal="left" vertical="center" wrapText="1"/>
    </xf>
    <xf numFmtId="0" fontId="19" fillId="5" borderId="59" xfId="0" applyFont="1" applyFill="1" applyBorder="1" applyAlignment="1">
      <alignment horizontal="centerContinuous" vertical="center" wrapText="1"/>
    </xf>
    <xf numFmtId="0" fontId="25" fillId="15" borderId="59" xfId="0" applyFont="1" applyFill="1" applyBorder="1" applyAlignment="1">
      <alignment horizontal="center" vertical="center" wrapText="1"/>
    </xf>
    <xf numFmtId="0" fontId="0" fillId="0" borderId="81" xfId="0" applyBorder="1" applyAlignment="1">
      <alignment vertical="top"/>
    </xf>
    <xf numFmtId="0" fontId="0" fillId="0" borderId="52" xfId="0" applyBorder="1" applyAlignment="1">
      <alignment horizontal="left" vertical="top" wrapText="1"/>
    </xf>
    <xf numFmtId="1" fontId="12" fillId="0" borderId="60" xfId="0" applyNumberFormat="1" applyFont="1" applyFill="1" applyBorder="1" applyAlignment="1">
      <alignment horizontal="right" vertical="top"/>
    </xf>
    <xf numFmtId="2" fontId="12" fillId="4" borderId="14" xfId="0" applyNumberFormat="1" applyFont="1" applyFill="1" applyBorder="1" applyAlignment="1">
      <alignment horizontal="right" vertical="top"/>
    </xf>
    <xf numFmtId="0" fontId="12" fillId="0" borderId="4" xfId="0" applyFont="1" applyFill="1" applyBorder="1" applyAlignment="1">
      <alignment horizontal="left" vertical="top" wrapText="1"/>
    </xf>
    <xf numFmtId="0" fontId="12" fillId="0" borderId="50" xfId="0" applyFont="1" applyFill="1" applyBorder="1" applyAlignment="1">
      <alignment horizontal="left" vertical="top" wrapText="1"/>
    </xf>
    <xf numFmtId="1" fontId="12" fillId="0" borderId="70" xfId="0" applyNumberFormat="1" applyFont="1" applyFill="1" applyBorder="1" applyAlignment="1">
      <alignment horizontal="right" vertical="top"/>
    </xf>
    <xf numFmtId="2" fontId="12" fillId="4" borderId="39" xfId="0" applyNumberFormat="1" applyFont="1" applyFill="1" applyBorder="1" applyAlignment="1">
      <alignment horizontal="right" vertical="top"/>
    </xf>
    <xf numFmtId="0" fontId="12" fillId="0" borderId="75" xfId="0" applyFont="1" applyFill="1" applyBorder="1" applyAlignment="1">
      <alignment horizontal="left" vertical="top" wrapText="1"/>
    </xf>
    <xf numFmtId="0" fontId="12" fillId="0" borderId="51" xfId="0" applyFont="1" applyFill="1" applyBorder="1" applyAlignment="1">
      <alignment horizontal="left" vertical="top" wrapText="1"/>
    </xf>
    <xf numFmtId="2" fontId="12" fillId="4" borderId="82" xfId="0" applyNumberFormat="1" applyFont="1" applyFill="1" applyBorder="1" applyAlignment="1">
      <alignment horizontal="right" vertical="top"/>
    </xf>
    <xf numFmtId="0" fontId="12" fillId="0" borderId="83" xfId="0" applyFont="1" applyFill="1" applyBorder="1" applyAlignment="1">
      <alignment horizontal="left" vertical="top" wrapText="1"/>
    </xf>
    <xf numFmtId="0" fontId="25" fillId="15" borderId="63" xfId="0" applyFont="1" applyFill="1" applyBorder="1" applyAlignment="1">
      <alignment horizontal="left" vertical="center" wrapText="1"/>
    </xf>
    <xf numFmtId="0" fontId="25" fillId="15" borderId="58" xfId="0" applyFont="1" applyFill="1" applyBorder="1" applyAlignment="1">
      <alignment horizontal="left" vertical="center" wrapText="1"/>
    </xf>
    <xf numFmtId="0" fontId="12" fillId="0" borderId="51" xfId="0" applyFont="1" applyFill="1" applyBorder="1" applyAlignment="1">
      <alignment vertical="top"/>
    </xf>
    <xf numFmtId="0" fontId="12" fillId="0" borderId="53" xfId="0" applyFont="1" applyFill="1" applyBorder="1" applyAlignment="1">
      <alignment vertical="top"/>
    </xf>
    <xf numFmtId="0" fontId="12" fillId="0" borderId="50" xfId="0" applyFont="1" applyFill="1" applyBorder="1" applyAlignment="1">
      <alignment vertical="top"/>
    </xf>
    <xf numFmtId="0" fontId="18" fillId="0" borderId="32" xfId="0" applyFont="1" applyBorder="1" applyAlignment="1">
      <alignment wrapText="1"/>
    </xf>
    <xf numFmtId="0" fontId="18" fillId="0" borderId="32" xfId="0" applyFont="1" applyFill="1" applyBorder="1" applyAlignment="1">
      <alignment wrapText="1"/>
    </xf>
    <xf numFmtId="0" fontId="0" fillId="0" borderId="32" xfId="0" applyFill="1" applyBorder="1"/>
    <xf numFmtId="0" fontId="0" fillId="0" borderId="84" xfId="0" applyBorder="1" applyAlignment="1">
      <alignment horizontal="left" vertical="top" wrapText="1"/>
    </xf>
    <xf numFmtId="0" fontId="18" fillId="0" borderId="32" xfId="0" applyFont="1" applyFill="1" applyBorder="1" applyAlignment="1">
      <alignment shrinkToFit="1"/>
    </xf>
    <xf numFmtId="0" fontId="0" fillId="0" borderId="86" xfId="0" applyBorder="1" applyAlignment="1">
      <alignment vertical="top"/>
    </xf>
    <xf numFmtId="1" fontId="0" fillId="0" borderId="86" xfId="0" applyNumberFormat="1" applyBorder="1" applyAlignment="1">
      <alignment horizontal="right" vertical="top"/>
    </xf>
    <xf numFmtId="0" fontId="0" fillId="0" borderId="87" xfId="0" applyBorder="1" applyAlignment="1">
      <alignment horizontal="left" vertical="top" wrapText="1"/>
    </xf>
    <xf numFmtId="2" fontId="0" fillId="4" borderId="87" xfId="0" applyNumberFormat="1" applyFill="1" applyBorder="1" applyAlignment="1">
      <alignment horizontal="right" vertical="top"/>
    </xf>
    <xf numFmtId="2" fontId="0" fillId="0" borderId="86" xfId="0" applyNumberFormat="1" applyBorder="1" applyAlignment="1">
      <alignment horizontal="right" vertical="top"/>
    </xf>
    <xf numFmtId="0" fontId="25" fillId="15" borderId="37" xfId="0" applyFont="1" applyFill="1" applyBorder="1" applyAlignment="1">
      <alignment horizontal="left" vertical="center" wrapText="1"/>
    </xf>
    <xf numFmtId="0" fontId="11" fillId="12" borderId="10" xfId="0" applyFont="1" applyFill="1" applyBorder="1" applyAlignment="1">
      <alignment horizontal="center" vertical="center"/>
    </xf>
    <xf numFmtId="0" fontId="12" fillId="0" borderId="51" xfId="0" applyFont="1" applyFill="1" applyBorder="1" applyAlignment="1">
      <alignment horizontal="left" vertical="top"/>
    </xf>
    <xf numFmtId="0" fontId="12" fillId="0" borderId="53" xfId="0" applyFont="1" applyFill="1" applyBorder="1" applyAlignment="1">
      <alignment horizontal="left" vertical="top"/>
    </xf>
    <xf numFmtId="10" fontId="12" fillId="0" borderId="67" xfId="0" applyNumberFormat="1" applyFont="1" applyFill="1" applyBorder="1" applyAlignment="1">
      <alignment horizontal="right" vertical="top"/>
    </xf>
    <xf numFmtId="10" fontId="12" fillId="0" borderId="70" xfId="0" applyNumberFormat="1" applyFont="1" applyFill="1" applyBorder="1" applyAlignment="1">
      <alignment horizontal="right" vertical="top"/>
    </xf>
    <xf numFmtId="0" fontId="12" fillId="0" borderId="50" xfId="0" applyFont="1" applyFill="1" applyBorder="1" applyAlignment="1">
      <alignment horizontal="left" vertical="top"/>
    </xf>
    <xf numFmtId="0" fontId="11" fillId="4" borderId="81" xfId="0" applyFont="1" applyFill="1" applyBorder="1" applyAlignment="1">
      <alignment horizontal="center" vertical="top"/>
    </xf>
    <xf numFmtId="2" fontId="11" fillId="12" borderId="84" xfId="0" applyNumberFormat="1" applyFont="1" applyFill="1" applyBorder="1" applyAlignment="1">
      <alignment horizontal="center" vertical="top"/>
    </xf>
    <xf numFmtId="0" fontId="11" fillId="5" borderId="89" xfId="0" applyFont="1" applyFill="1" applyBorder="1" applyAlignment="1">
      <alignment vertical="top"/>
    </xf>
    <xf numFmtId="0" fontId="11" fillId="5" borderId="88" xfId="0" applyFont="1" applyFill="1" applyBorder="1" applyAlignment="1">
      <alignment horizontal="center" vertical="top"/>
    </xf>
    <xf numFmtId="0" fontId="12" fillId="0" borderId="68" xfId="0" applyFont="1" applyFill="1" applyBorder="1" applyAlignment="1">
      <alignment horizontal="left" vertical="top" wrapText="1"/>
    </xf>
    <xf numFmtId="0" fontId="12" fillId="0" borderId="72" xfId="0" applyFont="1" applyFill="1" applyBorder="1" applyAlignment="1">
      <alignment horizontal="left" vertical="top" wrapText="1"/>
    </xf>
    <xf numFmtId="0" fontId="12" fillId="0" borderId="70" xfId="0" applyFont="1" applyFill="1" applyBorder="1" applyAlignment="1" applyProtection="1">
      <alignment horizontal="left" vertical="top" wrapText="1"/>
      <protection locked="0"/>
    </xf>
    <xf numFmtId="2" fontId="12" fillId="4" borderId="66" xfId="0" applyNumberFormat="1" applyFont="1" applyFill="1" applyBorder="1" applyAlignment="1">
      <alignment horizontal="right" vertical="center"/>
    </xf>
    <xf numFmtId="10" fontId="12" fillId="4" borderId="41" xfId="0" applyNumberFormat="1" applyFont="1" applyFill="1" applyBorder="1" applyAlignment="1">
      <alignment horizontal="right" vertical="center" wrapText="1"/>
    </xf>
    <xf numFmtId="1" fontId="12" fillId="14" borderId="71" xfId="0" applyNumberFormat="1" applyFont="1" applyFill="1" applyBorder="1" applyAlignment="1">
      <alignment horizontal="center" vertical="center"/>
    </xf>
    <xf numFmtId="0" fontId="12" fillId="0" borderId="42" xfId="0" applyFont="1" applyFill="1" applyBorder="1" applyAlignment="1">
      <alignment horizontal="center" vertical="center" wrapText="1"/>
    </xf>
    <xf numFmtId="2" fontId="12" fillId="4" borderId="75" xfId="0" applyNumberFormat="1" applyFont="1" applyFill="1" applyBorder="1" applyAlignment="1">
      <alignment horizontal="right" vertical="center" wrapText="1"/>
    </xf>
    <xf numFmtId="0" fontId="12" fillId="0" borderId="64" xfId="0" applyFont="1" applyFill="1" applyBorder="1" applyAlignment="1">
      <alignment horizontal="left" vertical="top" wrapText="1"/>
    </xf>
    <xf numFmtId="167" fontId="12" fillId="4" borderId="91" xfId="0" applyNumberFormat="1" applyFont="1" applyFill="1" applyBorder="1" applyAlignment="1">
      <alignment horizontal="center" vertical="center"/>
    </xf>
    <xf numFmtId="167" fontId="12" fillId="4" borderId="92" xfId="0" applyNumberFormat="1" applyFont="1" applyFill="1" applyBorder="1" applyAlignment="1">
      <alignment horizontal="center" vertical="center"/>
    </xf>
    <xf numFmtId="167" fontId="12" fillId="4" borderId="44" xfId="0" applyNumberFormat="1" applyFont="1" applyFill="1" applyBorder="1" applyAlignment="1">
      <alignment horizontal="center" vertical="center"/>
    </xf>
    <xf numFmtId="167" fontId="12" fillId="0" borderId="50" xfId="0" applyNumberFormat="1" applyFont="1" applyFill="1" applyBorder="1" applyAlignment="1">
      <alignment horizontal="center" vertical="center"/>
    </xf>
    <xf numFmtId="167" fontId="12" fillId="0" borderId="39" xfId="0" applyNumberFormat="1" applyFont="1" applyFill="1" applyBorder="1" applyAlignment="1">
      <alignment horizontal="center" vertical="center"/>
    </xf>
    <xf numFmtId="167" fontId="12" fillId="0" borderId="47" xfId="0" applyNumberFormat="1" applyFont="1" applyFill="1" applyBorder="1" applyAlignment="1">
      <alignment horizontal="center" vertical="center"/>
    </xf>
    <xf numFmtId="167" fontId="12" fillId="0" borderId="51" xfId="0" applyNumberFormat="1" applyFont="1" applyFill="1" applyBorder="1" applyAlignment="1">
      <alignment horizontal="center" vertical="center"/>
    </xf>
    <xf numFmtId="167" fontId="12" fillId="0" borderId="82" xfId="0" applyNumberFormat="1" applyFont="1" applyFill="1" applyBorder="1" applyAlignment="1">
      <alignment horizontal="center" vertical="center"/>
    </xf>
    <xf numFmtId="167" fontId="12" fillId="0" borderId="67" xfId="0" applyNumberFormat="1" applyFont="1" applyFill="1" applyBorder="1" applyAlignment="1">
      <alignment horizontal="center" vertical="center"/>
    </xf>
    <xf numFmtId="167" fontId="12" fillId="0" borderId="70" xfId="0" applyNumberFormat="1" applyFont="1" applyFill="1" applyBorder="1" applyAlignment="1">
      <alignment horizontal="center" vertical="center"/>
    </xf>
    <xf numFmtId="167" fontId="12" fillId="4" borderId="9" xfId="0" applyNumberFormat="1" applyFont="1" applyFill="1" applyBorder="1" applyAlignment="1">
      <alignment horizontal="center" vertical="center"/>
    </xf>
    <xf numFmtId="167" fontId="12" fillId="4" borderId="93" xfId="0" applyNumberFormat="1" applyFont="1" applyFill="1" applyBorder="1" applyAlignment="1">
      <alignment horizontal="center" vertical="center"/>
    </xf>
    <xf numFmtId="167" fontId="12" fillId="4" borderId="94" xfId="0" applyNumberFormat="1" applyFont="1" applyFill="1" applyBorder="1" applyAlignment="1">
      <alignment horizontal="center" vertical="center"/>
    </xf>
    <xf numFmtId="167" fontId="12" fillId="4" borderId="96" xfId="0" applyNumberFormat="1" applyFont="1" applyFill="1" applyBorder="1" applyAlignment="1">
      <alignment horizontal="center" vertical="center"/>
    </xf>
    <xf numFmtId="167" fontId="12" fillId="4" borderId="80" xfId="0" applyNumberFormat="1" applyFont="1" applyFill="1" applyBorder="1" applyAlignment="1">
      <alignment horizontal="center" vertical="center"/>
    </xf>
    <xf numFmtId="0" fontId="12" fillId="4" borderId="95" xfId="0" applyFont="1" applyFill="1" applyBorder="1" applyAlignment="1">
      <alignment horizontal="right" vertical="center"/>
    </xf>
    <xf numFmtId="0" fontId="12" fillId="4" borderId="95" xfId="0" applyFont="1" applyFill="1" applyBorder="1" applyAlignment="1">
      <alignment horizontal="center" vertical="center"/>
    </xf>
    <xf numFmtId="0" fontId="11" fillId="5" borderId="102" xfId="0" applyFont="1" applyFill="1" applyBorder="1" applyAlignment="1">
      <alignment vertical="center"/>
    </xf>
    <xf numFmtId="0" fontId="11" fillId="5" borderId="103" xfId="0" applyFont="1" applyFill="1" applyBorder="1" applyAlignment="1">
      <alignment vertical="center"/>
    </xf>
    <xf numFmtId="0" fontId="11" fillId="5" borderId="104" xfId="0" applyFont="1" applyFill="1" applyBorder="1" applyAlignment="1">
      <alignment horizontal="left" vertical="center"/>
    </xf>
    <xf numFmtId="0" fontId="11" fillId="5" borderId="104" xfId="0" applyFont="1" applyFill="1" applyBorder="1" applyAlignment="1">
      <alignment horizontal="left" vertical="center" wrapText="1"/>
    </xf>
    <xf numFmtId="0" fontId="11" fillId="5" borderId="104" xfId="0" applyFont="1" applyFill="1" applyBorder="1" applyAlignment="1" applyProtection="1">
      <alignment horizontal="left" vertical="center" wrapText="1"/>
      <protection locked="0"/>
    </xf>
    <xf numFmtId="0" fontId="11" fillId="5" borderId="105" xfId="0" applyFont="1" applyFill="1" applyBorder="1" applyAlignment="1">
      <alignment horizontal="left" vertical="center" wrapText="1"/>
    </xf>
    <xf numFmtId="0" fontId="11" fillId="5" borderId="104" xfId="0" applyFont="1" applyFill="1" applyBorder="1" applyAlignment="1">
      <alignment horizontal="center" vertical="center"/>
    </xf>
    <xf numFmtId="0" fontId="11" fillId="5" borderId="36" xfId="0" applyFont="1" applyFill="1" applyBorder="1" applyAlignment="1">
      <alignment vertical="center"/>
    </xf>
    <xf numFmtId="0" fontId="11" fillId="5" borderId="54" xfId="0" applyFont="1" applyFill="1" applyBorder="1" applyAlignment="1">
      <alignment vertical="center"/>
    </xf>
    <xf numFmtId="0" fontId="11" fillId="5" borderId="54" xfId="0" applyFont="1" applyFill="1" applyBorder="1" applyAlignment="1">
      <alignment horizontal="left" vertical="center"/>
    </xf>
    <xf numFmtId="0" fontId="11" fillId="5" borderId="54" xfId="0" applyFont="1" applyFill="1" applyBorder="1" applyAlignment="1">
      <alignment horizontal="left" vertical="center" wrapText="1"/>
    </xf>
    <xf numFmtId="0" fontId="11" fillId="5" borderId="54" xfId="0" applyFont="1" applyFill="1" applyBorder="1" applyAlignment="1" applyProtection="1">
      <alignment horizontal="left" vertical="center" wrapText="1"/>
      <protection locked="0"/>
    </xf>
    <xf numFmtId="0" fontId="11" fillId="5" borderId="49" xfId="0" applyFont="1" applyFill="1" applyBorder="1" applyAlignment="1">
      <alignment horizontal="left" vertical="center"/>
    </xf>
    <xf numFmtId="0" fontId="11" fillId="5" borderId="37" xfId="0" applyFont="1" applyFill="1" applyBorder="1" applyAlignment="1">
      <alignment horizontal="left" vertical="center" wrapText="1"/>
    </xf>
    <xf numFmtId="0" fontId="11" fillId="5" borderId="54" xfId="0" applyFont="1" applyFill="1" applyBorder="1" applyAlignment="1">
      <alignment horizontal="center" vertical="center"/>
    </xf>
    <xf numFmtId="0" fontId="11" fillId="5" borderId="35" xfId="0" applyFont="1" applyFill="1" applyBorder="1" applyAlignment="1">
      <alignment horizontal="left" vertical="center" wrapText="1"/>
    </xf>
    <xf numFmtId="0" fontId="22" fillId="12" borderId="59" xfId="0" applyFont="1" applyFill="1" applyBorder="1" applyAlignment="1">
      <alignment horizontal="center" textRotation="90" wrapText="1"/>
    </xf>
    <xf numFmtId="0" fontId="22" fillId="12" borderId="101" xfId="0" applyFont="1" applyFill="1" applyBorder="1" applyAlignment="1">
      <alignment horizontal="center" textRotation="90" wrapText="1"/>
    </xf>
    <xf numFmtId="0" fontId="12" fillId="0" borderId="42" xfId="0" applyFont="1" applyBorder="1" applyAlignment="1">
      <alignment vertical="center" wrapText="1"/>
    </xf>
    <xf numFmtId="0" fontId="12" fillId="0" borderId="84" xfId="0" applyFont="1" applyBorder="1" applyAlignment="1">
      <alignment vertical="center" wrapText="1"/>
    </xf>
    <xf numFmtId="43" fontId="12" fillId="0" borderId="71" xfId="0" applyNumberFormat="1" applyFont="1" applyBorder="1" applyAlignment="1">
      <alignment horizontal="right" vertical="center" wrapText="1"/>
    </xf>
    <xf numFmtId="43" fontId="12" fillId="0" borderId="81" xfId="0" applyNumberFormat="1" applyFont="1" applyBorder="1" applyAlignment="1">
      <alignment horizontal="right" vertical="center" wrapText="1"/>
    </xf>
    <xf numFmtId="0" fontId="25" fillId="15" borderId="98" xfId="0" applyFont="1" applyFill="1" applyBorder="1" applyAlignment="1">
      <alignment horizontal="left" wrapText="1"/>
    </xf>
    <xf numFmtId="0" fontId="25" fillId="15" borderId="99" xfId="0" applyFont="1" applyFill="1" applyBorder="1" applyAlignment="1">
      <alignment horizontal="left" wrapText="1"/>
    </xf>
    <xf numFmtId="168" fontId="27" fillId="15" borderId="99" xfId="0" applyNumberFormat="1" applyFont="1" applyFill="1" applyBorder="1" applyAlignment="1">
      <alignment horizontal="center" textRotation="90" wrapText="1"/>
    </xf>
    <xf numFmtId="0" fontId="25" fillId="15" borderId="58" xfId="0" applyFont="1" applyFill="1" applyBorder="1" applyAlignment="1">
      <alignment horizontal="left" vertical="center" textRotation="90" wrapText="1"/>
    </xf>
    <xf numFmtId="0" fontId="25" fillId="15" borderId="99" xfId="0" applyFont="1" applyFill="1" applyBorder="1" applyAlignment="1">
      <alignment horizontal="center" textRotation="90" wrapText="1"/>
    </xf>
    <xf numFmtId="0" fontId="11" fillId="15" borderId="9" xfId="0" applyFont="1" applyFill="1" applyBorder="1" applyAlignment="1">
      <alignment vertical="center"/>
    </xf>
    <xf numFmtId="0" fontId="25" fillId="15" borderId="96" xfId="0" applyFont="1" applyFill="1" applyBorder="1" applyAlignment="1">
      <alignment horizontal="left" vertical="center" wrapText="1"/>
    </xf>
    <xf numFmtId="167" fontId="11" fillId="15" borderId="80" xfId="0" applyNumberFormat="1" applyFont="1" applyFill="1" applyBorder="1" applyAlignment="1">
      <alignment horizontal="center" vertical="center"/>
    </xf>
    <xf numFmtId="167" fontId="11" fillId="15" borderId="96" xfId="0" applyNumberFormat="1" applyFont="1" applyFill="1" applyBorder="1" applyAlignment="1">
      <alignment horizontal="center" vertical="center"/>
    </xf>
    <xf numFmtId="167" fontId="11" fillId="15" borderId="91" xfId="0" applyNumberFormat="1" applyFont="1" applyFill="1" applyBorder="1" applyAlignment="1">
      <alignment horizontal="center" vertical="center"/>
    </xf>
    <xf numFmtId="167" fontId="11" fillId="15" borderId="92" xfId="0" applyNumberFormat="1" applyFont="1" applyFill="1" applyBorder="1" applyAlignment="1">
      <alignment horizontal="center" vertical="center"/>
    </xf>
    <xf numFmtId="167" fontId="11" fillId="15" borderId="44" xfId="0" applyNumberFormat="1" applyFont="1" applyFill="1" applyBorder="1" applyAlignment="1">
      <alignment horizontal="center" vertical="center"/>
    </xf>
    <xf numFmtId="2" fontId="11" fillId="15" borderId="16" xfId="0" applyNumberFormat="1" applyFont="1" applyFill="1" applyBorder="1" applyAlignment="1">
      <alignment horizontal="right" vertical="center"/>
    </xf>
    <xf numFmtId="2" fontId="11" fillId="15" borderId="13" xfId="0" applyNumberFormat="1" applyFont="1" applyFill="1" applyBorder="1" applyAlignment="1">
      <alignment horizontal="right" vertical="center" wrapText="1"/>
    </xf>
    <xf numFmtId="168" fontId="27" fillId="15" borderId="100" xfId="0" applyNumberFormat="1" applyFont="1" applyFill="1" applyBorder="1" applyAlignment="1">
      <alignment horizontal="center" textRotation="90" wrapText="1"/>
    </xf>
    <xf numFmtId="0" fontId="25" fillId="15" borderId="63" xfId="0" applyFont="1" applyFill="1" applyBorder="1" applyAlignment="1">
      <alignment horizontal="left" vertical="center" textRotation="90" wrapText="1"/>
    </xf>
    <xf numFmtId="0" fontId="25" fillId="15" borderId="100" xfId="0" applyFont="1" applyFill="1" applyBorder="1" applyAlignment="1">
      <alignment horizontal="center" textRotation="90" wrapText="1"/>
    </xf>
    <xf numFmtId="0" fontId="11" fillId="15" borderId="12" xfId="0" applyFont="1" applyFill="1" applyBorder="1" applyAlignment="1">
      <alignment vertical="center"/>
    </xf>
    <xf numFmtId="0" fontId="11" fillId="15" borderId="108" xfId="0" applyFont="1" applyFill="1" applyBorder="1" applyAlignment="1">
      <alignment vertical="center"/>
    </xf>
    <xf numFmtId="0" fontId="11" fillId="15" borderId="43" xfId="0" applyFont="1" applyFill="1" applyBorder="1" applyAlignment="1">
      <alignment vertical="center"/>
    </xf>
    <xf numFmtId="0" fontId="11" fillId="5" borderId="109" xfId="0" applyFont="1" applyFill="1" applyBorder="1" applyAlignment="1">
      <alignment horizontal="center" vertical="center"/>
    </xf>
    <xf numFmtId="0" fontId="11" fillId="5" borderId="105" xfId="0" applyFont="1" applyFill="1" applyBorder="1" applyAlignment="1">
      <alignment horizontal="center" vertical="center"/>
    </xf>
    <xf numFmtId="0" fontId="11" fillId="15" borderId="34" xfId="0" applyFont="1" applyFill="1" applyBorder="1" applyAlignment="1">
      <alignment vertical="center"/>
    </xf>
    <xf numFmtId="0" fontId="11" fillId="15" borderId="110" xfId="0" applyFont="1" applyFill="1" applyBorder="1" applyAlignment="1">
      <alignment vertical="center"/>
    </xf>
    <xf numFmtId="0" fontId="11" fillId="15" borderId="37" xfId="0" applyFont="1" applyFill="1" applyBorder="1" applyAlignment="1">
      <alignment vertical="center"/>
    </xf>
    <xf numFmtId="2" fontId="12" fillId="4" borderId="7" xfId="0" applyNumberFormat="1" applyFont="1" applyFill="1" applyBorder="1" applyAlignment="1">
      <alignment vertical="center"/>
    </xf>
    <xf numFmtId="2" fontId="12" fillId="4" borderId="112" xfId="0" applyNumberFormat="1" applyFont="1" applyFill="1" applyBorder="1" applyAlignment="1">
      <alignment vertical="center"/>
    </xf>
    <xf numFmtId="2" fontId="12" fillId="4" borderId="111" xfId="0" applyNumberFormat="1" applyFont="1" applyFill="1" applyBorder="1" applyAlignment="1">
      <alignment vertical="center"/>
    </xf>
    <xf numFmtId="2" fontId="12" fillId="4" borderId="95" xfId="0" applyNumberFormat="1" applyFont="1" applyFill="1" applyBorder="1" applyAlignment="1">
      <alignment vertical="center"/>
    </xf>
    <xf numFmtId="167" fontId="12" fillId="4" borderId="95" xfId="0" applyNumberFormat="1" applyFont="1" applyFill="1" applyBorder="1" applyAlignment="1">
      <alignment vertical="center"/>
    </xf>
    <xf numFmtId="2" fontId="12" fillId="4" borderId="113" xfId="0" applyNumberFormat="1" applyFont="1" applyFill="1" applyBorder="1" applyAlignment="1">
      <alignment vertical="center"/>
    </xf>
    <xf numFmtId="2" fontId="12" fillId="4" borderId="114" xfId="0" applyNumberFormat="1" applyFont="1" applyFill="1" applyBorder="1" applyAlignment="1">
      <alignment vertical="center"/>
    </xf>
    <xf numFmtId="10" fontId="12" fillId="4" borderId="115" xfId="0" applyNumberFormat="1" applyFont="1" applyFill="1" applyBorder="1" applyAlignment="1">
      <alignment vertical="center"/>
    </xf>
    <xf numFmtId="10" fontId="12" fillId="4" borderId="86" xfId="0" applyNumberFormat="1" applyFont="1" applyFill="1" applyBorder="1" applyAlignment="1">
      <alignment vertical="center"/>
    </xf>
    <xf numFmtId="2" fontId="12" fillId="4" borderId="70" xfId="0" applyNumberFormat="1" applyFont="1" applyFill="1" applyBorder="1" applyAlignment="1">
      <alignment vertical="center"/>
    </xf>
    <xf numFmtId="2" fontId="12" fillId="4" borderId="62" xfId="0" applyNumberFormat="1" applyFont="1" applyFill="1" applyBorder="1" applyAlignment="1">
      <alignment vertical="center"/>
    </xf>
    <xf numFmtId="2" fontId="12" fillId="4" borderId="107" xfId="0" applyNumberFormat="1" applyFont="1" applyFill="1" applyBorder="1" applyAlignment="1">
      <alignment vertical="center"/>
    </xf>
    <xf numFmtId="10" fontId="12" fillId="4" borderId="116" xfId="0" applyNumberFormat="1" applyFont="1" applyFill="1" applyBorder="1" applyAlignment="1">
      <alignment vertical="center"/>
    </xf>
    <xf numFmtId="2" fontId="12" fillId="4" borderId="68" xfId="0" applyNumberFormat="1" applyFont="1" applyFill="1" applyBorder="1" applyAlignment="1">
      <alignment vertical="center"/>
    </xf>
    <xf numFmtId="167" fontId="12" fillId="4" borderId="15" xfId="0" applyNumberFormat="1" applyFont="1" applyFill="1" applyBorder="1" applyAlignment="1">
      <alignment vertical="center"/>
    </xf>
    <xf numFmtId="167" fontId="12" fillId="4" borderId="96" xfId="0" applyNumberFormat="1" applyFont="1" applyFill="1" applyBorder="1" applyAlignment="1">
      <alignment vertical="center"/>
    </xf>
    <xf numFmtId="2" fontId="12" fillId="4" borderId="117" xfId="0" applyNumberFormat="1" applyFont="1" applyFill="1" applyBorder="1" applyAlignment="1">
      <alignment vertical="center"/>
    </xf>
    <xf numFmtId="2" fontId="12" fillId="4" borderId="96" xfId="0" applyNumberFormat="1" applyFont="1" applyFill="1" applyBorder="1" applyAlignment="1">
      <alignment vertical="center"/>
    </xf>
    <xf numFmtId="2" fontId="12" fillId="4" borderId="15" xfId="0" applyNumberFormat="1" applyFont="1" applyFill="1" applyBorder="1" applyAlignment="1">
      <alignment vertical="center"/>
    </xf>
    <xf numFmtId="2" fontId="12" fillId="4" borderId="32" xfId="0" applyNumberFormat="1" applyFont="1" applyFill="1" applyBorder="1" applyAlignment="1">
      <alignment vertical="center"/>
    </xf>
    <xf numFmtId="2" fontId="12" fillId="4" borderId="118" xfId="0" applyNumberFormat="1" applyFont="1" applyFill="1" applyBorder="1" applyAlignment="1">
      <alignment vertical="center"/>
    </xf>
    <xf numFmtId="10" fontId="12" fillId="4" borderId="84" xfId="0" applyNumberFormat="1" applyFont="1" applyFill="1" applyBorder="1" applyAlignment="1">
      <alignment vertical="center"/>
    </xf>
    <xf numFmtId="2" fontId="12" fillId="4" borderId="119" xfId="0" applyNumberFormat="1" applyFont="1" applyFill="1" applyBorder="1" applyAlignment="1">
      <alignment vertical="center"/>
    </xf>
    <xf numFmtId="9" fontId="12" fillId="4" borderId="120" xfId="0" applyNumberFormat="1" applyFont="1" applyFill="1" applyBorder="1" applyAlignment="1">
      <alignment vertical="center"/>
    </xf>
    <xf numFmtId="0" fontId="12" fillId="9" borderId="68" xfId="0" applyFont="1" applyFill="1" applyBorder="1" applyAlignment="1">
      <alignment horizontal="center" vertical="center"/>
    </xf>
    <xf numFmtId="9" fontId="12" fillId="4" borderId="61" xfId="0" applyNumberFormat="1" applyFont="1" applyFill="1" applyBorder="1" applyAlignment="1">
      <alignment vertical="center"/>
    </xf>
    <xf numFmtId="9" fontId="12" fillId="4" borderId="65" xfId="0" applyNumberFormat="1" applyFont="1" applyFill="1" applyBorder="1" applyAlignment="1">
      <alignment vertical="center"/>
    </xf>
    <xf numFmtId="9" fontId="12" fillId="4" borderId="66" xfId="0" applyNumberFormat="1" applyFont="1" applyFill="1" applyBorder="1" applyAlignment="1">
      <alignment vertical="center"/>
    </xf>
    <xf numFmtId="9" fontId="12" fillId="4" borderId="121" xfId="0" applyNumberFormat="1" applyFont="1" applyFill="1" applyBorder="1" applyAlignment="1">
      <alignment vertical="center"/>
    </xf>
    <xf numFmtId="9" fontId="12" fillId="4" borderId="55" xfId="0" applyNumberFormat="1" applyFont="1" applyFill="1" applyBorder="1" applyAlignment="1">
      <alignment vertical="center"/>
    </xf>
    <xf numFmtId="0" fontId="12" fillId="7" borderId="97" xfId="0" applyFont="1" applyFill="1" applyBorder="1" applyAlignment="1">
      <alignment horizontal="center" vertical="center"/>
    </xf>
    <xf numFmtId="0" fontId="12" fillId="8" borderId="97" xfId="0" applyFont="1" applyFill="1" applyBorder="1" applyAlignment="1">
      <alignment horizontal="center" vertical="center"/>
    </xf>
    <xf numFmtId="0" fontId="12" fillId="6" borderId="122" xfId="0" applyFont="1" applyFill="1" applyBorder="1" applyAlignment="1">
      <alignment horizontal="center" vertical="center"/>
    </xf>
    <xf numFmtId="0" fontId="12" fillId="7" borderId="68" xfId="0" applyFont="1" applyFill="1" applyBorder="1" applyAlignment="1">
      <alignment horizontal="center" vertical="center"/>
    </xf>
    <xf numFmtId="0" fontId="12" fillId="6" borderId="31" xfId="0" applyFont="1" applyFill="1" applyBorder="1" applyAlignment="1">
      <alignment horizontal="center" vertical="center"/>
    </xf>
    <xf numFmtId="0" fontId="12" fillId="8" borderId="68" xfId="0" applyFont="1" applyFill="1" applyBorder="1" applyAlignment="1">
      <alignment horizontal="center" vertical="center"/>
    </xf>
    <xf numFmtId="0" fontId="12" fillId="15" borderId="90" xfId="0" applyFont="1" applyFill="1" applyBorder="1"/>
    <xf numFmtId="0" fontId="12" fillId="15" borderId="11" xfId="0" applyFont="1" applyFill="1" applyBorder="1"/>
    <xf numFmtId="0" fontId="12" fillId="15" borderId="32" xfId="0" applyFont="1" applyFill="1" applyBorder="1"/>
    <xf numFmtId="0" fontId="12" fillId="15" borderId="0" xfId="0" applyFont="1" applyFill="1" applyBorder="1"/>
    <xf numFmtId="0" fontId="12" fillId="5" borderId="0" xfId="0" applyFont="1" applyFill="1" applyBorder="1"/>
    <xf numFmtId="0" fontId="12" fillId="15" borderId="6" xfId="0" applyFont="1" applyFill="1" applyBorder="1"/>
    <xf numFmtId="0" fontId="12" fillId="15" borderId="7" xfId="0" applyFont="1" applyFill="1" applyBorder="1"/>
    <xf numFmtId="0" fontId="12" fillId="15" borderId="84" xfId="0" applyFont="1" applyFill="1" applyBorder="1"/>
    <xf numFmtId="0" fontId="27" fillId="0" borderId="28" xfId="0" applyFont="1" applyBorder="1" applyAlignment="1">
      <alignment horizontal="left" vertical="top" wrapText="1"/>
    </xf>
    <xf numFmtId="0" fontId="27" fillId="0" borderId="29" xfId="0" applyFont="1" applyBorder="1" applyAlignment="1">
      <alignment horizontal="left" vertical="top" wrapText="1"/>
    </xf>
    <xf numFmtId="14" fontId="27" fillId="0" borderId="30" xfId="0" applyNumberFormat="1" applyFont="1" applyBorder="1" applyAlignment="1">
      <alignment horizontal="left" vertical="top" wrapText="1"/>
    </xf>
    <xf numFmtId="0" fontId="11" fillId="5" borderId="123" xfId="0" applyFont="1" applyFill="1" applyBorder="1" applyAlignment="1">
      <alignment horizontal="left" vertical="center"/>
    </xf>
    <xf numFmtId="167" fontId="12" fillId="0" borderId="124" xfId="0" applyNumberFormat="1" applyFont="1" applyFill="1" applyBorder="1" applyAlignment="1">
      <alignment horizontal="center" vertical="center"/>
    </xf>
    <xf numFmtId="167" fontId="12" fillId="0" borderId="125" xfId="0" applyNumberFormat="1" applyFont="1" applyFill="1" applyBorder="1" applyAlignment="1">
      <alignment horizontal="center" vertical="center"/>
    </xf>
    <xf numFmtId="167" fontId="12" fillId="0" borderId="127" xfId="0" applyNumberFormat="1" applyFont="1" applyFill="1" applyBorder="1" applyAlignment="1">
      <alignment horizontal="center" vertical="center"/>
    </xf>
    <xf numFmtId="2" fontId="12" fillId="4" borderId="129" xfId="0" applyNumberFormat="1" applyFont="1" applyFill="1" applyBorder="1" applyAlignment="1">
      <alignment horizontal="right" vertical="center"/>
    </xf>
    <xf numFmtId="2" fontId="12" fillId="4" borderId="44" xfId="0" applyNumberFormat="1" applyFont="1" applyFill="1" applyBorder="1" applyAlignment="1">
      <alignment horizontal="right" vertical="center"/>
    </xf>
    <xf numFmtId="2" fontId="11" fillId="15" borderId="44" xfId="0" applyNumberFormat="1" applyFont="1" applyFill="1" applyBorder="1" applyAlignment="1">
      <alignment horizontal="right" vertical="center"/>
    </xf>
    <xf numFmtId="0" fontId="12" fillId="4" borderId="129" xfId="0" applyFont="1" applyFill="1" applyBorder="1" applyAlignment="1">
      <alignment horizontal="right" vertical="center"/>
    </xf>
    <xf numFmtId="0" fontId="11" fillId="15" borderId="129" xfId="0" applyFont="1" applyFill="1" applyBorder="1" applyAlignment="1">
      <alignment horizontal="right" vertical="center"/>
    </xf>
    <xf numFmtId="0" fontId="11" fillId="4" borderId="132" xfId="0" applyFont="1" applyFill="1" applyBorder="1" applyAlignment="1">
      <alignment horizontal="left" vertical="center"/>
    </xf>
    <xf numFmtId="2" fontId="11" fillId="15" borderId="130" xfId="0" applyNumberFormat="1" applyFont="1" applyFill="1" applyBorder="1" applyAlignment="1">
      <alignment horizontal="left" vertical="center"/>
    </xf>
    <xf numFmtId="0" fontId="22" fillId="12" borderId="133" xfId="0" applyFont="1" applyFill="1" applyBorder="1" applyAlignment="1">
      <alignment horizontal="center" textRotation="90" wrapText="1"/>
    </xf>
    <xf numFmtId="0" fontId="11" fillId="5" borderId="134" xfId="0" applyFont="1" applyFill="1" applyBorder="1" applyAlignment="1">
      <alignment horizontal="left" vertical="center"/>
    </xf>
    <xf numFmtId="0" fontId="11" fillId="4" borderId="131" xfId="0" applyFont="1" applyFill="1" applyBorder="1" applyAlignment="1">
      <alignment horizontal="left" vertical="center"/>
    </xf>
    <xf numFmtId="0" fontId="11" fillId="5" borderId="36" xfId="0" applyFont="1" applyFill="1" applyBorder="1" applyAlignment="1">
      <alignment horizontal="left" vertical="center"/>
    </xf>
    <xf numFmtId="0" fontId="12" fillId="0" borderId="135" xfId="0" applyFont="1" applyFill="1" applyBorder="1" applyAlignment="1">
      <alignment horizontal="left" vertical="top" wrapText="1"/>
    </xf>
    <xf numFmtId="0" fontId="15" fillId="0" borderId="0" xfId="0" applyFont="1" applyAlignment="1">
      <alignment horizontal="left"/>
    </xf>
    <xf numFmtId="0" fontId="23" fillId="0" borderId="0" xfId="0" applyFont="1" applyAlignment="1">
      <alignment horizontal="left"/>
    </xf>
    <xf numFmtId="0" fontId="15" fillId="0" borderId="0" xfId="0" applyFont="1" applyAlignment="1"/>
    <xf numFmtId="0" fontId="24" fillId="0" borderId="0" xfId="0" applyFont="1" applyAlignment="1"/>
    <xf numFmtId="0" fontId="15" fillId="0" borderId="0" xfId="0" applyFont="1" applyAlignment="1">
      <alignment horizontal="left" indent="1"/>
    </xf>
    <xf numFmtId="0" fontId="12" fillId="0" borderId="0" xfId="0" applyFont="1" applyAlignment="1">
      <alignment horizontal="left" wrapText="1" indent="1"/>
    </xf>
    <xf numFmtId="0" fontId="15" fillId="0" borderId="0" xfId="0" applyFont="1" applyAlignment="1">
      <alignment horizontal="left" wrapText="1"/>
    </xf>
    <xf numFmtId="0" fontId="23" fillId="0" borderId="0" xfId="0" applyFont="1" applyAlignment="1">
      <alignment horizontal="center" wrapText="1"/>
    </xf>
    <xf numFmtId="0" fontId="12" fillId="0" borderId="0" xfId="0" applyFont="1" applyAlignment="1">
      <alignment wrapText="1"/>
    </xf>
    <xf numFmtId="0" fontId="15" fillId="0" borderId="0" xfId="0" applyFont="1"/>
    <xf numFmtId="0" fontId="20" fillId="5" borderId="0" xfId="0" applyFont="1" applyFill="1" applyBorder="1" applyAlignment="1">
      <alignment horizontal="center" vertical="center"/>
    </xf>
    <xf numFmtId="0" fontId="20" fillId="15" borderId="0" xfId="0" applyFont="1" applyFill="1" applyBorder="1" applyAlignment="1">
      <alignment horizontal="center" vertical="center"/>
    </xf>
    <xf numFmtId="0" fontId="12" fillId="15" borderId="136" xfId="0" applyFont="1" applyFill="1" applyBorder="1"/>
    <xf numFmtId="0" fontId="12" fillId="15" borderId="137" xfId="0" applyFont="1" applyFill="1" applyBorder="1"/>
    <xf numFmtId="0" fontId="12" fillId="14" borderId="0" xfId="0" applyFont="1" applyFill="1" applyBorder="1"/>
    <xf numFmtId="0" fontId="11" fillId="12" borderId="0" xfId="0" applyFont="1" applyFill="1" applyBorder="1" applyAlignment="1">
      <alignment horizontal="center" vertical="center" wrapText="1"/>
    </xf>
    <xf numFmtId="0" fontId="25" fillId="15" borderId="141" xfId="0" applyFont="1" applyFill="1" applyBorder="1" applyAlignment="1">
      <alignment horizontal="left" vertical="center" wrapText="1"/>
    </xf>
    <xf numFmtId="0" fontId="0" fillId="0" borderId="52" xfId="0" applyBorder="1" applyAlignment="1">
      <alignment vertical="top"/>
    </xf>
    <xf numFmtId="0" fontId="25" fillId="15" borderId="142" xfId="0" applyFont="1" applyFill="1" applyBorder="1" applyAlignment="1">
      <alignment horizontal="left" vertical="center" wrapText="1"/>
    </xf>
    <xf numFmtId="0" fontId="0" fillId="0" borderId="11" xfId="0" applyBorder="1"/>
    <xf numFmtId="0" fontId="11" fillId="15" borderId="58" xfId="0" applyFont="1" applyFill="1" applyBorder="1" applyAlignment="1">
      <alignment horizontal="left" vertical="top" wrapText="1"/>
    </xf>
    <xf numFmtId="0" fontId="12" fillId="4" borderId="129" xfId="0" applyFont="1" applyFill="1" applyBorder="1"/>
    <xf numFmtId="0" fontId="11" fillId="5" borderId="144" xfId="0" applyFont="1" applyFill="1" applyBorder="1" applyAlignment="1">
      <alignment horizontal="left" vertical="center" wrapText="1"/>
    </xf>
    <xf numFmtId="0" fontId="25" fillId="15" borderId="129" xfId="0" applyFont="1" applyFill="1" applyBorder="1" applyAlignment="1">
      <alignment horizontal="left" vertical="center" wrapText="1"/>
    </xf>
    <xf numFmtId="0" fontId="25" fillId="15" borderId="142" xfId="0" applyFont="1" applyFill="1" applyBorder="1" applyAlignment="1">
      <alignment horizontal="center" vertical="center" wrapText="1"/>
    </xf>
    <xf numFmtId="0" fontId="25" fillId="15" borderId="137" xfId="0" applyFont="1" applyFill="1" applyBorder="1" applyAlignment="1">
      <alignment horizontal="left" vertical="center" wrapText="1"/>
    </xf>
    <xf numFmtId="0" fontId="25" fillId="15" borderId="145" xfId="0" applyFont="1" applyFill="1" applyBorder="1" applyAlignment="1">
      <alignment horizontal="left" vertical="center" wrapText="1"/>
    </xf>
    <xf numFmtId="0" fontId="12" fillId="4" borderId="85" xfId="0" applyFont="1" applyFill="1" applyBorder="1"/>
    <xf numFmtId="0" fontId="11" fillId="5" borderId="146" xfId="0" applyFont="1" applyFill="1" applyBorder="1" applyAlignment="1">
      <alignment horizontal="left" vertical="center" wrapText="1"/>
    </xf>
    <xf numFmtId="0" fontId="25" fillId="15" borderId="147" xfId="0" applyFont="1" applyFill="1" applyBorder="1" applyAlignment="1">
      <alignment horizontal="left" vertical="center" wrapText="1"/>
    </xf>
    <xf numFmtId="0" fontId="25" fillId="15" borderId="148" xfId="0" applyFont="1" applyFill="1" applyBorder="1" applyAlignment="1">
      <alignment horizontal="left" vertical="center" wrapText="1"/>
    </xf>
    <xf numFmtId="0" fontId="12" fillId="4" borderId="129" xfId="0" applyFont="1" applyFill="1" applyBorder="1" applyAlignment="1" applyProtection="1">
      <alignment wrapText="1"/>
      <protection locked="0"/>
    </xf>
    <xf numFmtId="0" fontId="11" fillId="5" borderId="144" xfId="0" applyFont="1" applyFill="1" applyBorder="1" applyAlignment="1" applyProtection="1">
      <alignment horizontal="left" vertical="center" wrapText="1"/>
      <protection locked="0"/>
    </xf>
    <xf numFmtId="0" fontId="25" fillId="15" borderId="94" xfId="0" applyFont="1" applyFill="1" applyBorder="1" applyAlignment="1">
      <alignment horizontal="left" vertical="center" wrapText="1"/>
    </xf>
    <xf numFmtId="0" fontId="0" fillId="0" borderId="0" xfId="0" quotePrefix="1" applyBorder="1"/>
    <xf numFmtId="0" fontId="12" fillId="0" borderId="0" xfId="0" applyFont="1" applyBorder="1"/>
    <xf numFmtId="0" fontId="11" fillId="15" borderId="80" xfId="0" applyFont="1" applyFill="1" applyBorder="1" applyAlignment="1">
      <alignment vertical="top"/>
    </xf>
    <xf numFmtId="0" fontId="11" fillId="14" borderId="130" xfId="0" applyFont="1" applyFill="1" applyBorder="1" applyAlignment="1">
      <alignment vertical="top"/>
    </xf>
    <xf numFmtId="0" fontId="29" fillId="14" borderId="0" xfId="0" applyFont="1" applyFill="1"/>
    <xf numFmtId="0" fontId="11" fillId="15" borderId="149" xfId="0" applyFont="1" applyFill="1" applyBorder="1" applyAlignment="1">
      <alignment vertical="top"/>
    </xf>
    <xf numFmtId="0" fontId="11" fillId="15" borderId="58" xfId="0" applyFont="1" applyFill="1" applyBorder="1" applyAlignment="1">
      <alignment horizontal="left" vertical="top"/>
    </xf>
    <xf numFmtId="0" fontId="11" fillId="15" borderId="63" xfId="0" applyFont="1" applyFill="1" applyBorder="1" applyAlignment="1">
      <alignment horizontal="left" vertical="top" wrapText="1"/>
    </xf>
    <xf numFmtId="0" fontId="11" fillId="15" borderId="107" xfId="0" applyFont="1" applyFill="1" applyBorder="1" applyAlignment="1">
      <alignment horizontal="left" vertical="top" wrapText="1"/>
    </xf>
    <xf numFmtId="2" fontId="12" fillId="4" borderId="143" xfId="0" applyNumberFormat="1" applyFont="1" applyFill="1" applyBorder="1" applyAlignment="1">
      <alignment horizontal="right" vertical="top"/>
    </xf>
    <xf numFmtId="2" fontId="12" fillId="0" borderId="151" xfId="0" applyNumberFormat="1" applyFont="1" applyFill="1" applyBorder="1" applyAlignment="1">
      <alignment horizontal="right" vertical="top"/>
    </xf>
    <xf numFmtId="2" fontId="12" fillId="0" borderId="151" xfId="0" applyNumberFormat="1" applyFont="1" applyFill="1" applyBorder="1" applyAlignment="1">
      <alignment horizontal="right" vertical="top" wrapText="1"/>
    </xf>
    <xf numFmtId="2" fontId="12" fillId="4" borderId="151" xfId="0" applyNumberFormat="1" applyFont="1" applyFill="1" applyBorder="1" applyAlignment="1">
      <alignment horizontal="right" vertical="top"/>
    </xf>
    <xf numFmtId="9" fontId="27" fillId="2" borderId="151" xfId="156" applyFont="1" applyFill="1" applyBorder="1" applyAlignment="1" applyProtection="1">
      <alignment horizontal="center" vertical="center" wrapText="1"/>
    </xf>
    <xf numFmtId="2" fontId="27" fillId="2" borderId="151" xfId="0" applyNumberFormat="1" applyFont="1" applyFill="1" applyBorder="1" applyAlignment="1" applyProtection="1">
      <alignment horizontal="center" vertical="center" wrapText="1"/>
    </xf>
    <xf numFmtId="2" fontId="12" fillId="4" borderId="156" xfId="0" applyNumberFormat="1" applyFont="1" applyFill="1" applyBorder="1" applyAlignment="1">
      <alignment horizontal="right" vertical="top"/>
    </xf>
    <xf numFmtId="2" fontId="12" fillId="0" borderId="143" xfId="0" applyNumberFormat="1" applyFont="1" applyFill="1" applyBorder="1" applyAlignment="1">
      <alignment horizontal="right" vertical="top"/>
    </xf>
    <xf numFmtId="2" fontId="12" fillId="0" borderId="143" xfId="0" applyNumberFormat="1" applyFont="1" applyFill="1" applyBorder="1" applyAlignment="1">
      <alignment horizontal="right" vertical="top" wrapText="1"/>
    </xf>
    <xf numFmtId="9" fontId="27" fillId="2" borderId="143" xfId="156" applyFont="1" applyFill="1" applyBorder="1" applyAlignment="1" applyProtection="1">
      <alignment horizontal="center" vertical="center" wrapText="1"/>
    </xf>
    <xf numFmtId="2" fontId="27" fillId="2" borderId="143" xfId="0" applyNumberFormat="1" applyFont="1" applyFill="1" applyBorder="1" applyAlignment="1" applyProtection="1">
      <alignment horizontal="center" vertical="center" wrapText="1"/>
    </xf>
    <xf numFmtId="2" fontId="12" fillId="0" borderId="156" xfId="0" applyNumberFormat="1" applyFont="1" applyFill="1" applyBorder="1" applyAlignment="1">
      <alignment horizontal="right" vertical="top"/>
    </xf>
    <xf numFmtId="2" fontId="12" fillId="0" borderId="156" xfId="0" applyNumberFormat="1" applyFont="1" applyFill="1" applyBorder="1" applyAlignment="1">
      <alignment horizontal="right" vertical="top" wrapText="1"/>
    </xf>
    <xf numFmtId="9" fontId="27" fillId="2" borderId="156" xfId="156" applyFont="1" applyFill="1" applyBorder="1" applyAlignment="1" applyProtection="1">
      <alignment horizontal="center" vertical="center" wrapText="1"/>
    </xf>
    <xf numFmtId="2" fontId="27" fillId="2" borderId="156" xfId="0" applyNumberFormat="1" applyFont="1" applyFill="1" applyBorder="1" applyAlignment="1" applyProtection="1">
      <alignment horizontal="center" vertical="center" wrapText="1"/>
    </xf>
    <xf numFmtId="0" fontId="12" fillId="0" borderId="152" xfId="0" applyNumberFormat="1" applyFont="1" applyFill="1" applyBorder="1" applyAlignment="1">
      <alignment horizontal="right" vertical="top" wrapText="1"/>
    </xf>
    <xf numFmtId="0" fontId="12" fillId="0" borderId="154" xfId="0" applyNumberFormat="1" applyFont="1" applyFill="1" applyBorder="1" applyAlignment="1">
      <alignment horizontal="right" vertical="top" wrapText="1"/>
    </xf>
    <xf numFmtId="0" fontId="12" fillId="0" borderId="157" xfId="0" applyNumberFormat="1" applyFont="1" applyFill="1" applyBorder="1" applyAlignment="1">
      <alignment horizontal="right" vertical="top" wrapText="1"/>
    </xf>
    <xf numFmtId="0" fontId="12" fillId="0" borderId="155" xfId="0" applyFont="1" applyBorder="1"/>
    <xf numFmtId="0" fontId="12" fillId="0" borderId="158" xfId="0" applyFont="1" applyBorder="1"/>
    <xf numFmtId="0" fontId="12" fillId="0" borderId="143" xfId="0" applyFont="1" applyBorder="1"/>
    <xf numFmtId="0" fontId="12" fillId="0" borderId="159" xfId="0" applyFont="1" applyBorder="1"/>
    <xf numFmtId="0" fontId="12" fillId="0" borderId="160" xfId="0" applyFont="1" applyBorder="1"/>
    <xf numFmtId="0" fontId="12" fillId="0" borderId="161" xfId="0" applyFont="1" applyBorder="1"/>
    <xf numFmtId="0" fontId="12" fillId="0" borderId="162" xfId="0" applyFont="1" applyBorder="1"/>
    <xf numFmtId="0" fontId="27" fillId="0" borderId="150" xfId="0" applyFont="1" applyBorder="1" applyAlignment="1">
      <alignment horizontal="left" vertical="top" wrapText="1"/>
    </xf>
    <xf numFmtId="0" fontId="12" fillId="0" borderId="163" xfId="0" applyFont="1" applyBorder="1"/>
    <xf numFmtId="0" fontId="12" fillId="0" borderId="164" xfId="0" applyFont="1" applyBorder="1"/>
    <xf numFmtId="0" fontId="25" fillId="15" borderId="166" xfId="0" applyFont="1" applyFill="1" applyBorder="1" applyAlignment="1">
      <alignment horizontal="left" wrapText="1"/>
    </xf>
    <xf numFmtId="0" fontId="25" fillId="15" borderId="167" xfId="0" applyFont="1" applyFill="1" applyBorder="1" applyAlignment="1">
      <alignment horizontal="left" wrapText="1"/>
    </xf>
    <xf numFmtId="0" fontId="25" fillId="15" borderId="168" xfId="0" applyFont="1" applyFill="1" applyBorder="1" applyAlignment="1">
      <alignment horizontal="left" wrapText="1"/>
    </xf>
    <xf numFmtId="0" fontId="12" fillId="0" borderId="106" xfId="0" applyFont="1" applyBorder="1" applyAlignment="1">
      <alignment vertical="top" wrapText="1"/>
    </xf>
    <xf numFmtId="0" fontId="12" fillId="0" borderId="42" xfId="0" applyFont="1" applyBorder="1" applyAlignment="1">
      <alignment vertical="top" wrapText="1"/>
    </xf>
    <xf numFmtId="166" fontId="12" fillId="0" borderId="170" xfId="0" applyNumberFormat="1" applyFont="1" applyBorder="1" applyAlignment="1">
      <alignment horizontal="center" vertical="center" wrapText="1"/>
    </xf>
    <xf numFmtId="166" fontId="12" fillId="0" borderId="149" xfId="0" applyNumberFormat="1" applyFont="1" applyBorder="1" applyAlignment="1">
      <alignment horizontal="center" vertical="center" wrapText="1"/>
    </xf>
    <xf numFmtId="0" fontId="11" fillId="5" borderId="0" xfId="0" applyFont="1" applyFill="1" applyBorder="1" applyAlignment="1" applyProtection="1">
      <alignment horizontal="left" vertical="center" wrapText="1"/>
      <protection locked="0"/>
    </xf>
    <xf numFmtId="0" fontId="11" fillId="5" borderId="0" xfId="0" applyFont="1" applyFill="1" applyBorder="1" applyAlignment="1">
      <alignment horizontal="left" vertical="center" wrapText="1"/>
    </xf>
    <xf numFmtId="0" fontId="12" fillId="0" borderId="171" xfId="0" applyFont="1" applyFill="1" applyBorder="1" applyAlignment="1">
      <alignment horizontal="left" vertical="top" wrapText="1"/>
    </xf>
    <xf numFmtId="0" fontId="12" fillId="0" borderId="164" xfId="0" applyFont="1" applyFill="1" applyBorder="1" applyAlignment="1">
      <alignment horizontal="left" vertical="top" wrapText="1"/>
    </xf>
    <xf numFmtId="0" fontId="12" fillId="0" borderId="165" xfId="0" applyFont="1" applyFill="1" applyBorder="1" applyAlignment="1">
      <alignment horizontal="left" vertical="top" wrapText="1"/>
    </xf>
    <xf numFmtId="0" fontId="25" fillId="15" borderId="172" xfId="0" applyFont="1" applyFill="1" applyBorder="1" applyAlignment="1">
      <alignment horizontal="left" wrapText="1"/>
    </xf>
    <xf numFmtId="0" fontId="25" fillId="15" borderId="173" xfId="0" applyFont="1" applyFill="1" applyBorder="1" applyAlignment="1">
      <alignment horizontal="left" wrapText="1"/>
    </xf>
    <xf numFmtId="0" fontId="25" fillId="15" borderId="174" xfId="0" applyFont="1" applyFill="1" applyBorder="1" applyAlignment="1">
      <alignment horizontal="left" wrapText="1"/>
    </xf>
    <xf numFmtId="0" fontId="25" fillId="15" borderId="175" xfId="0" applyFont="1" applyFill="1" applyBorder="1" applyAlignment="1">
      <alignment horizontal="left" wrapText="1"/>
    </xf>
    <xf numFmtId="0" fontId="19" fillId="5" borderId="76" xfId="0" applyFont="1" applyFill="1" applyBorder="1" applyAlignment="1">
      <alignment horizontal="centerContinuous"/>
    </xf>
    <xf numFmtId="0" fontId="19" fillId="5" borderId="77" xfId="0" applyFont="1" applyFill="1" applyBorder="1" applyAlignment="1">
      <alignment horizontal="centerContinuous"/>
    </xf>
    <xf numFmtId="0" fontId="19" fillId="5" borderId="78" xfId="0" applyFont="1" applyFill="1" applyBorder="1" applyAlignment="1">
      <alignment horizontal="centerContinuous"/>
    </xf>
    <xf numFmtId="0" fontId="19" fillId="5" borderId="79" xfId="0" applyFont="1" applyFill="1" applyBorder="1" applyAlignment="1">
      <alignment horizontal="centerContinuous"/>
    </xf>
    <xf numFmtId="2" fontId="0" fillId="4" borderId="73" xfId="0" applyNumberFormat="1" applyFill="1" applyBorder="1" applyAlignment="1">
      <alignment horizontal="centerContinuous"/>
    </xf>
    <xf numFmtId="2" fontId="0" fillId="4" borderId="48" xfId="0" applyNumberFormat="1" applyFill="1" applyBorder="1" applyAlignment="1">
      <alignment horizontal="centerContinuous"/>
    </xf>
    <xf numFmtId="2" fontId="0" fillId="4" borderId="74" xfId="0" applyNumberFormat="1" applyFill="1" applyBorder="1" applyAlignment="1">
      <alignment horizontal="centerContinuous"/>
    </xf>
    <xf numFmtId="2" fontId="0" fillId="12" borderId="74" xfId="0" applyNumberFormat="1" applyFill="1" applyBorder="1" applyAlignment="1">
      <alignment horizontal="centerContinuous"/>
    </xf>
    <xf numFmtId="2" fontId="0" fillId="12" borderId="5" xfId="0" applyNumberFormat="1" applyFill="1" applyBorder="1" applyAlignment="1">
      <alignment horizontal="centerContinuous"/>
    </xf>
    <xf numFmtId="0" fontId="12" fillId="0" borderId="0" xfId="0" applyFont="1" applyFill="1" applyBorder="1" applyAlignment="1">
      <alignment vertical="top"/>
    </xf>
    <xf numFmtId="0" fontId="25" fillId="15" borderId="177" xfId="0" applyFont="1" applyFill="1" applyBorder="1" applyAlignment="1">
      <alignment horizontal="left" vertical="center" wrapText="1"/>
    </xf>
    <xf numFmtId="0" fontId="25" fillId="15" borderId="178" xfId="0" applyFont="1" applyFill="1" applyBorder="1" applyAlignment="1">
      <alignment horizontal="left" vertical="center" wrapText="1"/>
    </xf>
    <xf numFmtId="0" fontId="25" fillId="15" borderId="179" xfId="0" applyFont="1" applyFill="1" applyBorder="1" applyAlignment="1">
      <alignment horizontal="left" vertical="center" wrapText="1"/>
    </xf>
    <xf numFmtId="0" fontId="12" fillId="0" borderId="181" xfId="0" applyFont="1" applyFill="1" applyBorder="1" applyAlignment="1">
      <alignment vertical="top"/>
    </xf>
    <xf numFmtId="0" fontId="12" fillId="0" borderId="180" xfId="0" applyFont="1" applyFill="1" applyBorder="1" applyAlignment="1">
      <alignment vertical="top"/>
    </xf>
    <xf numFmtId="0" fontId="25" fillId="15" borderId="182" xfId="0" applyFont="1" applyFill="1" applyBorder="1" applyAlignment="1">
      <alignment horizontal="left" vertical="center" wrapText="1"/>
    </xf>
    <xf numFmtId="0" fontId="25" fillId="15" borderId="183" xfId="0" applyFont="1" applyFill="1" applyBorder="1" applyAlignment="1">
      <alignment horizontal="left" vertical="center" wrapText="1"/>
    </xf>
    <xf numFmtId="0" fontId="0" fillId="0" borderId="0" xfId="0"/>
    <xf numFmtId="0" fontId="11" fillId="0" borderId="0" xfId="0" applyFont="1" applyBorder="1"/>
    <xf numFmtId="2" fontId="12" fillId="0" borderId="0" xfId="0" applyNumberFormat="1" applyFont="1" applyBorder="1" applyAlignment="1">
      <alignment horizontal="right"/>
    </xf>
    <xf numFmtId="0" fontId="12" fillId="4" borderId="0" xfId="0" applyFont="1" applyFill="1" applyBorder="1"/>
    <xf numFmtId="0" fontId="12" fillId="0" borderId="0" xfId="0" applyFont="1" applyBorder="1" applyAlignment="1">
      <alignment wrapText="1"/>
    </xf>
    <xf numFmtId="0" fontId="27" fillId="0" borderId="0" xfId="0" applyFont="1" applyBorder="1" applyAlignment="1" applyProtection="1">
      <alignment horizontal="left"/>
    </xf>
    <xf numFmtId="0" fontId="27" fillId="0" borderId="0" xfId="0" applyFont="1" applyFill="1" applyBorder="1" applyAlignment="1" applyProtection="1">
      <alignment horizontal="left"/>
    </xf>
    <xf numFmtId="14" fontId="12" fillId="0" borderId="0" xfId="0" applyNumberFormat="1" applyFont="1" applyBorder="1" applyAlignment="1">
      <alignment horizontal="right"/>
    </xf>
    <xf numFmtId="0" fontId="12" fillId="0" borderId="0" xfId="0" applyFont="1" applyBorder="1" applyAlignment="1">
      <alignment horizontal="right"/>
    </xf>
    <xf numFmtId="166" fontId="12" fillId="0" borderId="0" xfId="0" applyNumberFormat="1" applyFont="1" applyBorder="1"/>
    <xf numFmtId="0" fontId="25" fillId="16" borderId="0" xfId="0" applyFont="1" applyFill="1" applyBorder="1" applyAlignment="1" applyProtection="1">
      <alignment horizontal="left"/>
    </xf>
    <xf numFmtId="0" fontId="27" fillId="16" borderId="0" xfId="0" applyFont="1" applyFill="1" applyBorder="1" applyAlignment="1" applyProtection="1">
      <alignment horizontal="left"/>
    </xf>
    <xf numFmtId="0" fontId="38" fillId="0" borderId="0" xfId="0" applyFont="1" applyFill="1" applyBorder="1" applyAlignment="1" applyProtection="1">
      <alignment horizontal="left"/>
    </xf>
    <xf numFmtId="0" fontId="12" fillId="0" borderId="0" xfId="0" applyFont="1" applyFill="1" applyBorder="1"/>
    <xf numFmtId="0" fontId="0" fillId="0" borderId="0" xfId="0"/>
    <xf numFmtId="0" fontId="12" fillId="0" borderId="153" xfId="0" applyFont="1" applyBorder="1"/>
    <xf numFmtId="0" fontId="11" fillId="15" borderId="185" xfId="0" applyFont="1" applyFill="1" applyBorder="1" applyAlignment="1">
      <alignment horizontal="center" vertical="center"/>
    </xf>
    <xf numFmtId="0" fontId="12" fillId="0" borderId="186" xfId="0" applyFont="1" applyFill="1" applyBorder="1" applyAlignment="1">
      <alignment vertical="top"/>
    </xf>
    <xf numFmtId="0" fontId="12" fillId="0" borderId="187" xfId="0" applyFont="1" applyFill="1" applyBorder="1" applyAlignment="1">
      <alignment vertical="top"/>
    </xf>
    <xf numFmtId="0" fontId="12" fillId="17" borderId="70" xfId="0" applyFont="1" applyFill="1" applyBorder="1" applyAlignment="1">
      <alignment horizontal="left" vertical="top"/>
    </xf>
    <xf numFmtId="167" fontId="12" fillId="0" borderId="70" xfId="0" applyNumberFormat="1" applyFont="1" applyFill="1" applyBorder="1" applyAlignment="1">
      <alignment horizontal="right" vertical="top"/>
    </xf>
    <xf numFmtId="167" fontId="12" fillId="0" borderId="67" xfId="0" applyNumberFormat="1" applyFont="1" applyFill="1" applyBorder="1" applyAlignment="1">
      <alignment horizontal="right" vertical="top"/>
    </xf>
    <xf numFmtId="167" fontId="12" fillId="0" borderId="60" xfId="0" applyNumberFormat="1" applyFont="1" applyFill="1" applyBorder="1" applyAlignment="1">
      <alignment horizontal="right" vertical="top"/>
    </xf>
    <xf numFmtId="14" fontId="0" fillId="0" borderId="0" xfId="0" applyNumberFormat="1"/>
    <xf numFmtId="9" fontId="0" fillId="0" borderId="0" xfId="0" applyNumberFormat="1"/>
    <xf numFmtId="0" fontId="25" fillId="15" borderId="49" xfId="0" applyFont="1" applyFill="1" applyBorder="1" applyAlignment="1">
      <alignment horizontal="left" vertical="center" wrapText="1"/>
    </xf>
    <xf numFmtId="0" fontId="25" fillId="15" borderId="49" xfId="0" applyFont="1" applyFill="1" applyBorder="1" applyAlignment="1">
      <alignment horizontal="left" vertical="center" wrapText="1"/>
    </xf>
    <xf numFmtId="0" fontId="0" fillId="0" borderId="190" xfId="0" applyBorder="1"/>
    <xf numFmtId="0" fontId="0" fillId="0" borderId="193" xfId="0" applyBorder="1"/>
    <xf numFmtId="2" fontId="12" fillId="0" borderId="67" xfId="0" applyNumberFormat="1" applyFont="1" applyBorder="1"/>
    <xf numFmtId="2" fontId="12" fillId="0" borderId="69" xfId="0" applyNumberFormat="1" applyFont="1" applyBorder="1"/>
    <xf numFmtId="0" fontId="0" fillId="0" borderId="197" xfId="0" applyBorder="1"/>
    <xf numFmtId="0" fontId="25" fillId="15" borderId="49" xfId="0" applyFont="1" applyFill="1" applyBorder="1" applyAlignment="1">
      <alignment horizontal="left" vertical="center" wrapText="1"/>
    </xf>
    <xf numFmtId="0" fontId="25" fillId="15" borderId="49" xfId="0" applyFont="1" applyFill="1" applyBorder="1" applyAlignment="1">
      <alignment horizontal="left" vertical="center" wrapText="1"/>
    </xf>
    <xf numFmtId="0" fontId="25" fillId="15" borderId="200" xfId="0" applyFont="1" applyFill="1" applyBorder="1" applyAlignment="1">
      <alignment horizontal="left" vertical="center" wrapText="1"/>
    </xf>
    <xf numFmtId="0" fontId="25" fillId="15" borderId="201" xfId="0" applyFont="1" applyFill="1" applyBorder="1" applyAlignment="1">
      <alignment horizontal="left" vertical="top" wrapText="1"/>
    </xf>
    <xf numFmtId="0" fontId="25" fillId="15" borderId="202" xfId="0" applyFont="1" applyFill="1" applyBorder="1" applyAlignment="1">
      <alignment horizontal="left" vertical="top" wrapText="1"/>
    </xf>
    <xf numFmtId="0" fontId="25" fillId="15" borderId="203" xfId="0" applyFont="1" applyFill="1" applyBorder="1" applyAlignment="1">
      <alignment horizontal="left" vertical="top" wrapText="1"/>
    </xf>
    <xf numFmtId="0" fontId="39" fillId="0" borderId="204" xfId="18025" applyFont="1" applyBorder="1" applyAlignment="1" applyProtection="1">
      <alignment horizontal="left" vertical="top" wrapText="1"/>
      <protection locked="0"/>
    </xf>
    <xf numFmtId="0" fontId="39" fillId="0" borderId="205" xfId="18025" applyFont="1" applyBorder="1" applyAlignment="1" applyProtection="1">
      <alignment horizontal="left" vertical="top" wrapText="1"/>
      <protection locked="0"/>
    </xf>
    <xf numFmtId="0" fontId="25" fillId="15" borderId="59" xfId="0" applyFont="1" applyFill="1" applyBorder="1" applyAlignment="1">
      <alignment horizontal="left" vertical="center"/>
    </xf>
    <xf numFmtId="0" fontId="0" fillId="0" borderId="0" xfId="0" applyBorder="1" applyAlignment="1"/>
    <xf numFmtId="0" fontId="25" fillId="15" borderId="136" xfId="0" applyFont="1" applyFill="1" applyBorder="1" applyAlignment="1">
      <alignment horizontal="left" vertical="center" wrapText="1"/>
    </xf>
    <xf numFmtId="166" fontId="12" fillId="0" borderId="65" xfId="0" applyNumberFormat="1" applyFont="1" applyBorder="1" applyAlignment="1">
      <alignment horizontal="center" vertical="center" wrapText="1"/>
    </xf>
    <xf numFmtId="0" fontId="25" fillId="0" borderId="0" xfId="0" applyFont="1" applyBorder="1" applyAlignment="1" applyProtection="1">
      <alignment horizontal="left" vertical="top" wrapText="1"/>
    </xf>
    <xf numFmtId="0" fontId="11" fillId="15" borderId="207" xfId="0" applyFont="1" applyFill="1" applyBorder="1" applyAlignment="1">
      <alignment horizontal="left" vertical="center"/>
    </xf>
    <xf numFmtId="0" fontId="11" fillId="15" borderId="208" xfId="0" applyFont="1" applyFill="1" applyBorder="1" applyAlignment="1">
      <alignment horizontal="left" vertical="center"/>
    </xf>
    <xf numFmtId="0" fontId="11" fillId="15" borderId="209" xfId="0" applyFont="1" applyFill="1" applyBorder="1" applyAlignment="1">
      <alignment horizontal="left" vertical="center"/>
    </xf>
    <xf numFmtId="2" fontId="12" fillId="4" borderId="67" xfId="0" applyNumberFormat="1" applyFont="1" applyFill="1" applyBorder="1"/>
    <xf numFmtId="2" fontId="12" fillId="4" borderId="69" xfId="0" applyNumberFormat="1" applyFont="1" applyFill="1" applyBorder="1"/>
    <xf numFmtId="0" fontId="12" fillId="15" borderId="210" xfId="0" applyFont="1" applyFill="1" applyBorder="1" applyAlignment="1">
      <alignment horizontal="left" vertical="center"/>
    </xf>
    <xf numFmtId="0" fontId="12" fillId="15" borderId="211" xfId="0" applyFont="1" applyFill="1" applyBorder="1" applyAlignment="1">
      <alignment horizontal="left" vertical="center"/>
    </xf>
    <xf numFmtId="0" fontId="12" fillId="15" borderId="212" xfId="0" applyFont="1" applyFill="1" applyBorder="1" applyAlignment="1">
      <alignment horizontal="left" vertical="center"/>
    </xf>
    <xf numFmtId="2" fontId="12" fillId="0" borderId="213" xfId="0" applyNumberFormat="1" applyFont="1" applyBorder="1"/>
    <xf numFmtId="2" fontId="12" fillId="0" borderId="86" xfId="0" applyNumberFormat="1" applyFont="1" applyBorder="1"/>
    <xf numFmtId="0" fontId="27" fillId="0" borderId="0" xfId="0" applyFont="1" applyBorder="1" applyAlignment="1" applyProtection="1">
      <alignment horizontal="left" vertical="top" wrapText="1"/>
    </xf>
    <xf numFmtId="0" fontId="27" fillId="0" borderId="0" xfId="0" applyFont="1" applyBorder="1" applyAlignment="1" applyProtection="1"/>
    <xf numFmtId="0" fontId="11" fillId="15" borderId="184" xfId="0" applyNumberFormat="1" applyFont="1" applyFill="1" applyBorder="1" applyAlignment="1">
      <alignment vertical="top"/>
    </xf>
    <xf numFmtId="2" fontId="12" fillId="0" borderId="184" xfId="0" applyNumberFormat="1" applyFont="1" applyBorder="1" applyAlignment="1">
      <alignment vertical="top"/>
    </xf>
    <xf numFmtId="2" fontId="12" fillId="0" borderId="128" xfId="0" applyNumberFormat="1" applyFont="1" applyBorder="1" applyAlignment="1">
      <alignment vertical="top"/>
    </xf>
    <xf numFmtId="166" fontId="12" fillId="0" borderId="0" xfId="0" pivotButton="1" applyNumberFormat="1" applyFont="1" applyAlignment="1">
      <alignment vertical="top"/>
    </xf>
    <xf numFmtId="166" fontId="12" fillId="0" borderId="0" xfId="0" applyNumberFormat="1" applyFont="1" applyAlignment="1">
      <alignment vertical="top"/>
    </xf>
    <xf numFmtId="166" fontId="12" fillId="0" borderId="90" xfId="0" applyNumberFormat="1" applyFont="1" applyBorder="1" applyAlignment="1">
      <alignment vertical="top"/>
    </xf>
    <xf numFmtId="166" fontId="12" fillId="0" borderId="137" xfId="0" applyNumberFormat="1" applyFont="1" applyBorder="1" applyAlignment="1">
      <alignment vertical="top"/>
    </xf>
    <xf numFmtId="0" fontId="11" fillId="15" borderId="131" xfId="0" applyNumberFormat="1" applyFont="1" applyFill="1" applyBorder="1" applyAlignment="1">
      <alignment vertical="top"/>
    </xf>
    <xf numFmtId="166" fontId="12" fillId="0" borderId="129" xfId="0" applyNumberFormat="1" applyFont="1" applyBorder="1" applyAlignment="1">
      <alignment vertical="top"/>
    </xf>
    <xf numFmtId="166" fontId="12" fillId="0" borderId="128" xfId="0" applyNumberFormat="1" applyFont="1" applyBorder="1" applyAlignment="1">
      <alignment vertical="top"/>
    </xf>
    <xf numFmtId="166" fontId="12" fillId="0" borderId="131" xfId="0" pivotButton="1" applyNumberFormat="1" applyFont="1" applyBorder="1" applyAlignment="1">
      <alignment vertical="top"/>
    </xf>
    <xf numFmtId="166" fontId="12" fillId="0" borderId="129" xfId="0" pivotButton="1" applyNumberFormat="1" applyFont="1" applyBorder="1" applyAlignment="1">
      <alignment vertical="top"/>
    </xf>
    <xf numFmtId="166" fontId="12" fillId="0" borderId="131" xfId="0" applyNumberFormat="1" applyFont="1" applyBorder="1" applyAlignment="1">
      <alignment vertical="top"/>
    </xf>
    <xf numFmtId="2" fontId="12" fillId="0" borderId="131" xfId="0" applyNumberFormat="1" applyFont="1" applyBorder="1" applyAlignment="1">
      <alignment horizontal="right" vertical="top"/>
    </xf>
    <xf numFmtId="2" fontId="12" fillId="0" borderId="184" xfId="0" applyNumberFormat="1" applyFont="1" applyBorder="1" applyAlignment="1">
      <alignment horizontal="right" vertical="top"/>
    </xf>
    <xf numFmtId="0" fontId="11" fillId="15" borderId="136" xfId="0" applyNumberFormat="1" applyFont="1" applyFill="1" applyBorder="1" applyAlignment="1">
      <alignment vertical="top"/>
    </xf>
    <xf numFmtId="166" fontId="12" fillId="0" borderId="182" xfId="0" applyNumberFormat="1" applyFont="1" applyBorder="1" applyAlignment="1">
      <alignment vertical="top"/>
    </xf>
    <xf numFmtId="0" fontId="12" fillId="0" borderId="214" xfId="0" applyFont="1" applyFill="1" applyBorder="1"/>
    <xf numFmtId="167" fontId="12" fillId="0" borderId="126" xfId="0" applyNumberFormat="1" applyFont="1" applyFill="1" applyBorder="1" applyAlignment="1">
      <alignment horizontal="center" vertical="center"/>
    </xf>
    <xf numFmtId="0" fontId="12" fillId="0" borderId="32" xfId="0" applyFont="1" applyFill="1" applyBorder="1" applyAlignment="1">
      <alignment horizontal="left" vertical="top" wrapText="1"/>
    </xf>
    <xf numFmtId="0" fontId="12" fillId="14" borderId="153" xfId="0" applyFont="1" applyFill="1" applyBorder="1"/>
    <xf numFmtId="2" fontId="12" fillId="4" borderId="0" xfId="0" applyNumberFormat="1" applyFont="1" applyFill="1" applyBorder="1" applyAlignment="1">
      <alignment horizontal="right" vertical="top"/>
    </xf>
    <xf numFmtId="0" fontId="25" fillId="15" borderId="49" xfId="0" applyFont="1" applyFill="1" applyBorder="1" applyAlignment="1">
      <alignment horizontal="left" vertical="center" wrapText="1"/>
    </xf>
    <xf numFmtId="0" fontId="25" fillId="15" borderId="49" xfId="0" applyFont="1" applyFill="1" applyBorder="1" applyAlignment="1">
      <alignment horizontal="left" vertical="center" wrapText="1"/>
    </xf>
    <xf numFmtId="0" fontId="6" fillId="0" borderId="67" xfId="23387" applyFill="1" applyBorder="1" applyAlignment="1">
      <alignment horizontal="left" vertical="top" wrapText="1"/>
    </xf>
    <xf numFmtId="167" fontId="12" fillId="23" borderId="50" xfId="0" applyNumberFormat="1" applyFont="1" applyFill="1" applyBorder="1" applyAlignment="1">
      <alignment horizontal="center" vertical="center"/>
    </xf>
    <xf numFmtId="0" fontId="11" fillId="15" borderId="215" xfId="0" applyNumberFormat="1" applyFont="1" applyFill="1" applyBorder="1" applyAlignment="1">
      <alignment vertical="top"/>
    </xf>
    <xf numFmtId="0" fontId="0" fillId="0" borderId="0" xfId="0" applyAlignment="1">
      <alignment vertical="top"/>
    </xf>
    <xf numFmtId="0" fontId="0" fillId="0" borderId="0" xfId="0" applyFont="1" applyFill="1" applyAlignment="1"/>
    <xf numFmtId="0" fontId="0" fillId="0" borderId="0" xfId="0" applyFont="1"/>
    <xf numFmtId="0" fontId="12" fillId="23" borderId="42" xfId="0" applyFont="1" applyFill="1" applyBorder="1" applyAlignment="1">
      <alignment horizontal="left" vertical="top" wrapText="1"/>
    </xf>
    <xf numFmtId="0" fontId="25" fillId="15" borderId="49" xfId="0" applyFont="1" applyFill="1" applyBorder="1" applyAlignment="1">
      <alignment horizontal="left" vertical="center" wrapText="1"/>
    </xf>
    <xf numFmtId="0" fontId="0" fillId="0" borderId="196" xfId="0" applyBorder="1"/>
    <xf numFmtId="0" fontId="0" fillId="0" borderId="192" xfId="0" applyBorder="1"/>
    <xf numFmtId="0" fontId="0" fillId="0" borderId="189" xfId="0" applyBorder="1"/>
    <xf numFmtId="0" fontId="12" fillId="0" borderId="7" xfId="0" applyFont="1" applyBorder="1"/>
    <xf numFmtId="166" fontId="12" fillId="0" borderId="11" xfId="0" applyNumberFormat="1" applyFont="1" applyBorder="1" applyAlignment="1">
      <alignment vertical="top"/>
    </xf>
    <xf numFmtId="0" fontId="12" fillId="0" borderId="66" xfId="0" applyFont="1" applyFill="1" applyBorder="1" applyAlignment="1">
      <alignment horizontal="right" vertical="top"/>
    </xf>
    <xf numFmtId="0" fontId="0" fillId="0" borderId="0" xfId="0" applyFont="1" applyAlignment="1"/>
    <xf numFmtId="0" fontId="0" fillId="0" borderId="0" xfId="0" applyFont="1" applyAlignment="1">
      <alignment wrapText="1"/>
    </xf>
    <xf numFmtId="0" fontId="0" fillId="0" borderId="0" xfId="0" applyFont="1" applyAlignment="1" applyProtection="1">
      <alignment wrapText="1"/>
      <protection locked="0"/>
    </xf>
    <xf numFmtId="0" fontId="0" fillId="0" borderId="0" xfId="0" applyFont="1" applyAlignment="1">
      <alignment horizontal="center"/>
    </xf>
    <xf numFmtId="0" fontId="0" fillId="0" borderId="0" xfId="0" applyFont="1" applyFill="1"/>
    <xf numFmtId="0" fontId="0" fillId="0" borderId="0" xfId="0" applyFont="1" applyFill="1" applyBorder="1"/>
    <xf numFmtId="0" fontId="0" fillId="0" borderId="0" xfId="0" applyFont="1" applyFill="1" applyBorder="1" applyAlignment="1">
      <alignment vertical="center"/>
    </xf>
    <xf numFmtId="0" fontId="0" fillId="0" borderId="169" xfId="0" applyFont="1" applyBorder="1"/>
    <xf numFmtId="0" fontId="0" fillId="0" borderId="32" xfId="0" applyFont="1" applyFill="1" applyBorder="1"/>
    <xf numFmtId="0" fontId="18" fillId="0" borderId="0" xfId="0" applyFont="1" applyFill="1" applyAlignment="1"/>
    <xf numFmtId="0" fontId="12" fillId="17" borderId="70" xfId="0" applyFont="1" applyFill="1" applyBorder="1" applyAlignment="1" applyProtection="1">
      <alignment horizontal="left" vertical="top"/>
      <protection locked="0"/>
    </xf>
    <xf numFmtId="0" fontId="12" fillId="17" borderId="171" xfId="0" applyFont="1" applyFill="1" applyBorder="1" applyAlignment="1">
      <alignment horizontal="left" vertical="top"/>
    </xf>
    <xf numFmtId="0" fontId="12" fillId="17" borderId="164" xfId="0" applyFont="1" applyFill="1" applyBorder="1" applyAlignment="1">
      <alignment horizontal="left" vertical="top"/>
    </xf>
    <xf numFmtId="0" fontId="12" fillId="0" borderId="165" xfId="0" applyFont="1" applyFill="1" applyBorder="1" applyAlignment="1">
      <alignment horizontal="left" vertical="top"/>
    </xf>
    <xf numFmtId="10" fontId="12" fillId="4" borderId="41" xfId="0" applyNumberFormat="1" applyFont="1" applyFill="1" applyBorder="1" applyAlignment="1">
      <alignment horizontal="right" vertical="center"/>
    </xf>
    <xf numFmtId="0" fontId="12" fillId="0" borderId="135" xfId="0" applyFont="1" applyFill="1" applyBorder="1" applyAlignment="1">
      <alignment horizontal="left" vertical="top"/>
    </xf>
    <xf numFmtId="0" fontId="12" fillId="0" borderId="42" xfId="0" applyFont="1" applyFill="1" applyBorder="1" applyAlignment="1">
      <alignment horizontal="center" vertical="center"/>
    </xf>
    <xf numFmtId="2" fontId="12" fillId="4" borderId="75" xfId="0" applyNumberFormat="1" applyFont="1" applyFill="1" applyBorder="1" applyAlignment="1">
      <alignment horizontal="right" vertical="center"/>
    </xf>
    <xf numFmtId="0" fontId="12" fillId="0" borderId="64" xfId="0" applyFont="1" applyFill="1" applyBorder="1" applyAlignment="1">
      <alignment horizontal="left" vertical="top"/>
    </xf>
    <xf numFmtId="0" fontId="12" fillId="0" borderId="70" xfId="0" applyFont="1" applyFill="1" applyBorder="1" applyAlignment="1" applyProtection="1">
      <alignment horizontal="left" vertical="top"/>
      <protection locked="0"/>
    </xf>
    <xf numFmtId="0" fontId="12" fillId="0" borderId="171" xfId="0" applyFont="1" applyFill="1" applyBorder="1" applyAlignment="1">
      <alignment horizontal="left" vertical="top"/>
    </xf>
    <xf numFmtId="0" fontId="12" fillId="0" borderId="164" xfId="0" applyFont="1" applyFill="1" applyBorder="1" applyAlignment="1">
      <alignment horizontal="left" vertical="top"/>
    </xf>
    <xf numFmtId="0" fontId="12" fillId="24" borderId="70" xfId="0" applyFont="1" applyFill="1" applyBorder="1" applyAlignment="1">
      <alignment horizontal="left" vertical="top"/>
    </xf>
    <xf numFmtId="0" fontId="12" fillId="24" borderId="70" xfId="0" applyFont="1" applyFill="1" applyBorder="1" applyAlignment="1" applyProtection="1">
      <alignment horizontal="left" vertical="top"/>
      <protection locked="0"/>
    </xf>
    <xf numFmtId="0" fontId="12" fillId="24" borderId="171" xfId="0" applyFont="1" applyFill="1" applyBorder="1" applyAlignment="1">
      <alignment horizontal="left" vertical="top"/>
    </xf>
    <xf numFmtId="0" fontId="12" fillId="24" borderId="164" xfId="0" applyFont="1" applyFill="1" applyBorder="1" applyAlignment="1">
      <alignment horizontal="left" vertical="top"/>
    </xf>
    <xf numFmtId="0" fontId="12" fillId="18" borderId="70" xfId="0" applyFont="1" applyFill="1" applyBorder="1" applyAlignment="1">
      <alignment horizontal="left" vertical="top"/>
    </xf>
    <xf numFmtId="0" fontId="12" fillId="18" borderId="70" xfId="0" applyFont="1" applyFill="1" applyBorder="1" applyAlignment="1" applyProtection="1">
      <alignment horizontal="left" vertical="top"/>
      <protection locked="0"/>
    </xf>
    <xf numFmtId="0" fontId="12" fillId="18" borderId="171" xfId="0" applyFont="1" applyFill="1" applyBorder="1" applyAlignment="1">
      <alignment horizontal="left" vertical="top"/>
    </xf>
    <xf numFmtId="0" fontId="12" fillId="18" borderId="164" xfId="0" applyFont="1" applyFill="1" applyBorder="1" applyAlignment="1">
      <alignment horizontal="left" vertical="top"/>
    </xf>
    <xf numFmtId="0" fontId="12" fillId="18" borderId="67" xfId="0" applyFont="1" applyFill="1" applyBorder="1" applyAlignment="1">
      <alignment vertical="top"/>
    </xf>
    <xf numFmtId="0" fontId="12" fillId="18" borderId="67" xfId="0" applyFont="1" applyFill="1" applyBorder="1" applyAlignment="1">
      <alignment horizontal="left" vertical="top"/>
    </xf>
    <xf numFmtId="0" fontId="12" fillId="14" borderId="66" xfId="0" applyFont="1" applyFill="1" applyBorder="1" applyAlignment="1">
      <alignment vertical="top"/>
    </xf>
    <xf numFmtId="0" fontId="12" fillId="14" borderId="70" xfId="0" applyFont="1" applyFill="1" applyBorder="1" applyAlignment="1">
      <alignment horizontal="left" vertical="top"/>
    </xf>
    <xf numFmtId="0" fontId="12" fillId="14" borderId="67" xfId="0" applyFont="1" applyFill="1" applyBorder="1" applyAlignment="1">
      <alignment horizontal="left" vertical="top"/>
    </xf>
    <xf numFmtId="2" fontId="12" fillId="14" borderId="51" xfId="0" applyNumberFormat="1" applyFont="1" applyFill="1" applyBorder="1" applyAlignment="1">
      <alignment horizontal="right" vertical="top"/>
    </xf>
    <xf numFmtId="2" fontId="12" fillId="14" borderId="67" xfId="0" applyNumberFormat="1" applyFont="1" applyFill="1" applyBorder="1" applyAlignment="1">
      <alignment horizontal="right" vertical="top"/>
    </xf>
    <xf numFmtId="0" fontId="12" fillId="20" borderId="67" xfId="0" applyFont="1" applyFill="1" applyBorder="1" applyAlignment="1">
      <alignment horizontal="left" vertical="top"/>
    </xf>
    <xf numFmtId="0" fontId="12" fillId="25" borderId="67" xfId="0" applyFont="1" applyFill="1" applyBorder="1" applyAlignment="1">
      <alignment horizontal="left" vertical="top"/>
    </xf>
    <xf numFmtId="0" fontId="12" fillId="26" borderId="67" xfId="0" applyFont="1" applyFill="1" applyBorder="1" applyAlignment="1">
      <alignment horizontal="left" vertical="top"/>
    </xf>
    <xf numFmtId="0" fontId="12" fillId="27" borderId="67" xfId="0" applyFont="1" applyFill="1" applyBorder="1" applyAlignment="1">
      <alignment horizontal="left" vertical="top"/>
    </xf>
    <xf numFmtId="0" fontId="12" fillId="28" borderId="67" xfId="0" applyFont="1" applyFill="1" applyBorder="1" applyAlignment="1">
      <alignment horizontal="left" vertical="top"/>
    </xf>
    <xf numFmtId="0" fontId="12" fillId="22" borderId="67" xfId="0" applyFont="1" applyFill="1" applyBorder="1" applyAlignment="1">
      <alignment horizontal="left" vertical="top"/>
    </xf>
    <xf numFmtId="0" fontId="12" fillId="29" borderId="67" xfId="0" applyFont="1" applyFill="1" applyBorder="1" applyAlignment="1">
      <alignment horizontal="left" vertical="top"/>
    </xf>
    <xf numFmtId="0" fontId="12" fillId="30" borderId="67" xfId="0" applyFont="1" applyFill="1" applyBorder="1" applyAlignment="1">
      <alignment horizontal="left" vertical="top"/>
    </xf>
    <xf numFmtId="0" fontId="44" fillId="0" borderId="0" xfId="0" applyFont="1"/>
    <xf numFmtId="0" fontId="12" fillId="17" borderId="67" xfId="0" applyFont="1" applyFill="1" applyBorder="1" applyAlignment="1">
      <alignment horizontal="left" vertical="top"/>
    </xf>
    <xf numFmtId="0" fontId="5" fillId="0" borderId="0" xfId="0" applyFont="1" applyAlignment="1">
      <alignment vertical="top"/>
    </xf>
    <xf numFmtId="0" fontId="12" fillId="20" borderId="42" xfId="0" applyFont="1" applyFill="1" applyBorder="1" applyAlignment="1">
      <alignment horizontal="left" vertical="top" wrapText="1"/>
    </xf>
    <xf numFmtId="0" fontId="12" fillId="31" borderId="67" xfId="0" applyFont="1" applyFill="1" applyBorder="1" applyAlignment="1">
      <alignment horizontal="left" vertical="top"/>
    </xf>
    <xf numFmtId="0" fontId="44" fillId="0" borderId="0" xfId="0" applyFont="1" applyAlignment="1">
      <alignment wrapText="1"/>
    </xf>
    <xf numFmtId="167" fontId="12" fillId="20" borderId="50" xfId="0" applyNumberFormat="1" applyFont="1" applyFill="1" applyBorder="1" applyAlignment="1">
      <alignment horizontal="center" vertical="center"/>
    </xf>
    <xf numFmtId="167" fontId="12" fillId="20" borderId="70" xfId="0" applyNumberFormat="1" applyFont="1" applyFill="1" applyBorder="1" applyAlignment="1">
      <alignment horizontal="center" vertical="center"/>
    </xf>
    <xf numFmtId="0" fontId="4" fillId="0" borderId="0" xfId="0" applyFont="1" applyAlignment="1">
      <alignment vertical="top"/>
    </xf>
    <xf numFmtId="0" fontId="4" fillId="0" borderId="0" xfId="0" applyFont="1" applyAlignment="1">
      <alignment vertical="top" wrapText="1"/>
    </xf>
    <xf numFmtId="0" fontId="3" fillId="0" borderId="0" xfId="0" applyFont="1" applyAlignment="1">
      <alignment vertical="top"/>
    </xf>
    <xf numFmtId="0" fontId="3" fillId="0" borderId="0" xfId="0" applyFont="1" applyAlignment="1">
      <alignment vertical="top" wrapText="1"/>
    </xf>
    <xf numFmtId="166" fontId="12" fillId="0" borderId="6" xfId="0" pivotButton="1" applyNumberFormat="1" applyFont="1" applyBorder="1" applyAlignment="1">
      <alignment vertical="top"/>
    </xf>
    <xf numFmtId="0" fontId="0" fillId="0" borderId="0" xfId="0" applyAlignment="1">
      <alignment vertical="top" wrapText="1"/>
    </xf>
    <xf numFmtId="0" fontId="45" fillId="17" borderId="0" xfId="0" applyFont="1" applyFill="1" applyAlignment="1">
      <alignment horizontal="left" vertical="top"/>
    </xf>
    <xf numFmtId="0" fontId="5" fillId="0" borderId="0" xfId="0" applyFont="1" applyAlignment="1">
      <alignment horizontal="left" vertical="top"/>
    </xf>
    <xf numFmtId="0" fontId="45" fillId="17" borderId="0" xfId="0" applyFont="1" applyFill="1" applyAlignment="1">
      <alignment horizontal="left" vertical="top" wrapText="1"/>
    </xf>
    <xf numFmtId="0" fontId="2" fillId="0" borderId="0" xfId="0" applyFont="1" applyAlignment="1">
      <alignment horizontal="left" vertical="top"/>
    </xf>
    <xf numFmtId="0" fontId="31" fillId="0" borderId="24" xfId="0" applyFont="1" applyBorder="1" applyAlignment="1">
      <alignment horizontal="left" vertical="top" wrapText="1"/>
    </xf>
    <xf numFmtId="0" fontId="31" fillId="0" borderId="25" xfId="0" applyFont="1" applyBorder="1" applyAlignment="1">
      <alignment horizontal="left" vertical="top" wrapText="1"/>
    </xf>
    <xf numFmtId="0" fontId="31" fillId="0" borderId="140" xfId="0" applyFont="1" applyBorder="1" applyAlignment="1">
      <alignment horizontal="left" vertical="top" wrapText="1"/>
    </xf>
    <xf numFmtId="0" fontId="27" fillId="0" borderId="20" xfId="0" applyFont="1" applyBorder="1" applyAlignment="1">
      <alignment horizontal="left" vertical="top" wrapText="1"/>
    </xf>
    <xf numFmtId="0" fontId="27" fillId="0" borderId="21" xfId="0" applyFont="1" applyBorder="1" applyAlignment="1">
      <alignment horizontal="left" vertical="top" wrapText="1"/>
    </xf>
    <xf numFmtId="0" fontId="27" fillId="0" borderId="138" xfId="0" applyFont="1" applyBorder="1" applyAlignment="1">
      <alignment horizontal="left" vertical="top" wrapText="1"/>
    </xf>
    <xf numFmtId="0" fontId="31" fillId="0" borderId="22" xfId="0" applyFont="1" applyBorder="1" applyAlignment="1">
      <alignment horizontal="left" vertical="top" wrapText="1"/>
    </xf>
    <xf numFmtId="0" fontId="31" fillId="0" borderId="23" xfId="0" applyFont="1" applyBorder="1" applyAlignment="1">
      <alignment horizontal="left" vertical="top" wrapText="1"/>
    </xf>
    <xf numFmtId="0" fontId="31" fillId="0" borderId="139" xfId="0" applyFont="1" applyBorder="1" applyAlignment="1">
      <alignment horizontal="left" vertical="top" wrapText="1"/>
    </xf>
    <xf numFmtId="0" fontId="0" fillId="0" borderId="188" xfId="0" applyBorder="1"/>
    <xf numFmtId="0" fontId="0" fillId="0" borderId="189" xfId="0" applyBorder="1"/>
    <xf numFmtId="0" fontId="0" fillId="0" borderId="195" xfId="0" applyBorder="1"/>
    <xf numFmtId="0" fontId="0" fillId="0" borderId="196" xfId="0" applyBorder="1"/>
    <xf numFmtId="0" fontId="25" fillId="15" borderId="36" xfId="0" applyFont="1" applyFill="1" applyBorder="1" applyAlignment="1">
      <alignment horizontal="left" vertical="center" wrapText="1"/>
    </xf>
    <xf numFmtId="0" fontId="25" fillId="15" borderId="49" xfId="0" applyFont="1" applyFill="1" applyBorder="1" applyAlignment="1">
      <alignment horizontal="left" vertical="center" wrapText="1"/>
    </xf>
    <xf numFmtId="0" fontId="11" fillId="0" borderId="38" xfId="0" applyFont="1" applyBorder="1" applyAlignment="1">
      <alignment vertical="center" wrapText="1"/>
    </xf>
    <xf numFmtId="0" fontId="11" fillId="0" borderId="50" xfId="0" applyFont="1" applyBorder="1" applyAlignment="1">
      <alignment vertical="center" wrapText="1"/>
    </xf>
    <xf numFmtId="0" fontId="12" fillId="0" borderId="32" xfId="0" applyFont="1" applyBorder="1" applyAlignment="1">
      <alignment horizontal="left" vertical="top" wrapText="1"/>
    </xf>
    <xf numFmtId="0" fontId="12" fillId="0" borderId="8" xfId="0" applyFont="1" applyBorder="1" applyAlignment="1">
      <alignment horizontal="left" vertical="top" wrapText="1"/>
    </xf>
    <xf numFmtId="0" fontId="27" fillId="0" borderId="40" xfId="0" applyFont="1" applyBorder="1" applyAlignment="1">
      <alignment horizontal="left" vertical="top" wrapText="1"/>
    </xf>
    <xf numFmtId="0" fontId="27" fillId="0" borderId="51" xfId="0" applyFont="1" applyBorder="1" applyAlignment="1">
      <alignment horizontal="left" vertical="top" wrapText="1"/>
    </xf>
    <xf numFmtId="0" fontId="27" fillId="0" borderId="176" xfId="0" applyFont="1" applyBorder="1" applyAlignment="1">
      <alignment horizontal="left" vertical="top" wrapText="1"/>
    </xf>
    <xf numFmtId="0" fontId="27" fillId="0" borderId="56" xfId="0" applyFont="1" applyBorder="1" applyAlignment="1">
      <alignment horizontal="left" vertical="top" wrapText="1"/>
    </xf>
    <xf numFmtId="0" fontId="12" fillId="0" borderId="97" xfId="0" applyFont="1" applyBorder="1" applyAlignment="1">
      <alignment horizontal="left" vertical="top" wrapText="1"/>
    </xf>
    <xf numFmtId="0" fontId="12" fillId="0" borderId="194" xfId="0" applyFont="1" applyBorder="1" applyAlignment="1">
      <alignment horizontal="left" vertical="top" wrapText="1"/>
    </xf>
    <xf numFmtId="0" fontId="12" fillId="0" borderId="116" xfId="0" applyFont="1" applyBorder="1" applyAlignment="1">
      <alignment horizontal="left" vertical="top" wrapText="1"/>
    </xf>
    <xf numFmtId="0" fontId="12" fillId="0" borderId="67" xfId="0" applyFont="1" applyBorder="1" applyAlignment="1">
      <alignment vertical="center" wrapText="1"/>
    </xf>
    <xf numFmtId="0" fontId="12" fillId="0" borderId="213" xfId="0" applyFont="1" applyBorder="1" applyAlignment="1">
      <alignment vertical="center" wrapText="1"/>
    </xf>
    <xf numFmtId="0" fontId="12" fillId="0" borderId="176" xfId="0" applyFont="1" applyBorder="1" applyAlignment="1">
      <alignment vertical="center" wrapText="1"/>
    </xf>
    <xf numFmtId="0" fontId="12" fillId="0" borderId="56" xfId="0" applyFont="1" applyBorder="1" applyAlignment="1">
      <alignment vertical="center" wrapText="1"/>
    </xf>
    <xf numFmtId="0" fontId="11" fillId="15" borderId="136" xfId="0" applyFont="1" applyFill="1" applyBorder="1" applyAlignment="1">
      <alignment vertical="center"/>
    </xf>
    <xf numFmtId="0" fontId="11" fillId="15" borderId="206" xfId="0" applyFont="1" applyFill="1" applyBorder="1" applyAlignment="1">
      <alignment vertical="center"/>
    </xf>
    <xf numFmtId="0" fontId="27" fillId="0" borderId="199" xfId="0" applyFont="1" applyBorder="1" applyAlignment="1">
      <alignment horizontal="left" vertical="top" wrapText="1"/>
    </xf>
    <xf numFmtId="0" fontId="27" fillId="0" borderId="115" xfId="0" applyFont="1" applyBorder="1" applyAlignment="1">
      <alignment horizontal="left" vertical="top" wrapText="1"/>
    </xf>
    <xf numFmtId="0" fontId="25" fillId="15" borderId="142" xfId="0" applyFont="1" applyFill="1" applyBorder="1" applyAlignment="1">
      <alignment horizontal="left" vertical="center" wrapText="1"/>
    </xf>
    <xf numFmtId="0" fontId="12" fillId="0" borderId="198" xfId="0" applyFont="1" applyBorder="1" applyAlignment="1">
      <alignment horizontal="center" vertical="top" wrapText="1"/>
    </xf>
    <xf numFmtId="0" fontId="12" fillId="0" borderId="194" xfId="0" applyFont="1" applyBorder="1" applyAlignment="1">
      <alignment horizontal="center" vertical="top" wrapText="1"/>
    </xf>
    <xf numFmtId="0" fontId="12" fillId="0" borderId="116" xfId="0" applyFont="1" applyBorder="1" applyAlignment="1">
      <alignment horizontal="center" vertical="top" wrapText="1"/>
    </xf>
    <xf numFmtId="0" fontId="41" fillId="21" borderId="67" xfId="0" applyFont="1" applyFill="1" applyBorder="1" applyAlignment="1">
      <alignment vertical="center" wrapText="1"/>
    </xf>
    <xf numFmtId="0" fontId="41" fillId="19" borderId="67" xfId="0" applyFont="1" applyFill="1" applyBorder="1" applyAlignment="1">
      <alignment vertical="center" wrapText="1"/>
    </xf>
    <xf numFmtId="9" fontId="12" fillId="0" borderId="32" xfId="0" applyNumberFormat="1" applyFont="1" applyBorder="1" applyAlignment="1">
      <alignment horizontal="left" vertical="top" wrapText="1"/>
    </xf>
    <xf numFmtId="0" fontId="12" fillId="0" borderId="69" xfId="0" applyFont="1" applyBorder="1" applyAlignment="1">
      <alignment horizontal="left" vertical="center" wrapText="1"/>
    </xf>
    <xf numFmtId="0" fontId="12" fillId="0" borderId="51" xfId="0" applyFont="1" applyBorder="1" applyAlignment="1">
      <alignment horizontal="left" vertical="center" wrapText="1"/>
    </xf>
    <xf numFmtId="0" fontId="25" fillId="15" borderId="54" xfId="0" applyFont="1" applyFill="1" applyBorder="1" applyAlignment="1">
      <alignment horizontal="left" vertical="center" wrapText="1"/>
    </xf>
    <xf numFmtId="0" fontId="12" fillId="4" borderId="11" xfId="0" applyFont="1" applyFill="1" applyBorder="1" applyAlignment="1">
      <alignment vertical="center"/>
    </xf>
    <xf numFmtId="0" fontId="12" fillId="4" borderId="0" xfId="0" applyFont="1" applyFill="1" applyBorder="1" applyAlignment="1">
      <alignment vertical="center"/>
    </xf>
    <xf numFmtId="0" fontId="12" fillId="4" borderId="53" xfId="0" applyFont="1" applyFill="1" applyBorder="1" applyAlignment="1">
      <alignment vertical="center"/>
    </xf>
    <xf numFmtId="0" fontId="0" fillId="0" borderId="191" xfId="0" applyBorder="1"/>
    <xf numFmtId="0" fontId="0" fillId="0" borderId="192" xfId="0" applyBorder="1"/>
    <xf numFmtId="0" fontId="11" fillId="15" borderId="131" xfId="0" applyFont="1" applyFill="1" applyBorder="1" applyAlignment="1">
      <alignment horizontal="center" vertical="top"/>
    </xf>
    <xf numFmtId="0" fontId="11" fillId="15" borderId="129" xfId="0" applyFont="1" applyFill="1" applyBorder="1" applyAlignment="1">
      <alignment horizontal="center" vertical="top"/>
    </xf>
    <xf numFmtId="0" fontId="11" fillId="15" borderId="128" xfId="0" applyFont="1" applyFill="1" applyBorder="1" applyAlignment="1">
      <alignment horizontal="center" vertical="top"/>
    </xf>
    <xf numFmtId="0" fontId="25" fillId="15" borderId="131" xfId="0" applyFont="1" applyFill="1" applyBorder="1" applyAlignment="1">
      <alignment horizontal="left" vertical="center" wrapText="1"/>
    </xf>
    <xf numFmtId="0" fontId="25" fillId="15" borderId="128" xfId="0" applyFont="1" applyFill="1" applyBorder="1" applyAlignment="1">
      <alignment horizontal="left" vertical="center" wrapText="1"/>
    </xf>
    <xf numFmtId="0" fontId="25" fillId="15" borderId="37" xfId="0" applyFont="1" applyFill="1" applyBorder="1" applyAlignment="1">
      <alignment horizontal="left" vertical="center" wrapText="1"/>
    </xf>
    <xf numFmtId="0" fontId="25" fillId="15" borderId="9" xfId="0" applyFont="1" applyFill="1" applyBorder="1" applyAlignment="1">
      <alignment horizontal="left" vertical="center" wrapText="1"/>
    </xf>
    <xf numFmtId="0" fontId="25" fillId="15" borderId="10" xfId="0" applyFont="1" applyFill="1" applyBorder="1" applyAlignment="1">
      <alignment horizontal="left" vertical="center" wrapText="1"/>
    </xf>
    <xf numFmtId="0" fontId="0" fillId="0" borderId="0" xfId="0" applyFont="1" applyFill="1" applyBorder="1" applyAlignment="1">
      <alignment horizontal="center"/>
    </xf>
    <xf numFmtId="0" fontId="25" fillId="15" borderId="85" xfId="0" applyFont="1" applyFill="1" applyBorder="1" applyAlignment="1">
      <alignment horizontal="left" vertical="center" wrapText="1"/>
    </xf>
    <xf numFmtId="0" fontId="25" fillId="15" borderId="36" xfId="0" applyFont="1" applyFill="1" applyBorder="1" applyAlignment="1">
      <alignment horizontal="center" vertical="center" wrapText="1"/>
    </xf>
    <xf numFmtId="0" fontId="25" fillId="15" borderId="37" xfId="0" applyFont="1" applyFill="1" applyBorder="1" applyAlignment="1">
      <alignment horizontal="center" vertical="center" wrapText="1"/>
    </xf>
    <xf numFmtId="0" fontId="11" fillId="15" borderId="54" xfId="0" applyFont="1" applyFill="1" applyBorder="1" applyAlignment="1">
      <alignment horizontal="center" vertical="top"/>
    </xf>
    <xf numFmtId="0" fontId="11" fillId="15" borderId="37" xfId="0" applyFont="1" applyFill="1" applyBorder="1" applyAlignment="1">
      <alignment horizontal="center" vertical="top"/>
    </xf>
    <xf numFmtId="0" fontId="11" fillId="10" borderId="0" xfId="0" applyFont="1" applyFill="1" applyBorder="1" applyAlignment="1">
      <alignment horizontal="center" vertical="center"/>
    </xf>
    <xf numFmtId="0" fontId="1" fillId="0" borderId="0" xfId="0" applyFont="1" applyAlignment="1">
      <alignment vertical="top"/>
    </xf>
    <xf numFmtId="166" fontId="12" fillId="0" borderId="184" xfId="0" applyNumberFormat="1" applyFont="1" applyBorder="1" applyAlignment="1">
      <alignment vertical="top"/>
    </xf>
    <xf numFmtId="0" fontId="1" fillId="0" borderId="0" xfId="0" applyFont="1" applyAlignment="1">
      <alignment vertical="top" wrapText="1"/>
    </xf>
  </cellXfs>
  <cellStyles count="23389">
    <cellStyle name="%" xfId="18025"/>
    <cellStyle name="Date" xfId="150"/>
    <cellStyle name="Euro" xfId="15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2" builtinId="9" hidden="1"/>
    <cellStyle name="Followed Hyperlink" xfId="2024" builtinId="9" hidden="1"/>
    <cellStyle name="Followed Hyperlink" xfId="2026" builtinId="9" hidden="1"/>
    <cellStyle name="Followed Hyperlink" xfId="2028" builtinId="9" hidden="1"/>
    <cellStyle name="Followed Hyperlink" xfId="2030" builtinId="9" hidden="1"/>
    <cellStyle name="Followed Hyperlink" xfId="2032" builtinId="9" hidden="1"/>
    <cellStyle name="Followed Hyperlink" xfId="2034" builtinId="9" hidden="1"/>
    <cellStyle name="Followed Hyperlink" xfId="2036" builtinId="9" hidden="1"/>
    <cellStyle name="Followed Hyperlink" xfId="2038" builtinId="9" hidden="1"/>
    <cellStyle name="Followed Hyperlink" xfId="2040" builtinId="9" hidden="1"/>
    <cellStyle name="Followed Hyperlink" xfId="2042" builtinId="9" hidden="1"/>
    <cellStyle name="Followed Hyperlink" xfId="2044" builtinId="9" hidden="1"/>
    <cellStyle name="Followed Hyperlink" xfId="2046" builtinId="9" hidden="1"/>
    <cellStyle name="Followed Hyperlink" xfId="2048" builtinId="9" hidden="1"/>
    <cellStyle name="Followed Hyperlink" xfId="2050" builtinId="9" hidden="1"/>
    <cellStyle name="Followed Hyperlink" xfId="2052" builtinId="9" hidden="1"/>
    <cellStyle name="Followed Hyperlink" xfId="2054" builtinId="9" hidden="1"/>
    <cellStyle name="Followed Hyperlink" xfId="2056" builtinId="9" hidden="1"/>
    <cellStyle name="Followed Hyperlink" xfId="2058" builtinId="9" hidden="1"/>
    <cellStyle name="Followed Hyperlink" xfId="2060" builtinId="9" hidden="1"/>
    <cellStyle name="Followed Hyperlink" xfId="2062" builtinId="9" hidden="1"/>
    <cellStyle name="Followed Hyperlink" xfId="2064" builtinId="9" hidden="1"/>
    <cellStyle name="Followed Hyperlink" xfId="2066" builtinId="9" hidden="1"/>
    <cellStyle name="Followed Hyperlink" xfId="2068" builtinId="9" hidden="1"/>
    <cellStyle name="Followed Hyperlink" xfId="2070" builtinId="9" hidden="1"/>
    <cellStyle name="Followed Hyperlink" xfId="2072" builtinId="9" hidden="1"/>
    <cellStyle name="Followed Hyperlink" xfId="2074" builtinId="9" hidden="1"/>
    <cellStyle name="Followed Hyperlink" xfId="2076" builtinId="9" hidden="1"/>
    <cellStyle name="Followed Hyperlink" xfId="2078" builtinId="9" hidden="1"/>
    <cellStyle name="Followed Hyperlink" xfId="2080" builtinId="9" hidden="1"/>
    <cellStyle name="Followed Hyperlink" xfId="2082" builtinId="9" hidden="1"/>
    <cellStyle name="Followed Hyperlink" xfId="2084" builtinId="9" hidden="1"/>
    <cellStyle name="Followed Hyperlink" xfId="2086" builtinId="9" hidden="1"/>
    <cellStyle name="Followed Hyperlink" xfId="2088" builtinId="9" hidden="1"/>
    <cellStyle name="Followed Hyperlink" xfId="2090" builtinId="9" hidden="1"/>
    <cellStyle name="Followed Hyperlink" xfId="2092" builtinId="9" hidden="1"/>
    <cellStyle name="Followed Hyperlink" xfId="2094" builtinId="9" hidden="1"/>
    <cellStyle name="Followed Hyperlink" xfId="2096" builtinId="9" hidden="1"/>
    <cellStyle name="Followed Hyperlink" xfId="2098" builtinId="9" hidden="1"/>
    <cellStyle name="Followed Hyperlink" xfId="2100" builtinId="9" hidden="1"/>
    <cellStyle name="Followed Hyperlink" xfId="2102" builtinId="9" hidden="1"/>
    <cellStyle name="Followed Hyperlink" xfId="2104" builtinId="9" hidden="1"/>
    <cellStyle name="Followed Hyperlink" xfId="2106" builtinId="9" hidden="1"/>
    <cellStyle name="Followed Hyperlink" xfId="2108" builtinId="9" hidden="1"/>
    <cellStyle name="Followed Hyperlink" xfId="2110" builtinId="9" hidden="1"/>
    <cellStyle name="Followed Hyperlink" xfId="2112" builtinId="9" hidden="1"/>
    <cellStyle name="Followed Hyperlink" xfId="2114" builtinId="9" hidden="1"/>
    <cellStyle name="Followed Hyperlink" xfId="2116" builtinId="9" hidden="1"/>
    <cellStyle name="Followed Hyperlink" xfId="2118" builtinId="9" hidden="1"/>
    <cellStyle name="Followed Hyperlink" xfId="2120" builtinId="9" hidden="1"/>
    <cellStyle name="Followed Hyperlink" xfId="2122" builtinId="9" hidden="1"/>
    <cellStyle name="Followed Hyperlink" xfId="2124" builtinId="9" hidden="1"/>
    <cellStyle name="Followed Hyperlink" xfId="2126" builtinId="9" hidden="1"/>
    <cellStyle name="Followed Hyperlink" xfId="2128" builtinId="9" hidden="1"/>
    <cellStyle name="Followed Hyperlink" xfId="2130" builtinId="9" hidden="1"/>
    <cellStyle name="Followed Hyperlink" xfId="2132" builtinId="9" hidden="1"/>
    <cellStyle name="Followed Hyperlink" xfId="2134" builtinId="9" hidden="1"/>
    <cellStyle name="Followed Hyperlink" xfId="2136" builtinId="9" hidden="1"/>
    <cellStyle name="Followed Hyperlink" xfId="2138" builtinId="9" hidden="1"/>
    <cellStyle name="Followed Hyperlink" xfId="2140" builtinId="9" hidden="1"/>
    <cellStyle name="Followed Hyperlink" xfId="2142" builtinId="9" hidden="1"/>
    <cellStyle name="Followed Hyperlink" xfId="2144" builtinId="9" hidden="1"/>
    <cellStyle name="Followed Hyperlink" xfId="2146" builtinId="9" hidden="1"/>
    <cellStyle name="Followed Hyperlink" xfId="2148" builtinId="9" hidden="1"/>
    <cellStyle name="Followed Hyperlink" xfId="2150" builtinId="9" hidden="1"/>
    <cellStyle name="Followed Hyperlink" xfId="2152" builtinId="9" hidden="1"/>
    <cellStyle name="Followed Hyperlink" xfId="2154" builtinId="9" hidden="1"/>
    <cellStyle name="Followed Hyperlink" xfId="2156" builtinId="9" hidden="1"/>
    <cellStyle name="Followed Hyperlink" xfId="2158" builtinId="9" hidden="1"/>
    <cellStyle name="Followed Hyperlink" xfId="2160" builtinId="9" hidden="1"/>
    <cellStyle name="Followed Hyperlink" xfId="2162" builtinId="9" hidden="1"/>
    <cellStyle name="Followed Hyperlink" xfId="2164" builtinId="9" hidden="1"/>
    <cellStyle name="Followed Hyperlink" xfId="2166" builtinId="9" hidden="1"/>
    <cellStyle name="Followed Hyperlink" xfId="2168" builtinId="9" hidden="1"/>
    <cellStyle name="Followed Hyperlink" xfId="2170" builtinId="9" hidden="1"/>
    <cellStyle name="Followed Hyperlink" xfId="2172" builtinId="9" hidden="1"/>
    <cellStyle name="Followed Hyperlink" xfId="2174" builtinId="9" hidden="1"/>
    <cellStyle name="Followed Hyperlink" xfId="2176" builtinId="9" hidden="1"/>
    <cellStyle name="Followed Hyperlink" xfId="2178" builtinId="9" hidden="1"/>
    <cellStyle name="Followed Hyperlink" xfId="2180" builtinId="9" hidden="1"/>
    <cellStyle name="Followed Hyperlink" xfId="2182" builtinId="9" hidden="1"/>
    <cellStyle name="Followed Hyperlink" xfId="2184" builtinId="9" hidden="1"/>
    <cellStyle name="Followed Hyperlink" xfId="2186" builtinId="9" hidden="1"/>
    <cellStyle name="Followed Hyperlink" xfId="2188" builtinId="9" hidden="1"/>
    <cellStyle name="Followed Hyperlink" xfId="2190" builtinId="9" hidden="1"/>
    <cellStyle name="Followed Hyperlink" xfId="2192" builtinId="9" hidden="1"/>
    <cellStyle name="Followed Hyperlink" xfId="2194" builtinId="9" hidden="1"/>
    <cellStyle name="Followed Hyperlink" xfId="2196" builtinId="9" hidden="1"/>
    <cellStyle name="Followed Hyperlink" xfId="2198" builtinId="9" hidden="1"/>
    <cellStyle name="Followed Hyperlink" xfId="2200" builtinId="9" hidden="1"/>
    <cellStyle name="Followed Hyperlink" xfId="2202" builtinId="9" hidden="1"/>
    <cellStyle name="Followed Hyperlink" xfId="2204" builtinId="9" hidden="1"/>
    <cellStyle name="Followed Hyperlink" xfId="2206" builtinId="9" hidden="1"/>
    <cellStyle name="Followed Hyperlink" xfId="2208" builtinId="9" hidden="1"/>
    <cellStyle name="Followed Hyperlink" xfId="2210" builtinId="9" hidden="1"/>
    <cellStyle name="Followed Hyperlink" xfId="2212" builtinId="9" hidden="1"/>
    <cellStyle name="Followed Hyperlink" xfId="2214" builtinId="9" hidden="1"/>
    <cellStyle name="Followed Hyperlink" xfId="2216" builtinId="9" hidden="1"/>
    <cellStyle name="Followed Hyperlink" xfId="2218" builtinId="9" hidden="1"/>
    <cellStyle name="Followed Hyperlink" xfId="2220" builtinId="9" hidden="1"/>
    <cellStyle name="Followed Hyperlink" xfId="2222" builtinId="9" hidden="1"/>
    <cellStyle name="Followed Hyperlink" xfId="2224" builtinId="9" hidden="1"/>
    <cellStyle name="Followed Hyperlink" xfId="2226" builtinId="9" hidden="1"/>
    <cellStyle name="Followed Hyperlink" xfId="2228" builtinId="9" hidden="1"/>
    <cellStyle name="Followed Hyperlink" xfId="2230" builtinId="9" hidden="1"/>
    <cellStyle name="Followed Hyperlink" xfId="2232" builtinId="9" hidden="1"/>
    <cellStyle name="Followed Hyperlink" xfId="2234" builtinId="9" hidden="1"/>
    <cellStyle name="Followed Hyperlink" xfId="2236" builtinId="9" hidden="1"/>
    <cellStyle name="Followed Hyperlink" xfId="2238" builtinId="9" hidden="1"/>
    <cellStyle name="Followed Hyperlink" xfId="2240" builtinId="9" hidden="1"/>
    <cellStyle name="Followed Hyperlink" xfId="2242" builtinId="9" hidden="1"/>
    <cellStyle name="Followed Hyperlink" xfId="2244" builtinId="9" hidden="1"/>
    <cellStyle name="Followed Hyperlink" xfId="2246" builtinId="9" hidden="1"/>
    <cellStyle name="Followed Hyperlink" xfId="2248" builtinId="9" hidden="1"/>
    <cellStyle name="Followed Hyperlink" xfId="2250" builtinId="9" hidden="1"/>
    <cellStyle name="Followed Hyperlink" xfId="2252" builtinId="9" hidden="1"/>
    <cellStyle name="Followed Hyperlink" xfId="2254" builtinId="9" hidden="1"/>
    <cellStyle name="Followed Hyperlink" xfId="2256" builtinId="9" hidden="1"/>
    <cellStyle name="Followed Hyperlink" xfId="2258" builtinId="9" hidden="1"/>
    <cellStyle name="Followed Hyperlink" xfId="2260" builtinId="9" hidden="1"/>
    <cellStyle name="Followed Hyperlink" xfId="2262" builtinId="9" hidden="1"/>
    <cellStyle name="Followed Hyperlink" xfId="2264" builtinId="9" hidden="1"/>
    <cellStyle name="Followed Hyperlink" xfId="2266" builtinId="9" hidden="1"/>
    <cellStyle name="Followed Hyperlink" xfId="2268" builtinId="9" hidden="1"/>
    <cellStyle name="Followed Hyperlink" xfId="2270" builtinId="9" hidden="1"/>
    <cellStyle name="Followed Hyperlink" xfId="2272" builtinId="9" hidden="1"/>
    <cellStyle name="Followed Hyperlink" xfId="2274" builtinId="9" hidden="1"/>
    <cellStyle name="Followed Hyperlink" xfId="2276" builtinId="9" hidden="1"/>
    <cellStyle name="Followed Hyperlink" xfId="2278" builtinId="9" hidden="1"/>
    <cellStyle name="Followed Hyperlink" xfId="2280" builtinId="9" hidden="1"/>
    <cellStyle name="Followed Hyperlink" xfId="2282" builtinId="9" hidden="1"/>
    <cellStyle name="Followed Hyperlink" xfId="2284" builtinId="9" hidden="1"/>
    <cellStyle name="Followed Hyperlink" xfId="2286" builtinId="9" hidden="1"/>
    <cellStyle name="Followed Hyperlink" xfId="2288" builtinId="9" hidden="1"/>
    <cellStyle name="Followed Hyperlink" xfId="2290" builtinId="9" hidden="1"/>
    <cellStyle name="Followed Hyperlink" xfId="2292" builtinId="9" hidden="1"/>
    <cellStyle name="Followed Hyperlink" xfId="2294" builtinId="9" hidden="1"/>
    <cellStyle name="Followed Hyperlink" xfId="2296" builtinId="9" hidden="1"/>
    <cellStyle name="Followed Hyperlink" xfId="2298" builtinId="9" hidden="1"/>
    <cellStyle name="Followed Hyperlink" xfId="2300" builtinId="9" hidden="1"/>
    <cellStyle name="Followed Hyperlink" xfId="2302" builtinId="9" hidden="1"/>
    <cellStyle name="Followed Hyperlink" xfId="2304" builtinId="9" hidden="1"/>
    <cellStyle name="Followed Hyperlink" xfId="2306" builtinId="9" hidden="1"/>
    <cellStyle name="Followed Hyperlink" xfId="2308" builtinId="9" hidden="1"/>
    <cellStyle name="Followed Hyperlink" xfId="2310" builtinId="9" hidden="1"/>
    <cellStyle name="Followed Hyperlink" xfId="2312" builtinId="9" hidden="1"/>
    <cellStyle name="Followed Hyperlink" xfId="2314" builtinId="9" hidden="1"/>
    <cellStyle name="Followed Hyperlink" xfId="2316" builtinId="9" hidden="1"/>
    <cellStyle name="Followed Hyperlink" xfId="2318" builtinId="9" hidden="1"/>
    <cellStyle name="Followed Hyperlink" xfId="2320" builtinId="9" hidden="1"/>
    <cellStyle name="Followed Hyperlink" xfId="2322" builtinId="9" hidden="1"/>
    <cellStyle name="Followed Hyperlink" xfId="2324" builtinId="9" hidden="1"/>
    <cellStyle name="Followed Hyperlink" xfId="2326" builtinId="9" hidden="1"/>
    <cellStyle name="Followed Hyperlink" xfId="2328" builtinId="9" hidden="1"/>
    <cellStyle name="Followed Hyperlink" xfId="2330" builtinId="9" hidden="1"/>
    <cellStyle name="Followed Hyperlink" xfId="2332" builtinId="9" hidden="1"/>
    <cellStyle name="Followed Hyperlink" xfId="2334" builtinId="9" hidden="1"/>
    <cellStyle name="Followed Hyperlink" xfId="2336" builtinId="9" hidden="1"/>
    <cellStyle name="Followed Hyperlink" xfId="2338" builtinId="9" hidden="1"/>
    <cellStyle name="Followed Hyperlink" xfId="2340" builtinId="9" hidden="1"/>
    <cellStyle name="Followed Hyperlink" xfId="2342" builtinId="9" hidden="1"/>
    <cellStyle name="Followed Hyperlink" xfId="2344" builtinId="9" hidden="1"/>
    <cellStyle name="Followed Hyperlink" xfId="2346" builtinId="9" hidden="1"/>
    <cellStyle name="Followed Hyperlink" xfId="2348" builtinId="9" hidden="1"/>
    <cellStyle name="Followed Hyperlink" xfId="2350" builtinId="9" hidden="1"/>
    <cellStyle name="Followed Hyperlink" xfId="2352" builtinId="9" hidden="1"/>
    <cellStyle name="Followed Hyperlink" xfId="2354" builtinId="9" hidden="1"/>
    <cellStyle name="Followed Hyperlink" xfId="2356" builtinId="9" hidden="1"/>
    <cellStyle name="Followed Hyperlink" xfId="2358" builtinId="9" hidden="1"/>
    <cellStyle name="Followed Hyperlink" xfId="2360" builtinId="9" hidden="1"/>
    <cellStyle name="Followed Hyperlink" xfId="2362" builtinId="9" hidden="1"/>
    <cellStyle name="Followed Hyperlink" xfId="2364" builtinId="9" hidden="1"/>
    <cellStyle name="Followed Hyperlink" xfId="2366" builtinId="9" hidden="1"/>
    <cellStyle name="Followed Hyperlink" xfId="2368" builtinId="9" hidden="1"/>
    <cellStyle name="Followed Hyperlink" xfId="2370" builtinId="9" hidden="1"/>
    <cellStyle name="Followed Hyperlink" xfId="2372" builtinId="9" hidden="1"/>
    <cellStyle name="Followed Hyperlink" xfId="2374" builtinId="9" hidden="1"/>
    <cellStyle name="Followed Hyperlink" xfId="2376" builtinId="9" hidden="1"/>
    <cellStyle name="Followed Hyperlink" xfId="2378" builtinId="9" hidden="1"/>
    <cellStyle name="Followed Hyperlink" xfId="2380" builtinId="9" hidden="1"/>
    <cellStyle name="Followed Hyperlink" xfId="2382" builtinId="9" hidden="1"/>
    <cellStyle name="Followed Hyperlink" xfId="2384" builtinId="9" hidden="1"/>
    <cellStyle name="Followed Hyperlink" xfId="2386" builtinId="9" hidden="1"/>
    <cellStyle name="Followed Hyperlink" xfId="2388" builtinId="9" hidden="1"/>
    <cellStyle name="Followed Hyperlink" xfId="2390" builtinId="9" hidden="1"/>
    <cellStyle name="Followed Hyperlink" xfId="2392" builtinId="9" hidden="1"/>
    <cellStyle name="Followed Hyperlink" xfId="2394" builtinId="9" hidden="1"/>
    <cellStyle name="Followed Hyperlink" xfId="2396" builtinId="9" hidden="1"/>
    <cellStyle name="Followed Hyperlink" xfId="2398" builtinId="9" hidden="1"/>
    <cellStyle name="Followed Hyperlink" xfId="2400" builtinId="9" hidden="1"/>
    <cellStyle name="Followed Hyperlink" xfId="2402" builtinId="9" hidden="1"/>
    <cellStyle name="Followed Hyperlink" xfId="2404" builtinId="9" hidden="1"/>
    <cellStyle name="Followed Hyperlink" xfId="2406" builtinId="9" hidden="1"/>
    <cellStyle name="Followed Hyperlink" xfId="2408" builtinId="9" hidden="1"/>
    <cellStyle name="Followed Hyperlink" xfId="2410" builtinId="9" hidden="1"/>
    <cellStyle name="Followed Hyperlink" xfId="2412" builtinId="9" hidden="1"/>
    <cellStyle name="Followed Hyperlink" xfId="2414" builtinId="9" hidden="1"/>
    <cellStyle name="Followed Hyperlink" xfId="2416" builtinId="9" hidden="1"/>
    <cellStyle name="Followed Hyperlink" xfId="2418" builtinId="9" hidden="1"/>
    <cellStyle name="Followed Hyperlink" xfId="2420" builtinId="9" hidden="1"/>
    <cellStyle name="Followed Hyperlink" xfId="2422" builtinId="9" hidden="1"/>
    <cellStyle name="Followed Hyperlink" xfId="2424" builtinId="9" hidden="1"/>
    <cellStyle name="Followed Hyperlink" xfId="2426" builtinId="9" hidden="1"/>
    <cellStyle name="Followed Hyperlink" xfId="2428" builtinId="9" hidden="1"/>
    <cellStyle name="Followed Hyperlink" xfId="2430" builtinId="9" hidden="1"/>
    <cellStyle name="Followed Hyperlink" xfId="2432" builtinId="9" hidden="1"/>
    <cellStyle name="Followed Hyperlink" xfId="2434" builtinId="9" hidden="1"/>
    <cellStyle name="Followed Hyperlink" xfId="2436" builtinId="9" hidden="1"/>
    <cellStyle name="Followed Hyperlink" xfId="2438" builtinId="9" hidden="1"/>
    <cellStyle name="Followed Hyperlink" xfId="2440" builtinId="9" hidden="1"/>
    <cellStyle name="Followed Hyperlink" xfId="2442" builtinId="9" hidden="1"/>
    <cellStyle name="Followed Hyperlink" xfId="2444" builtinId="9" hidden="1"/>
    <cellStyle name="Followed Hyperlink" xfId="2446" builtinId="9" hidden="1"/>
    <cellStyle name="Followed Hyperlink" xfId="2448" builtinId="9" hidden="1"/>
    <cellStyle name="Followed Hyperlink" xfId="2450" builtinId="9" hidden="1"/>
    <cellStyle name="Followed Hyperlink" xfId="2452" builtinId="9" hidden="1"/>
    <cellStyle name="Followed Hyperlink" xfId="2454" builtinId="9" hidden="1"/>
    <cellStyle name="Followed Hyperlink" xfId="2456" builtinId="9" hidden="1"/>
    <cellStyle name="Followed Hyperlink" xfId="2458" builtinId="9" hidden="1"/>
    <cellStyle name="Followed Hyperlink" xfId="2460" builtinId="9" hidden="1"/>
    <cellStyle name="Followed Hyperlink" xfId="2462" builtinId="9" hidden="1"/>
    <cellStyle name="Followed Hyperlink" xfId="2464" builtinId="9" hidden="1"/>
    <cellStyle name="Followed Hyperlink" xfId="2466" builtinId="9" hidden="1"/>
    <cellStyle name="Followed Hyperlink" xfId="2468" builtinId="9" hidden="1"/>
    <cellStyle name="Followed Hyperlink" xfId="2470" builtinId="9" hidden="1"/>
    <cellStyle name="Followed Hyperlink" xfId="2472" builtinId="9" hidden="1"/>
    <cellStyle name="Followed Hyperlink" xfId="2474" builtinId="9" hidden="1"/>
    <cellStyle name="Followed Hyperlink" xfId="2476" builtinId="9" hidden="1"/>
    <cellStyle name="Followed Hyperlink" xfId="2478" builtinId="9" hidden="1"/>
    <cellStyle name="Followed Hyperlink" xfId="2480" builtinId="9" hidden="1"/>
    <cellStyle name="Followed Hyperlink" xfId="2482" builtinId="9" hidden="1"/>
    <cellStyle name="Followed Hyperlink" xfId="2484" builtinId="9" hidden="1"/>
    <cellStyle name="Followed Hyperlink" xfId="2486" builtinId="9" hidden="1"/>
    <cellStyle name="Followed Hyperlink" xfId="2488" builtinId="9" hidden="1"/>
    <cellStyle name="Followed Hyperlink" xfId="2490" builtinId="9" hidden="1"/>
    <cellStyle name="Followed Hyperlink" xfId="2492" builtinId="9" hidden="1"/>
    <cellStyle name="Followed Hyperlink" xfId="2494" builtinId="9" hidden="1"/>
    <cellStyle name="Followed Hyperlink" xfId="2496" builtinId="9" hidden="1"/>
    <cellStyle name="Followed Hyperlink" xfId="2498" builtinId="9" hidden="1"/>
    <cellStyle name="Followed Hyperlink" xfId="2500" builtinId="9" hidden="1"/>
    <cellStyle name="Followed Hyperlink" xfId="2502" builtinId="9" hidden="1"/>
    <cellStyle name="Followed Hyperlink" xfId="2504" builtinId="9" hidden="1"/>
    <cellStyle name="Followed Hyperlink" xfId="2506" builtinId="9" hidden="1"/>
    <cellStyle name="Followed Hyperlink" xfId="2508" builtinId="9" hidden="1"/>
    <cellStyle name="Followed Hyperlink" xfId="2510" builtinId="9" hidden="1"/>
    <cellStyle name="Followed Hyperlink" xfId="2512" builtinId="9" hidden="1"/>
    <cellStyle name="Followed Hyperlink" xfId="2514" builtinId="9" hidden="1"/>
    <cellStyle name="Followed Hyperlink" xfId="2516" builtinId="9" hidden="1"/>
    <cellStyle name="Followed Hyperlink" xfId="2518" builtinId="9" hidden="1"/>
    <cellStyle name="Followed Hyperlink" xfId="2520" builtinId="9" hidden="1"/>
    <cellStyle name="Followed Hyperlink" xfId="2522" builtinId="9" hidden="1"/>
    <cellStyle name="Followed Hyperlink" xfId="2524" builtinId="9" hidden="1"/>
    <cellStyle name="Followed Hyperlink" xfId="2526" builtinId="9" hidden="1"/>
    <cellStyle name="Followed Hyperlink" xfId="2528" builtinId="9" hidden="1"/>
    <cellStyle name="Followed Hyperlink" xfId="2530" builtinId="9" hidden="1"/>
    <cellStyle name="Followed Hyperlink" xfId="2532" builtinId="9" hidden="1"/>
    <cellStyle name="Followed Hyperlink" xfId="2534" builtinId="9" hidden="1"/>
    <cellStyle name="Followed Hyperlink" xfId="2536" builtinId="9" hidden="1"/>
    <cellStyle name="Followed Hyperlink" xfId="2538" builtinId="9" hidden="1"/>
    <cellStyle name="Followed Hyperlink" xfId="2540" builtinId="9" hidden="1"/>
    <cellStyle name="Followed Hyperlink" xfId="2542" builtinId="9" hidden="1"/>
    <cellStyle name="Followed Hyperlink" xfId="2544" builtinId="9" hidden="1"/>
    <cellStyle name="Followed Hyperlink" xfId="2546" builtinId="9" hidden="1"/>
    <cellStyle name="Followed Hyperlink" xfId="2548" builtinId="9" hidden="1"/>
    <cellStyle name="Followed Hyperlink" xfId="2550" builtinId="9" hidden="1"/>
    <cellStyle name="Followed Hyperlink" xfId="2552" builtinId="9" hidden="1"/>
    <cellStyle name="Followed Hyperlink" xfId="2554" builtinId="9" hidden="1"/>
    <cellStyle name="Followed Hyperlink" xfId="2556" builtinId="9" hidden="1"/>
    <cellStyle name="Followed Hyperlink" xfId="2558" builtinId="9" hidden="1"/>
    <cellStyle name="Followed Hyperlink" xfId="2560" builtinId="9" hidden="1"/>
    <cellStyle name="Followed Hyperlink" xfId="2562" builtinId="9" hidden="1"/>
    <cellStyle name="Followed Hyperlink" xfId="2564" builtinId="9" hidden="1"/>
    <cellStyle name="Followed Hyperlink" xfId="2566" builtinId="9" hidden="1"/>
    <cellStyle name="Followed Hyperlink" xfId="2568" builtinId="9" hidden="1"/>
    <cellStyle name="Followed Hyperlink" xfId="2570" builtinId="9" hidden="1"/>
    <cellStyle name="Followed Hyperlink" xfId="2572" builtinId="9" hidden="1"/>
    <cellStyle name="Followed Hyperlink" xfId="2574" builtinId="9" hidden="1"/>
    <cellStyle name="Followed Hyperlink" xfId="2576" builtinId="9" hidden="1"/>
    <cellStyle name="Followed Hyperlink" xfId="2578" builtinId="9" hidden="1"/>
    <cellStyle name="Followed Hyperlink" xfId="2580" builtinId="9" hidden="1"/>
    <cellStyle name="Followed Hyperlink" xfId="2582" builtinId="9" hidden="1"/>
    <cellStyle name="Followed Hyperlink" xfId="2584" builtinId="9" hidden="1"/>
    <cellStyle name="Followed Hyperlink" xfId="2586" builtinId="9" hidden="1"/>
    <cellStyle name="Followed Hyperlink" xfId="2588" builtinId="9" hidden="1"/>
    <cellStyle name="Followed Hyperlink" xfId="2590" builtinId="9" hidden="1"/>
    <cellStyle name="Followed Hyperlink" xfId="2592" builtinId="9" hidden="1"/>
    <cellStyle name="Followed Hyperlink" xfId="2594" builtinId="9" hidden="1"/>
    <cellStyle name="Followed Hyperlink" xfId="2596" builtinId="9" hidden="1"/>
    <cellStyle name="Followed Hyperlink" xfId="2598" builtinId="9" hidden="1"/>
    <cellStyle name="Followed Hyperlink" xfId="2600" builtinId="9" hidden="1"/>
    <cellStyle name="Followed Hyperlink" xfId="2602" builtinId="9" hidden="1"/>
    <cellStyle name="Followed Hyperlink" xfId="2604" builtinId="9" hidden="1"/>
    <cellStyle name="Followed Hyperlink" xfId="2606" builtinId="9" hidden="1"/>
    <cellStyle name="Followed Hyperlink" xfId="2608" builtinId="9" hidden="1"/>
    <cellStyle name="Followed Hyperlink" xfId="2610" builtinId="9" hidden="1"/>
    <cellStyle name="Followed Hyperlink" xfId="2612" builtinId="9" hidden="1"/>
    <cellStyle name="Followed Hyperlink" xfId="2614" builtinId="9" hidden="1"/>
    <cellStyle name="Followed Hyperlink" xfId="2616" builtinId="9" hidden="1"/>
    <cellStyle name="Followed Hyperlink" xfId="2618" builtinId="9" hidden="1"/>
    <cellStyle name="Followed Hyperlink" xfId="2620" builtinId="9" hidden="1"/>
    <cellStyle name="Followed Hyperlink" xfId="2622" builtinId="9" hidden="1"/>
    <cellStyle name="Followed Hyperlink" xfId="2624" builtinId="9" hidden="1"/>
    <cellStyle name="Followed Hyperlink" xfId="2626" builtinId="9" hidden="1"/>
    <cellStyle name="Followed Hyperlink" xfId="2628" builtinId="9" hidden="1"/>
    <cellStyle name="Followed Hyperlink" xfId="2630" builtinId="9" hidden="1"/>
    <cellStyle name="Followed Hyperlink" xfId="2632" builtinId="9" hidden="1"/>
    <cellStyle name="Followed Hyperlink" xfId="2634" builtinId="9" hidden="1"/>
    <cellStyle name="Followed Hyperlink" xfId="2636" builtinId="9" hidden="1"/>
    <cellStyle name="Followed Hyperlink" xfId="2638" builtinId="9" hidden="1"/>
    <cellStyle name="Followed Hyperlink" xfId="2640" builtinId="9" hidden="1"/>
    <cellStyle name="Followed Hyperlink" xfId="2642" builtinId="9" hidden="1"/>
    <cellStyle name="Followed Hyperlink" xfId="2644" builtinId="9" hidden="1"/>
    <cellStyle name="Followed Hyperlink" xfId="2646" builtinId="9" hidden="1"/>
    <cellStyle name="Followed Hyperlink" xfId="2648" builtinId="9" hidden="1"/>
    <cellStyle name="Followed Hyperlink" xfId="2650" builtinId="9" hidden="1"/>
    <cellStyle name="Followed Hyperlink" xfId="2652" builtinId="9" hidden="1"/>
    <cellStyle name="Followed Hyperlink" xfId="2654" builtinId="9" hidden="1"/>
    <cellStyle name="Followed Hyperlink" xfId="2656" builtinId="9" hidden="1"/>
    <cellStyle name="Followed Hyperlink" xfId="2658" builtinId="9" hidden="1"/>
    <cellStyle name="Followed Hyperlink" xfId="2660" builtinId="9" hidden="1"/>
    <cellStyle name="Followed Hyperlink" xfId="2662" builtinId="9" hidden="1"/>
    <cellStyle name="Followed Hyperlink" xfId="2664" builtinId="9" hidden="1"/>
    <cellStyle name="Followed Hyperlink" xfId="2666" builtinId="9" hidden="1"/>
    <cellStyle name="Followed Hyperlink" xfId="2668" builtinId="9" hidden="1"/>
    <cellStyle name="Followed Hyperlink" xfId="2670" builtinId="9" hidden="1"/>
    <cellStyle name="Followed Hyperlink" xfId="2672" builtinId="9" hidden="1"/>
    <cellStyle name="Followed Hyperlink" xfId="2674" builtinId="9" hidden="1"/>
    <cellStyle name="Followed Hyperlink" xfId="2676" builtinId="9" hidden="1"/>
    <cellStyle name="Followed Hyperlink" xfId="2678" builtinId="9" hidden="1"/>
    <cellStyle name="Followed Hyperlink" xfId="2680" builtinId="9" hidden="1"/>
    <cellStyle name="Followed Hyperlink" xfId="2682" builtinId="9" hidden="1"/>
    <cellStyle name="Followed Hyperlink" xfId="2684" builtinId="9" hidden="1"/>
    <cellStyle name="Followed Hyperlink" xfId="2686" builtinId="9" hidden="1"/>
    <cellStyle name="Followed Hyperlink" xfId="2688" builtinId="9" hidden="1"/>
    <cellStyle name="Followed Hyperlink" xfId="2690" builtinId="9" hidden="1"/>
    <cellStyle name="Followed Hyperlink" xfId="2692" builtinId="9" hidden="1"/>
    <cellStyle name="Followed Hyperlink" xfId="2694" builtinId="9" hidden="1"/>
    <cellStyle name="Followed Hyperlink" xfId="2696" builtinId="9" hidden="1"/>
    <cellStyle name="Followed Hyperlink" xfId="2698" builtinId="9" hidden="1"/>
    <cellStyle name="Followed Hyperlink" xfId="2700" builtinId="9" hidden="1"/>
    <cellStyle name="Followed Hyperlink" xfId="2702" builtinId="9" hidden="1"/>
    <cellStyle name="Followed Hyperlink" xfId="2704" builtinId="9" hidden="1"/>
    <cellStyle name="Followed Hyperlink" xfId="2706" builtinId="9" hidden="1"/>
    <cellStyle name="Followed Hyperlink" xfId="2708" builtinId="9" hidden="1"/>
    <cellStyle name="Followed Hyperlink" xfId="2710" builtinId="9" hidden="1"/>
    <cellStyle name="Followed Hyperlink" xfId="2712" builtinId="9" hidden="1"/>
    <cellStyle name="Followed Hyperlink" xfId="2714" builtinId="9" hidden="1"/>
    <cellStyle name="Followed Hyperlink" xfId="2716" builtinId="9" hidden="1"/>
    <cellStyle name="Followed Hyperlink" xfId="2718" builtinId="9" hidden="1"/>
    <cellStyle name="Followed Hyperlink" xfId="2720" builtinId="9" hidden="1"/>
    <cellStyle name="Followed Hyperlink" xfId="2722" builtinId="9" hidden="1"/>
    <cellStyle name="Followed Hyperlink" xfId="2724" builtinId="9" hidden="1"/>
    <cellStyle name="Followed Hyperlink" xfId="2726" builtinId="9" hidden="1"/>
    <cellStyle name="Followed Hyperlink" xfId="2728" builtinId="9" hidden="1"/>
    <cellStyle name="Followed Hyperlink" xfId="2730" builtinId="9" hidden="1"/>
    <cellStyle name="Followed Hyperlink" xfId="2732" builtinId="9" hidden="1"/>
    <cellStyle name="Followed Hyperlink" xfId="2734" builtinId="9" hidden="1"/>
    <cellStyle name="Followed Hyperlink" xfId="2736" builtinId="9" hidden="1"/>
    <cellStyle name="Followed Hyperlink" xfId="2738" builtinId="9" hidden="1"/>
    <cellStyle name="Followed Hyperlink" xfId="2740" builtinId="9" hidden="1"/>
    <cellStyle name="Followed Hyperlink" xfId="2742" builtinId="9" hidden="1"/>
    <cellStyle name="Followed Hyperlink" xfId="2744" builtinId="9" hidden="1"/>
    <cellStyle name="Followed Hyperlink" xfId="2746" builtinId="9" hidden="1"/>
    <cellStyle name="Followed Hyperlink" xfId="2748" builtinId="9" hidden="1"/>
    <cellStyle name="Followed Hyperlink" xfId="2750" builtinId="9" hidden="1"/>
    <cellStyle name="Followed Hyperlink" xfId="2752" builtinId="9" hidden="1"/>
    <cellStyle name="Followed Hyperlink" xfId="2754" builtinId="9" hidden="1"/>
    <cellStyle name="Followed Hyperlink" xfId="2756" builtinId="9" hidden="1"/>
    <cellStyle name="Followed Hyperlink" xfId="2758" builtinId="9" hidden="1"/>
    <cellStyle name="Followed Hyperlink" xfId="2760" builtinId="9" hidden="1"/>
    <cellStyle name="Followed Hyperlink" xfId="2762" builtinId="9" hidden="1"/>
    <cellStyle name="Followed Hyperlink" xfId="2764" builtinId="9" hidden="1"/>
    <cellStyle name="Followed Hyperlink" xfId="2766" builtinId="9" hidden="1"/>
    <cellStyle name="Followed Hyperlink" xfId="2768" builtinId="9" hidden="1"/>
    <cellStyle name="Followed Hyperlink" xfId="2770" builtinId="9" hidden="1"/>
    <cellStyle name="Followed Hyperlink" xfId="2772" builtinId="9" hidden="1"/>
    <cellStyle name="Followed Hyperlink" xfId="2774" builtinId="9" hidden="1"/>
    <cellStyle name="Followed Hyperlink" xfId="2776" builtinId="9" hidden="1"/>
    <cellStyle name="Followed Hyperlink" xfId="2778" builtinId="9" hidden="1"/>
    <cellStyle name="Followed Hyperlink" xfId="2780" builtinId="9" hidden="1"/>
    <cellStyle name="Followed Hyperlink" xfId="2782" builtinId="9" hidden="1"/>
    <cellStyle name="Followed Hyperlink" xfId="2784" builtinId="9" hidden="1"/>
    <cellStyle name="Followed Hyperlink" xfId="2786" builtinId="9" hidden="1"/>
    <cellStyle name="Followed Hyperlink" xfId="2788" builtinId="9" hidden="1"/>
    <cellStyle name="Followed Hyperlink" xfId="2790" builtinId="9" hidden="1"/>
    <cellStyle name="Followed Hyperlink" xfId="2792" builtinId="9" hidden="1"/>
    <cellStyle name="Followed Hyperlink" xfId="2794" builtinId="9" hidden="1"/>
    <cellStyle name="Followed Hyperlink" xfId="2796" builtinId="9" hidden="1"/>
    <cellStyle name="Followed Hyperlink" xfId="2798" builtinId="9" hidden="1"/>
    <cellStyle name="Followed Hyperlink" xfId="2800" builtinId="9" hidden="1"/>
    <cellStyle name="Followed Hyperlink" xfId="2802" builtinId="9" hidden="1"/>
    <cellStyle name="Followed Hyperlink" xfId="2804" builtinId="9" hidden="1"/>
    <cellStyle name="Followed Hyperlink" xfId="2806" builtinId="9" hidden="1"/>
    <cellStyle name="Followed Hyperlink" xfId="2808" builtinId="9" hidden="1"/>
    <cellStyle name="Followed Hyperlink" xfId="2810" builtinId="9" hidden="1"/>
    <cellStyle name="Followed Hyperlink" xfId="2812" builtinId="9" hidden="1"/>
    <cellStyle name="Followed Hyperlink" xfId="2814" builtinId="9" hidden="1"/>
    <cellStyle name="Followed Hyperlink" xfId="2816" builtinId="9" hidden="1"/>
    <cellStyle name="Followed Hyperlink" xfId="2818" builtinId="9" hidden="1"/>
    <cellStyle name="Followed Hyperlink" xfId="2820" builtinId="9" hidden="1"/>
    <cellStyle name="Followed Hyperlink" xfId="2822" builtinId="9" hidden="1"/>
    <cellStyle name="Followed Hyperlink" xfId="2824" builtinId="9" hidden="1"/>
    <cellStyle name="Followed Hyperlink" xfId="2826" builtinId="9" hidden="1"/>
    <cellStyle name="Followed Hyperlink" xfId="2828" builtinId="9" hidden="1"/>
    <cellStyle name="Followed Hyperlink" xfId="2830" builtinId="9" hidden="1"/>
    <cellStyle name="Followed Hyperlink" xfId="2832" builtinId="9" hidden="1"/>
    <cellStyle name="Followed Hyperlink" xfId="2834" builtinId="9" hidden="1"/>
    <cellStyle name="Followed Hyperlink" xfId="2836" builtinId="9" hidden="1"/>
    <cellStyle name="Followed Hyperlink" xfId="2838" builtinId="9" hidden="1"/>
    <cellStyle name="Followed Hyperlink" xfId="2840" builtinId="9" hidden="1"/>
    <cellStyle name="Followed Hyperlink" xfId="2842" builtinId="9" hidden="1"/>
    <cellStyle name="Followed Hyperlink" xfId="2844" builtinId="9" hidden="1"/>
    <cellStyle name="Followed Hyperlink" xfId="2846" builtinId="9" hidden="1"/>
    <cellStyle name="Followed Hyperlink" xfId="2848" builtinId="9" hidden="1"/>
    <cellStyle name="Followed Hyperlink" xfId="2850" builtinId="9" hidden="1"/>
    <cellStyle name="Followed Hyperlink" xfId="2852" builtinId="9" hidden="1"/>
    <cellStyle name="Followed Hyperlink" xfId="2854" builtinId="9" hidden="1"/>
    <cellStyle name="Followed Hyperlink" xfId="2856" builtinId="9" hidden="1"/>
    <cellStyle name="Followed Hyperlink" xfId="2858" builtinId="9" hidden="1"/>
    <cellStyle name="Followed Hyperlink" xfId="2860" builtinId="9" hidden="1"/>
    <cellStyle name="Followed Hyperlink" xfId="2862" builtinId="9" hidden="1"/>
    <cellStyle name="Followed Hyperlink" xfId="2864" builtinId="9" hidden="1"/>
    <cellStyle name="Followed Hyperlink" xfId="2866" builtinId="9" hidden="1"/>
    <cellStyle name="Followed Hyperlink" xfId="2868" builtinId="9" hidden="1"/>
    <cellStyle name="Followed Hyperlink" xfId="2870" builtinId="9" hidden="1"/>
    <cellStyle name="Followed Hyperlink" xfId="2872" builtinId="9" hidden="1"/>
    <cellStyle name="Followed Hyperlink" xfId="2874" builtinId="9" hidden="1"/>
    <cellStyle name="Followed Hyperlink" xfId="2876" builtinId="9" hidden="1"/>
    <cellStyle name="Followed Hyperlink" xfId="2878" builtinId="9" hidden="1"/>
    <cellStyle name="Followed Hyperlink" xfId="2880" builtinId="9" hidden="1"/>
    <cellStyle name="Followed Hyperlink" xfId="2882" builtinId="9" hidden="1"/>
    <cellStyle name="Followed Hyperlink" xfId="2884" builtinId="9" hidden="1"/>
    <cellStyle name="Followed Hyperlink" xfId="2886" builtinId="9" hidden="1"/>
    <cellStyle name="Followed Hyperlink" xfId="2888" builtinId="9" hidden="1"/>
    <cellStyle name="Followed Hyperlink" xfId="2890" builtinId="9" hidden="1"/>
    <cellStyle name="Followed Hyperlink" xfId="2892" builtinId="9" hidden="1"/>
    <cellStyle name="Followed Hyperlink" xfId="2894" builtinId="9" hidden="1"/>
    <cellStyle name="Followed Hyperlink" xfId="2896" builtinId="9" hidden="1"/>
    <cellStyle name="Followed Hyperlink" xfId="2898" builtinId="9" hidden="1"/>
    <cellStyle name="Followed Hyperlink" xfId="2900" builtinId="9" hidden="1"/>
    <cellStyle name="Followed Hyperlink" xfId="2902" builtinId="9" hidden="1"/>
    <cellStyle name="Followed Hyperlink" xfId="2904" builtinId="9" hidden="1"/>
    <cellStyle name="Followed Hyperlink" xfId="2906" builtinId="9" hidden="1"/>
    <cellStyle name="Followed Hyperlink" xfId="2908" builtinId="9" hidden="1"/>
    <cellStyle name="Followed Hyperlink" xfId="2910" builtinId="9" hidden="1"/>
    <cellStyle name="Followed Hyperlink" xfId="2912" builtinId="9" hidden="1"/>
    <cellStyle name="Followed Hyperlink" xfId="2914" builtinId="9" hidden="1"/>
    <cellStyle name="Followed Hyperlink" xfId="2916" builtinId="9" hidden="1"/>
    <cellStyle name="Followed Hyperlink" xfId="2918" builtinId="9" hidden="1"/>
    <cellStyle name="Followed Hyperlink" xfId="2920" builtinId="9" hidden="1"/>
    <cellStyle name="Followed Hyperlink" xfId="2922" builtinId="9" hidden="1"/>
    <cellStyle name="Followed Hyperlink" xfId="2924" builtinId="9" hidden="1"/>
    <cellStyle name="Followed Hyperlink" xfId="2926" builtinId="9" hidden="1"/>
    <cellStyle name="Followed Hyperlink" xfId="2928" builtinId="9" hidden="1"/>
    <cellStyle name="Followed Hyperlink" xfId="2930" builtinId="9" hidden="1"/>
    <cellStyle name="Followed Hyperlink" xfId="2932" builtinId="9" hidden="1"/>
    <cellStyle name="Followed Hyperlink" xfId="2934" builtinId="9" hidden="1"/>
    <cellStyle name="Followed Hyperlink" xfId="2936" builtinId="9" hidden="1"/>
    <cellStyle name="Followed Hyperlink" xfId="2938" builtinId="9" hidden="1"/>
    <cellStyle name="Followed Hyperlink" xfId="2940" builtinId="9" hidden="1"/>
    <cellStyle name="Followed Hyperlink" xfId="2942" builtinId="9" hidden="1"/>
    <cellStyle name="Followed Hyperlink" xfId="2944" builtinId="9" hidden="1"/>
    <cellStyle name="Followed Hyperlink" xfId="2946" builtinId="9" hidden="1"/>
    <cellStyle name="Followed Hyperlink" xfId="2948" builtinId="9" hidden="1"/>
    <cellStyle name="Followed Hyperlink" xfId="2950" builtinId="9" hidden="1"/>
    <cellStyle name="Followed Hyperlink" xfId="2952" builtinId="9" hidden="1"/>
    <cellStyle name="Followed Hyperlink" xfId="2954" builtinId="9" hidden="1"/>
    <cellStyle name="Followed Hyperlink" xfId="2956" builtinId="9" hidden="1"/>
    <cellStyle name="Followed Hyperlink" xfId="2958" builtinId="9" hidden="1"/>
    <cellStyle name="Followed Hyperlink" xfId="2960" builtinId="9" hidden="1"/>
    <cellStyle name="Followed Hyperlink" xfId="2962" builtinId="9" hidden="1"/>
    <cellStyle name="Followed Hyperlink" xfId="2964" builtinId="9" hidden="1"/>
    <cellStyle name="Followed Hyperlink" xfId="2966" builtinId="9" hidden="1"/>
    <cellStyle name="Followed Hyperlink" xfId="2968" builtinId="9" hidden="1"/>
    <cellStyle name="Followed Hyperlink" xfId="2970" builtinId="9" hidden="1"/>
    <cellStyle name="Followed Hyperlink" xfId="2972" builtinId="9" hidden="1"/>
    <cellStyle name="Followed Hyperlink" xfId="2974" builtinId="9" hidden="1"/>
    <cellStyle name="Followed Hyperlink" xfId="2976" builtinId="9" hidden="1"/>
    <cellStyle name="Followed Hyperlink" xfId="2978" builtinId="9" hidden="1"/>
    <cellStyle name="Followed Hyperlink" xfId="2980" builtinId="9" hidden="1"/>
    <cellStyle name="Followed Hyperlink" xfId="2982" builtinId="9" hidden="1"/>
    <cellStyle name="Followed Hyperlink" xfId="2984" builtinId="9" hidden="1"/>
    <cellStyle name="Followed Hyperlink" xfId="2986" builtinId="9" hidden="1"/>
    <cellStyle name="Followed Hyperlink" xfId="2988" builtinId="9" hidden="1"/>
    <cellStyle name="Followed Hyperlink" xfId="2990" builtinId="9" hidden="1"/>
    <cellStyle name="Followed Hyperlink" xfId="2992" builtinId="9" hidden="1"/>
    <cellStyle name="Followed Hyperlink" xfId="2994" builtinId="9" hidden="1"/>
    <cellStyle name="Followed Hyperlink" xfId="2996" builtinId="9" hidden="1"/>
    <cellStyle name="Followed Hyperlink" xfId="2998" builtinId="9" hidden="1"/>
    <cellStyle name="Followed Hyperlink" xfId="3000" builtinId="9" hidden="1"/>
    <cellStyle name="Followed Hyperlink" xfId="3002" builtinId="9" hidden="1"/>
    <cellStyle name="Followed Hyperlink" xfId="3004" builtinId="9" hidden="1"/>
    <cellStyle name="Followed Hyperlink" xfId="3006" builtinId="9" hidden="1"/>
    <cellStyle name="Followed Hyperlink" xfId="3008" builtinId="9" hidden="1"/>
    <cellStyle name="Followed Hyperlink" xfId="3010" builtinId="9" hidden="1"/>
    <cellStyle name="Followed Hyperlink" xfId="3012" builtinId="9" hidden="1"/>
    <cellStyle name="Followed Hyperlink" xfId="3014" builtinId="9" hidden="1"/>
    <cellStyle name="Followed Hyperlink" xfId="3016" builtinId="9" hidden="1"/>
    <cellStyle name="Followed Hyperlink" xfId="3018" builtinId="9" hidden="1"/>
    <cellStyle name="Followed Hyperlink" xfId="3020" builtinId="9" hidden="1"/>
    <cellStyle name="Followed Hyperlink" xfId="3022" builtinId="9" hidden="1"/>
    <cellStyle name="Followed Hyperlink" xfId="3024" builtinId="9" hidden="1"/>
    <cellStyle name="Followed Hyperlink" xfId="3026" builtinId="9" hidden="1"/>
    <cellStyle name="Followed Hyperlink" xfId="3028" builtinId="9" hidden="1"/>
    <cellStyle name="Followed Hyperlink" xfId="3030" builtinId="9" hidden="1"/>
    <cellStyle name="Followed Hyperlink" xfId="3032" builtinId="9" hidden="1"/>
    <cellStyle name="Followed Hyperlink" xfId="3034" builtinId="9" hidden="1"/>
    <cellStyle name="Followed Hyperlink" xfId="3036" builtinId="9" hidden="1"/>
    <cellStyle name="Followed Hyperlink" xfId="3038" builtinId="9" hidden="1"/>
    <cellStyle name="Followed Hyperlink" xfId="3040" builtinId="9" hidden="1"/>
    <cellStyle name="Followed Hyperlink" xfId="3042" builtinId="9" hidden="1"/>
    <cellStyle name="Followed Hyperlink" xfId="3044" builtinId="9" hidden="1"/>
    <cellStyle name="Followed Hyperlink" xfId="3046" builtinId="9" hidden="1"/>
    <cellStyle name="Followed Hyperlink" xfId="3048" builtinId="9" hidden="1"/>
    <cellStyle name="Followed Hyperlink" xfId="3050" builtinId="9" hidden="1"/>
    <cellStyle name="Followed Hyperlink" xfId="3052" builtinId="9" hidden="1"/>
    <cellStyle name="Followed Hyperlink" xfId="3054" builtinId="9" hidden="1"/>
    <cellStyle name="Followed Hyperlink" xfId="3056" builtinId="9" hidden="1"/>
    <cellStyle name="Followed Hyperlink" xfId="3058" builtinId="9" hidden="1"/>
    <cellStyle name="Followed Hyperlink" xfId="3060" builtinId="9" hidden="1"/>
    <cellStyle name="Followed Hyperlink" xfId="3062" builtinId="9" hidden="1"/>
    <cellStyle name="Followed Hyperlink" xfId="3064" builtinId="9" hidden="1"/>
    <cellStyle name="Followed Hyperlink" xfId="3066" builtinId="9" hidden="1"/>
    <cellStyle name="Followed Hyperlink" xfId="3068" builtinId="9" hidden="1"/>
    <cellStyle name="Followed Hyperlink" xfId="3070" builtinId="9" hidden="1"/>
    <cellStyle name="Followed Hyperlink" xfId="3072" builtinId="9" hidden="1"/>
    <cellStyle name="Followed Hyperlink" xfId="3074" builtinId="9" hidden="1"/>
    <cellStyle name="Followed Hyperlink" xfId="3076" builtinId="9" hidden="1"/>
    <cellStyle name="Followed Hyperlink" xfId="3078" builtinId="9" hidden="1"/>
    <cellStyle name="Followed Hyperlink" xfId="3080" builtinId="9" hidden="1"/>
    <cellStyle name="Followed Hyperlink" xfId="3082" builtinId="9" hidden="1"/>
    <cellStyle name="Followed Hyperlink" xfId="3084" builtinId="9" hidden="1"/>
    <cellStyle name="Followed Hyperlink" xfId="3086" builtinId="9" hidden="1"/>
    <cellStyle name="Followed Hyperlink" xfId="3088" builtinId="9" hidden="1"/>
    <cellStyle name="Followed Hyperlink" xfId="3090" builtinId="9" hidden="1"/>
    <cellStyle name="Followed Hyperlink" xfId="3092" builtinId="9" hidden="1"/>
    <cellStyle name="Followed Hyperlink" xfId="3094" builtinId="9" hidden="1"/>
    <cellStyle name="Followed Hyperlink" xfId="3096" builtinId="9" hidden="1"/>
    <cellStyle name="Followed Hyperlink" xfId="3098" builtinId="9" hidden="1"/>
    <cellStyle name="Followed Hyperlink" xfId="3100" builtinId="9" hidden="1"/>
    <cellStyle name="Followed Hyperlink" xfId="3102" builtinId="9" hidden="1"/>
    <cellStyle name="Followed Hyperlink" xfId="3104" builtinId="9" hidden="1"/>
    <cellStyle name="Followed Hyperlink" xfId="3106" builtinId="9" hidden="1"/>
    <cellStyle name="Followed Hyperlink" xfId="3108" builtinId="9" hidden="1"/>
    <cellStyle name="Followed Hyperlink" xfId="3110" builtinId="9" hidden="1"/>
    <cellStyle name="Followed Hyperlink" xfId="3112" builtinId="9" hidden="1"/>
    <cellStyle name="Followed Hyperlink" xfId="3114" builtinId="9" hidden="1"/>
    <cellStyle name="Followed Hyperlink" xfId="3116" builtinId="9" hidden="1"/>
    <cellStyle name="Followed Hyperlink" xfId="3118" builtinId="9" hidden="1"/>
    <cellStyle name="Followed Hyperlink" xfId="3120" builtinId="9" hidden="1"/>
    <cellStyle name="Followed Hyperlink" xfId="3122" builtinId="9" hidden="1"/>
    <cellStyle name="Followed Hyperlink" xfId="3124" builtinId="9" hidden="1"/>
    <cellStyle name="Followed Hyperlink" xfId="3126" builtinId="9" hidden="1"/>
    <cellStyle name="Followed Hyperlink" xfId="3128" builtinId="9" hidden="1"/>
    <cellStyle name="Followed Hyperlink" xfId="3130" builtinId="9" hidden="1"/>
    <cellStyle name="Followed Hyperlink" xfId="3132" builtinId="9" hidden="1"/>
    <cellStyle name="Followed Hyperlink" xfId="3134" builtinId="9" hidden="1"/>
    <cellStyle name="Followed Hyperlink" xfId="3136" builtinId="9" hidden="1"/>
    <cellStyle name="Followed Hyperlink" xfId="3138" builtinId="9" hidden="1"/>
    <cellStyle name="Followed Hyperlink" xfId="3140" builtinId="9" hidden="1"/>
    <cellStyle name="Followed Hyperlink" xfId="3142" builtinId="9" hidden="1"/>
    <cellStyle name="Followed Hyperlink" xfId="3144" builtinId="9" hidden="1"/>
    <cellStyle name="Followed Hyperlink" xfId="3146" builtinId="9" hidden="1"/>
    <cellStyle name="Followed Hyperlink" xfId="3148" builtinId="9" hidden="1"/>
    <cellStyle name="Followed Hyperlink" xfId="3150" builtinId="9" hidden="1"/>
    <cellStyle name="Followed Hyperlink" xfId="3152" builtinId="9" hidden="1"/>
    <cellStyle name="Followed Hyperlink" xfId="3154" builtinId="9" hidden="1"/>
    <cellStyle name="Followed Hyperlink" xfId="3156" builtinId="9" hidden="1"/>
    <cellStyle name="Followed Hyperlink" xfId="3158" builtinId="9" hidden="1"/>
    <cellStyle name="Followed Hyperlink" xfId="3160" builtinId="9" hidden="1"/>
    <cellStyle name="Followed Hyperlink" xfId="3162" builtinId="9" hidden="1"/>
    <cellStyle name="Followed Hyperlink" xfId="3164" builtinId="9" hidden="1"/>
    <cellStyle name="Followed Hyperlink" xfId="3166" builtinId="9" hidden="1"/>
    <cellStyle name="Followed Hyperlink" xfId="3168" builtinId="9" hidden="1"/>
    <cellStyle name="Followed Hyperlink" xfId="3170" builtinId="9" hidden="1"/>
    <cellStyle name="Followed Hyperlink" xfId="3172" builtinId="9" hidden="1"/>
    <cellStyle name="Followed Hyperlink" xfId="3174" builtinId="9" hidden="1"/>
    <cellStyle name="Followed Hyperlink" xfId="3176" builtinId="9" hidden="1"/>
    <cellStyle name="Followed Hyperlink" xfId="3178" builtinId="9" hidden="1"/>
    <cellStyle name="Followed Hyperlink" xfId="3180" builtinId="9" hidden="1"/>
    <cellStyle name="Followed Hyperlink" xfId="3182" builtinId="9" hidden="1"/>
    <cellStyle name="Followed Hyperlink" xfId="3184" builtinId="9" hidden="1"/>
    <cellStyle name="Followed Hyperlink" xfId="3186" builtinId="9" hidden="1"/>
    <cellStyle name="Followed Hyperlink" xfId="3188" builtinId="9" hidden="1"/>
    <cellStyle name="Followed Hyperlink" xfId="3190" builtinId="9" hidden="1"/>
    <cellStyle name="Followed Hyperlink" xfId="3192" builtinId="9" hidden="1"/>
    <cellStyle name="Followed Hyperlink" xfId="3194" builtinId="9" hidden="1"/>
    <cellStyle name="Followed Hyperlink" xfId="3196" builtinId="9" hidden="1"/>
    <cellStyle name="Followed Hyperlink" xfId="3198" builtinId="9" hidden="1"/>
    <cellStyle name="Followed Hyperlink" xfId="3200" builtinId="9" hidden="1"/>
    <cellStyle name="Followed Hyperlink" xfId="3202" builtinId="9" hidden="1"/>
    <cellStyle name="Followed Hyperlink" xfId="3204" builtinId="9" hidden="1"/>
    <cellStyle name="Followed Hyperlink" xfId="3206" builtinId="9" hidden="1"/>
    <cellStyle name="Followed Hyperlink" xfId="3208" builtinId="9" hidden="1"/>
    <cellStyle name="Followed Hyperlink" xfId="3210" builtinId="9" hidden="1"/>
    <cellStyle name="Followed Hyperlink" xfId="3212" builtinId="9" hidden="1"/>
    <cellStyle name="Followed Hyperlink" xfId="3214" builtinId="9" hidden="1"/>
    <cellStyle name="Followed Hyperlink" xfId="3216" builtinId="9" hidden="1"/>
    <cellStyle name="Followed Hyperlink" xfId="3218" builtinId="9" hidden="1"/>
    <cellStyle name="Followed Hyperlink" xfId="3220" builtinId="9" hidden="1"/>
    <cellStyle name="Followed Hyperlink" xfId="3222" builtinId="9" hidden="1"/>
    <cellStyle name="Followed Hyperlink" xfId="3224" builtinId="9" hidden="1"/>
    <cellStyle name="Followed Hyperlink" xfId="3226" builtinId="9" hidden="1"/>
    <cellStyle name="Followed Hyperlink" xfId="3228" builtinId="9" hidden="1"/>
    <cellStyle name="Followed Hyperlink" xfId="3230" builtinId="9" hidden="1"/>
    <cellStyle name="Followed Hyperlink" xfId="3232" builtinId="9" hidden="1"/>
    <cellStyle name="Followed Hyperlink" xfId="3234" builtinId="9" hidden="1"/>
    <cellStyle name="Followed Hyperlink" xfId="3236" builtinId="9" hidden="1"/>
    <cellStyle name="Followed Hyperlink" xfId="3238" builtinId="9" hidden="1"/>
    <cellStyle name="Followed Hyperlink" xfId="3240" builtinId="9" hidden="1"/>
    <cellStyle name="Followed Hyperlink" xfId="3242" builtinId="9" hidden="1"/>
    <cellStyle name="Followed Hyperlink" xfId="3244" builtinId="9" hidden="1"/>
    <cellStyle name="Followed Hyperlink" xfId="3246" builtinId="9" hidden="1"/>
    <cellStyle name="Followed Hyperlink" xfId="3248" builtinId="9" hidden="1"/>
    <cellStyle name="Followed Hyperlink" xfId="3250" builtinId="9" hidden="1"/>
    <cellStyle name="Followed Hyperlink" xfId="3252" builtinId="9" hidden="1"/>
    <cellStyle name="Followed Hyperlink" xfId="3254" builtinId="9" hidden="1"/>
    <cellStyle name="Followed Hyperlink" xfId="3256" builtinId="9" hidden="1"/>
    <cellStyle name="Followed Hyperlink" xfId="3258" builtinId="9" hidden="1"/>
    <cellStyle name="Followed Hyperlink" xfId="3260" builtinId="9" hidden="1"/>
    <cellStyle name="Followed Hyperlink" xfId="3262" builtinId="9" hidden="1"/>
    <cellStyle name="Followed Hyperlink" xfId="3264" builtinId="9" hidden="1"/>
    <cellStyle name="Followed Hyperlink" xfId="3266" builtinId="9" hidden="1"/>
    <cellStyle name="Followed Hyperlink" xfId="3268" builtinId="9" hidden="1"/>
    <cellStyle name="Followed Hyperlink" xfId="3270" builtinId="9" hidden="1"/>
    <cellStyle name="Followed Hyperlink" xfId="3272" builtinId="9" hidden="1"/>
    <cellStyle name="Followed Hyperlink" xfId="3274" builtinId="9" hidden="1"/>
    <cellStyle name="Followed Hyperlink" xfId="3276" builtinId="9" hidden="1"/>
    <cellStyle name="Followed Hyperlink" xfId="3278" builtinId="9" hidden="1"/>
    <cellStyle name="Followed Hyperlink" xfId="3280" builtinId="9" hidden="1"/>
    <cellStyle name="Followed Hyperlink" xfId="3282" builtinId="9" hidden="1"/>
    <cellStyle name="Followed Hyperlink" xfId="3284" builtinId="9" hidden="1"/>
    <cellStyle name="Followed Hyperlink" xfId="3286" builtinId="9" hidden="1"/>
    <cellStyle name="Followed Hyperlink" xfId="3288" builtinId="9" hidden="1"/>
    <cellStyle name="Followed Hyperlink" xfId="3290" builtinId="9" hidden="1"/>
    <cellStyle name="Followed Hyperlink" xfId="3292" builtinId="9" hidden="1"/>
    <cellStyle name="Followed Hyperlink" xfId="3294" builtinId="9" hidden="1"/>
    <cellStyle name="Followed Hyperlink" xfId="3296" builtinId="9" hidden="1"/>
    <cellStyle name="Followed Hyperlink" xfId="3298" builtinId="9" hidden="1"/>
    <cellStyle name="Followed Hyperlink" xfId="3300" builtinId="9" hidden="1"/>
    <cellStyle name="Followed Hyperlink" xfId="3302" builtinId="9" hidden="1"/>
    <cellStyle name="Followed Hyperlink" xfId="3304" builtinId="9" hidden="1"/>
    <cellStyle name="Followed Hyperlink" xfId="3306" builtinId="9" hidden="1"/>
    <cellStyle name="Followed Hyperlink" xfId="3308" builtinId="9" hidden="1"/>
    <cellStyle name="Followed Hyperlink" xfId="3310" builtinId="9" hidden="1"/>
    <cellStyle name="Followed Hyperlink" xfId="3312" builtinId="9" hidden="1"/>
    <cellStyle name="Followed Hyperlink" xfId="3314" builtinId="9" hidden="1"/>
    <cellStyle name="Followed Hyperlink" xfId="3316" builtinId="9" hidden="1"/>
    <cellStyle name="Followed Hyperlink" xfId="3318" builtinId="9" hidden="1"/>
    <cellStyle name="Followed Hyperlink" xfId="3320" builtinId="9" hidden="1"/>
    <cellStyle name="Followed Hyperlink" xfId="3322" builtinId="9" hidden="1"/>
    <cellStyle name="Followed Hyperlink" xfId="3324" builtinId="9" hidden="1"/>
    <cellStyle name="Followed Hyperlink" xfId="3326" builtinId="9" hidden="1"/>
    <cellStyle name="Followed Hyperlink" xfId="3328" builtinId="9" hidden="1"/>
    <cellStyle name="Followed Hyperlink" xfId="3330" builtinId="9" hidden="1"/>
    <cellStyle name="Followed Hyperlink" xfId="3332" builtinId="9" hidden="1"/>
    <cellStyle name="Followed Hyperlink" xfId="3334" builtinId="9" hidden="1"/>
    <cellStyle name="Followed Hyperlink" xfId="3336" builtinId="9" hidden="1"/>
    <cellStyle name="Followed Hyperlink" xfId="3338" builtinId="9" hidden="1"/>
    <cellStyle name="Followed Hyperlink" xfId="3340" builtinId="9" hidden="1"/>
    <cellStyle name="Followed Hyperlink" xfId="3342" builtinId="9" hidden="1"/>
    <cellStyle name="Followed Hyperlink" xfId="3344" builtinId="9" hidden="1"/>
    <cellStyle name="Followed Hyperlink" xfId="3346" builtinId="9" hidden="1"/>
    <cellStyle name="Followed Hyperlink" xfId="3348" builtinId="9" hidden="1"/>
    <cellStyle name="Followed Hyperlink" xfId="3350" builtinId="9" hidden="1"/>
    <cellStyle name="Followed Hyperlink" xfId="3352" builtinId="9" hidden="1"/>
    <cellStyle name="Followed Hyperlink" xfId="3354" builtinId="9" hidden="1"/>
    <cellStyle name="Followed Hyperlink" xfId="3356" builtinId="9" hidden="1"/>
    <cellStyle name="Followed Hyperlink" xfId="3358" builtinId="9" hidden="1"/>
    <cellStyle name="Followed Hyperlink" xfId="3360" builtinId="9" hidden="1"/>
    <cellStyle name="Followed Hyperlink" xfId="3362" builtinId="9" hidden="1"/>
    <cellStyle name="Followed Hyperlink" xfId="3364" builtinId="9" hidden="1"/>
    <cellStyle name="Followed Hyperlink" xfId="3366" builtinId="9" hidden="1"/>
    <cellStyle name="Followed Hyperlink" xfId="3368" builtinId="9" hidden="1"/>
    <cellStyle name="Followed Hyperlink" xfId="3370" builtinId="9" hidden="1"/>
    <cellStyle name="Followed Hyperlink" xfId="3372" builtinId="9" hidden="1"/>
    <cellStyle name="Followed Hyperlink" xfId="3374" builtinId="9" hidden="1"/>
    <cellStyle name="Followed Hyperlink" xfId="3376" builtinId="9" hidden="1"/>
    <cellStyle name="Followed Hyperlink" xfId="3378" builtinId="9" hidden="1"/>
    <cellStyle name="Followed Hyperlink" xfId="3380" builtinId="9" hidden="1"/>
    <cellStyle name="Followed Hyperlink" xfId="3382" builtinId="9" hidden="1"/>
    <cellStyle name="Followed Hyperlink" xfId="3384" builtinId="9" hidden="1"/>
    <cellStyle name="Followed Hyperlink" xfId="3386" builtinId="9" hidden="1"/>
    <cellStyle name="Followed Hyperlink" xfId="3388" builtinId="9" hidden="1"/>
    <cellStyle name="Followed Hyperlink" xfId="3390" builtinId="9" hidden="1"/>
    <cellStyle name="Followed Hyperlink" xfId="3392" builtinId="9" hidden="1"/>
    <cellStyle name="Followed Hyperlink" xfId="3394" builtinId="9" hidden="1"/>
    <cellStyle name="Followed Hyperlink" xfId="3396" builtinId="9" hidden="1"/>
    <cellStyle name="Followed Hyperlink" xfId="3398" builtinId="9" hidden="1"/>
    <cellStyle name="Followed Hyperlink" xfId="3400" builtinId="9" hidden="1"/>
    <cellStyle name="Followed Hyperlink" xfId="3402" builtinId="9" hidden="1"/>
    <cellStyle name="Followed Hyperlink" xfId="3404" builtinId="9" hidden="1"/>
    <cellStyle name="Followed Hyperlink" xfId="3406" builtinId="9" hidden="1"/>
    <cellStyle name="Followed Hyperlink" xfId="3408" builtinId="9" hidden="1"/>
    <cellStyle name="Followed Hyperlink" xfId="3410" builtinId="9" hidden="1"/>
    <cellStyle name="Followed Hyperlink" xfId="3412" builtinId="9" hidden="1"/>
    <cellStyle name="Followed Hyperlink" xfId="3414" builtinId="9" hidden="1"/>
    <cellStyle name="Followed Hyperlink" xfId="3416" builtinId="9" hidden="1"/>
    <cellStyle name="Followed Hyperlink" xfId="3418" builtinId="9" hidden="1"/>
    <cellStyle name="Followed Hyperlink" xfId="3420" builtinId="9" hidden="1"/>
    <cellStyle name="Followed Hyperlink" xfId="3422" builtinId="9" hidden="1"/>
    <cellStyle name="Followed Hyperlink" xfId="3424" builtinId="9" hidden="1"/>
    <cellStyle name="Followed Hyperlink" xfId="3426" builtinId="9" hidden="1"/>
    <cellStyle name="Followed Hyperlink" xfId="3428" builtinId="9" hidden="1"/>
    <cellStyle name="Followed Hyperlink" xfId="3430" builtinId="9" hidden="1"/>
    <cellStyle name="Followed Hyperlink" xfId="3432" builtinId="9" hidden="1"/>
    <cellStyle name="Followed Hyperlink" xfId="3434" builtinId="9" hidden="1"/>
    <cellStyle name="Followed Hyperlink" xfId="3436" builtinId="9" hidden="1"/>
    <cellStyle name="Followed Hyperlink" xfId="3438" builtinId="9" hidden="1"/>
    <cellStyle name="Followed Hyperlink" xfId="3440" builtinId="9" hidden="1"/>
    <cellStyle name="Followed Hyperlink" xfId="3442" builtinId="9" hidden="1"/>
    <cellStyle name="Followed Hyperlink" xfId="3444" builtinId="9" hidden="1"/>
    <cellStyle name="Followed Hyperlink" xfId="3446" builtinId="9" hidden="1"/>
    <cellStyle name="Followed Hyperlink" xfId="3448" builtinId="9" hidden="1"/>
    <cellStyle name="Followed Hyperlink" xfId="3450" builtinId="9" hidden="1"/>
    <cellStyle name="Followed Hyperlink" xfId="3452" builtinId="9" hidden="1"/>
    <cellStyle name="Followed Hyperlink" xfId="3454" builtinId="9" hidden="1"/>
    <cellStyle name="Followed Hyperlink" xfId="3456" builtinId="9" hidden="1"/>
    <cellStyle name="Followed Hyperlink" xfId="3458" builtinId="9" hidden="1"/>
    <cellStyle name="Followed Hyperlink" xfId="3460" builtinId="9" hidden="1"/>
    <cellStyle name="Followed Hyperlink" xfId="3462" builtinId="9" hidden="1"/>
    <cellStyle name="Followed Hyperlink" xfId="3464" builtinId="9" hidden="1"/>
    <cellStyle name="Followed Hyperlink" xfId="3466" builtinId="9" hidden="1"/>
    <cellStyle name="Followed Hyperlink" xfId="3468" builtinId="9" hidden="1"/>
    <cellStyle name="Followed Hyperlink" xfId="3470" builtinId="9" hidden="1"/>
    <cellStyle name="Followed Hyperlink" xfId="3472" builtinId="9" hidden="1"/>
    <cellStyle name="Followed Hyperlink" xfId="3474" builtinId="9" hidden="1"/>
    <cellStyle name="Followed Hyperlink" xfId="3476" builtinId="9" hidden="1"/>
    <cellStyle name="Followed Hyperlink" xfId="3478" builtinId="9" hidden="1"/>
    <cellStyle name="Followed Hyperlink" xfId="3480" builtinId="9" hidden="1"/>
    <cellStyle name="Followed Hyperlink" xfId="3482" builtinId="9" hidden="1"/>
    <cellStyle name="Followed Hyperlink" xfId="3484" builtinId="9" hidden="1"/>
    <cellStyle name="Followed Hyperlink" xfId="3486" builtinId="9" hidden="1"/>
    <cellStyle name="Followed Hyperlink" xfId="3488" builtinId="9" hidden="1"/>
    <cellStyle name="Followed Hyperlink" xfId="3490" builtinId="9" hidden="1"/>
    <cellStyle name="Followed Hyperlink" xfId="3492" builtinId="9" hidden="1"/>
    <cellStyle name="Followed Hyperlink" xfId="3494" builtinId="9" hidden="1"/>
    <cellStyle name="Followed Hyperlink" xfId="3496" builtinId="9" hidden="1"/>
    <cellStyle name="Followed Hyperlink" xfId="3498" builtinId="9" hidden="1"/>
    <cellStyle name="Followed Hyperlink" xfId="3500" builtinId="9" hidden="1"/>
    <cellStyle name="Followed Hyperlink" xfId="3502" builtinId="9" hidden="1"/>
    <cellStyle name="Followed Hyperlink" xfId="3504" builtinId="9" hidden="1"/>
    <cellStyle name="Followed Hyperlink" xfId="3506" builtinId="9" hidden="1"/>
    <cellStyle name="Followed Hyperlink" xfId="3508" builtinId="9" hidden="1"/>
    <cellStyle name="Followed Hyperlink" xfId="3510" builtinId="9" hidden="1"/>
    <cellStyle name="Followed Hyperlink" xfId="3512" builtinId="9" hidden="1"/>
    <cellStyle name="Followed Hyperlink" xfId="3514" builtinId="9" hidden="1"/>
    <cellStyle name="Followed Hyperlink" xfId="3516" builtinId="9" hidden="1"/>
    <cellStyle name="Followed Hyperlink" xfId="3518" builtinId="9" hidden="1"/>
    <cellStyle name="Followed Hyperlink" xfId="3520" builtinId="9" hidden="1"/>
    <cellStyle name="Followed Hyperlink" xfId="3522" builtinId="9" hidden="1"/>
    <cellStyle name="Followed Hyperlink" xfId="3524" builtinId="9" hidden="1"/>
    <cellStyle name="Followed Hyperlink" xfId="3526" builtinId="9" hidden="1"/>
    <cellStyle name="Followed Hyperlink" xfId="3528" builtinId="9" hidden="1"/>
    <cellStyle name="Followed Hyperlink" xfId="3530" builtinId="9" hidden="1"/>
    <cellStyle name="Followed Hyperlink" xfId="3532" builtinId="9" hidden="1"/>
    <cellStyle name="Followed Hyperlink" xfId="3534" builtinId="9" hidden="1"/>
    <cellStyle name="Followed Hyperlink" xfId="3536" builtinId="9" hidden="1"/>
    <cellStyle name="Followed Hyperlink" xfId="3538" builtinId="9" hidden="1"/>
    <cellStyle name="Followed Hyperlink" xfId="3540" builtinId="9" hidden="1"/>
    <cellStyle name="Followed Hyperlink" xfId="3542" builtinId="9" hidden="1"/>
    <cellStyle name="Followed Hyperlink" xfId="3544" builtinId="9" hidden="1"/>
    <cellStyle name="Followed Hyperlink" xfId="3546" builtinId="9" hidden="1"/>
    <cellStyle name="Followed Hyperlink" xfId="3548" builtinId="9" hidden="1"/>
    <cellStyle name="Followed Hyperlink" xfId="3550" builtinId="9" hidden="1"/>
    <cellStyle name="Followed Hyperlink" xfId="3552" builtinId="9" hidden="1"/>
    <cellStyle name="Followed Hyperlink" xfId="3554" builtinId="9" hidden="1"/>
    <cellStyle name="Followed Hyperlink" xfId="3556" builtinId="9" hidden="1"/>
    <cellStyle name="Followed Hyperlink" xfId="3558" builtinId="9" hidden="1"/>
    <cellStyle name="Followed Hyperlink" xfId="3560" builtinId="9" hidden="1"/>
    <cellStyle name="Followed Hyperlink" xfId="3562" builtinId="9" hidden="1"/>
    <cellStyle name="Followed Hyperlink" xfId="3564" builtinId="9" hidden="1"/>
    <cellStyle name="Followed Hyperlink" xfId="3566" builtinId="9" hidden="1"/>
    <cellStyle name="Followed Hyperlink" xfId="3568" builtinId="9" hidden="1"/>
    <cellStyle name="Followed Hyperlink" xfId="3570" builtinId="9" hidden="1"/>
    <cellStyle name="Followed Hyperlink" xfId="3572" builtinId="9" hidden="1"/>
    <cellStyle name="Followed Hyperlink" xfId="3574" builtinId="9" hidden="1"/>
    <cellStyle name="Followed Hyperlink" xfId="3576" builtinId="9" hidden="1"/>
    <cellStyle name="Followed Hyperlink" xfId="3578" builtinId="9" hidden="1"/>
    <cellStyle name="Followed Hyperlink" xfId="3580" builtinId="9" hidden="1"/>
    <cellStyle name="Followed Hyperlink" xfId="3582" builtinId="9" hidden="1"/>
    <cellStyle name="Followed Hyperlink" xfId="3584" builtinId="9" hidden="1"/>
    <cellStyle name="Followed Hyperlink" xfId="3586" builtinId="9" hidden="1"/>
    <cellStyle name="Followed Hyperlink" xfId="3588" builtinId="9" hidden="1"/>
    <cellStyle name="Followed Hyperlink" xfId="3590" builtinId="9" hidden="1"/>
    <cellStyle name="Followed Hyperlink" xfId="3592" builtinId="9" hidden="1"/>
    <cellStyle name="Followed Hyperlink" xfId="3594" builtinId="9" hidden="1"/>
    <cellStyle name="Followed Hyperlink" xfId="3596" builtinId="9" hidden="1"/>
    <cellStyle name="Followed Hyperlink" xfId="3598" builtinId="9" hidden="1"/>
    <cellStyle name="Followed Hyperlink" xfId="3600" builtinId="9" hidden="1"/>
    <cellStyle name="Followed Hyperlink" xfId="3602" builtinId="9" hidden="1"/>
    <cellStyle name="Followed Hyperlink" xfId="3604" builtinId="9" hidden="1"/>
    <cellStyle name="Followed Hyperlink" xfId="3606" builtinId="9" hidden="1"/>
    <cellStyle name="Followed Hyperlink" xfId="3608" builtinId="9" hidden="1"/>
    <cellStyle name="Followed Hyperlink" xfId="3610" builtinId="9" hidden="1"/>
    <cellStyle name="Followed Hyperlink" xfId="3612" builtinId="9" hidden="1"/>
    <cellStyle name="Followed Hyperlink" xfId="3614" builtinId="9" hidden="1"/>
    <cellStyle name="Followed Hyperlink" xfId="3616" builtinId="9" hidden="1"/>
    <cellStyle name="Followed Hyperlink" xfId="3618" builtinId="9" hidden="1"/>
    <cellStyle name="Followed Hyperlink" xfId="3620" builtinId="9" hidden="1"/>
    <cellStyle name="Followed Hyperlink" xfId="3622" builtinId="9" hidden="1"/>
    <cellStyle name="Followed Hyperlink" xfId="3624" builtinId="9" hidden="1"/>
    <cellStyle name="Followed Hyperlink" xfId="3626" builtinId="9" hidden="1"/>
    <cellStyle name="Followed Hyperlink" xfId="3628" builtinId="9" hidden="1"/>
    <cellStyle name="Followed Hyperlink" xfId="3630" builtinId="9" hidden="1"/>
    <cellStyle name="Followed Hyperlink" xfId="3632" builtinId="9" hidden="1"/>
    <cellStyle name="Followed Hyperlink" xfId="3634" builtinId="9" hidden="1"/>
    <cellStyle name="Followed Hyperlink" xfId="3636" builtinId="9" hidden="1"/>
    <cellStyle name="Followed Hyperlink" xfId="3638" builtinId="9" hidden="1"/>
    <cellStyle name="Followed Hyperlink" xfId="3640" builtinId="9" hidden="1"/>
    <cellStyle name="Followed Hyperlink" xfId="3642" builtinId="9" hidden="1"/>
    <cellStyle name="Followed Hyperlink" xfId="3644" builtinId="9" hidden="1"/>
    <cellStyle name="Followed Hyperlink" xfId="3646" builtinId="9" hidden="1"/>
    <cellStyle name="Followed Hyperlink" xfId="3648" builtinId="9" hidden="1"/>
    <cellStyle name="Followed Hyperlink" xfId="3650" builtinId="9" hidden="1"/>
    <cellStyle name="Followed Hyperlink" xfId="3652" builtinId="9" hidden="1"/>
    <cellStyle name="Followed Hyperlink" xfId="3654" builtinId="9" hidden="1"/>
    <cellStyle name="Followed Hyperlink" xfId="3656" builtinId="9" hidden="1"/>
    <cellStyle name="Followed Hyperlink" xfId="3658" builtinId="9" hidden="1"/>
    <cellStyle name="Followed Hyperlink" xfId="3660" builtinId="9" hidden="1"/>
    <cellStyle name="Followed Hyperlink" xfId="3662" builtinId="9" hidden="1"/>
    <cellStyle name="Followed Hyperlink" xfId="3664" builtinId="9" hidden="1"/>
    <cellStyle name="Followed Hyperlink" xfId="3666" builtinId="9" hidden="1"/>
    <cellStyle name="Followed Hyperlink" xfId="3668" builtinId="9" hidden="1"/>
    <cellStyle name="Followed Hyperlink" xfId="3670" builtinId="9" hidden="1"/>
    <cellStyle name="Followed Hyperlink" xfId="3672" builtinId="9" hidden="1"/>
    <cellStyle name="Followed Hyperlink" xfId="3674" builtinId="9" hidden="1"/>
    <cellStyle name="Followed Hyperlink" xfId="3676" builtinId="9" hidden="1"/>
    <cellStyle name="Followed Hyperlink" xfId="3678" builtinId="9" hidden="1"/>
    <cellStyle name="Followed Hyperlink" xfId="3680" builtinId="9" hidden="1"/>
    <cellStyle name="Followed Hyperlink" xfId="3682" builtinId="9" hidden="1"/>
    <cellStyle name="Followed Hyperlink" xfId="3684" builtinId="9" hidden="1"/>
    <cellStyle name="Followed Hyperlink" xfId="3686" builtinId="9" hidden="1"/>
    <cellStyle name="Followed Hyperlink" xfId="3688" builtinId="9" hidden="1"/>
    <cellStyle name="Followed Hyperlink" xfId="3690" builtinId="9" hidden="1"/>
    <cellStyle name="Followed Hyperlink" xfId="3692" builtinId="9" hidden="1"/>
    <cellStyle name="Followed Hyperlink" xfId="3694" builtinId="9" hidden="1"/>
    <cellStyle name="Followed Hyperlink" xfId="3696" builtinId="9" hidden="1"/>
    <cellStyle name="Followed Hyperlink" xfId="3698" builtinId="9" hidden="1"/>
    <cellStyle name="Followed Hyperlink" xfId="3700" builtinId="9" hidden="1"/>
    <cellStyle name="Followed Hyperlink" xfId="3702" builtinId="9" hidden="1"/>
    <cellStyle name="Followed Hyperlink" xfId="3704" builtinId="9" hidden="1"/>
    <cellStyle name="Followed Hyperlink" xfId="3706" builtinId="9" hidden="1"/>
    <cellStyle name="Followed Hyperlink" xfId="3708" builtinId="9" hidden="1"/>
    <cellStyle name="Followed Hyperlink" xfId="3710" builtinId="9" hidden="1"/>
    <cellStyle name="Followed Hyperlink" xfId="3712" builtinId="9" hidden="1"/>
    <cellStyle name="Followed Hyperlink" xfId="3714" builtinId="9" hidden="1"/>
    <cellStyle name="Followed Hyperlink" xfId="3716" builtinId="9" hidden="1"/>
    <cellStyle name="Followed Hyperlink" xfId="3718" builtinId="9" hidden="1"/>
    <cellStyle name="Followed Hyperlink" xfId="3720" builtinId="9" hidden="1"/>
    <cellStyle name="Followed Hyperlink" xfId="3722" builtinId="9" hidden="1"/>
    <cellStyle name="Followed Hyperlink" xfId="3724" builtinId="9" hidden="1"/>
    <cellStyle name="Followed Hyperlink" xfId="3726" builtinId="9" hidden="1"/>
    <cellStyle name="Followed Hyperlink" xfId="3728" builtinId="9" hidden="1"/>
    <cellStyle name="Followed Hyperlink" xfId="3730" builtinId="9" hidden="1"/>
    <cellStyle name="Followed Hyperlink" xfId="3732" builtinId="9" hidden="1"/>
    <cellStyle name="Followed Hyperlink" xfId="3734" builtinId="9" hidden="1"/>
    <cellStyle name="Followed Hyperlink" xfId="3736" builtinId="9" hidden="1"/>
    <cellStyle name="Followed Hyperlink" xfId="3738" builtinId="9" hidden="1"/>
    <cellStyle name="Followed Hyperlink" xfId="3740" builtinId="9" hidden="1"/>
    <cellStyle name="Followed Hyperlink" xfId="3742" builtinId="9" hidden="1"/>
    <cellStyle name="Followed Hyperlink" xfId="3744" builtinId="9" hidden="1"/>
    <cellStyle name="Followed Hyperlink" xfId="3746" builtinId="9" hidden="1"/>
    <cellStyle name="Followed Hyperlink" xfId="3748" builtinId="9" hidden="1"/>
    <cellStyle name="Followed Hyperlink" xfId="3750" builtinId="9" hidden="1"/>
    <cellStyle name="Followed Hyperlink" xfId="3752" builtinId="9" hidden="1"/>
    <cellStyle name="Followed Hyperlink" xfId="3754" builtinId="9" hidden="1"/>
    <cellStyle name="Followed Hyperlink" xfId="3756" builtinId="9" hidden="1"/>
    <cellStyle name="Followed Hyperlink" xfId="3758" builtinId="9" hidden="1"/>
    <cellStyle name="Followed Hyperlink" xfId="3760" builtinId="9" hidden="1"/>
    <cellStyle name="Followed Hyperlink" xfId="3762" builtinId="9" hidden="1"/>
    <cellStyle name="Followed Hyperlink" xfId="3764" builtinId="9" hidden="1"/>
    <cellStyle name="Followed Hyperlink" xfId="3766" builtinId="9" hidden="1"/>
    <cellStyle name="Followed Hyperlink" xfId="3768" builtinId="9" hidden="1"/>
    <cellStyle name="Followed Hyperlink" xfId="3770" builtinId="9" hidden="1"/>
    <cellStyle name="Followed Hyperlink" xfId="3772" builtinId="9" hidden="1"/>
    <cellStyle name="Followed Hyperlink" xfId="3774" builtinId="9" hidden="1"/>
    <cellStyle name="Followed Hyperlink" xfId="3776" builtinId="9" hidden="1"/>
    <cellStyle name="Followed Hyperlink" xfId="3778" builtinId="9" hidden="1"/>
    <cellStyle name="Followed Hyperlink" xfId="3780" builtinId="9" hidden="1"/>
    <cellStyle name="Followed Hyperlink" xfId="3782" builtinId="9" hidden="1"/>
    <cellStyle name="Followed Hyperlink" xfId="3784" builtinId="9" hidden="1"/>
    <cellStyle name="Followed Hyperlink" xfId="3786" builtinId="9" hidden="1"/>
    <cellStyle name="Followed Hyperlink" xfId="3788" builtinId="9" hidden="1"/>
    <cellStyle name="Followed Hyperlink" xfId="3790" builtinId="9" hidden="1"/>
    <cellStyle name="Followed Hyperlink" xfId="3792" builtinId="9" hidden="1"/>
    <cellStyle name="Followed Hyperlink" xfId="3794" builtinId="9" hidden="1"/>
    <cellStyle name="Followed Hyperlink" xfId="3796" builtinId="9" hidden="1"/>
    <cellStyle name="Followed Hyperlink" xfId="3798" builtinId="9" hidden="1"/>
    <cellStyle name="Followed Hyperlink" xfId="3800" builtinId="9" hidden="1"/>
    <cellStyle name="Followed Hyperlink" xfId="3802" builtinId="9" hidden="1"/>
    <cellStyle name="Followed Hyperlink" xfId="3804" builtinId="9" hidden="1"/>
    <cellStyle name="Followed Hyperlink" xfId="3806" builtinId="9" hidden="1"/>
    <cellStyle name="Followed Hyperlink" xfId="3808" builtinId="9" hidden="1"/>
    <cellStyle name="Followed Hyperlink" xfId="3810" builtinId="9" hidden="1"/>
    <cellStyle name="Followed Hyperlink" xfId="3812" builtinId="9" hidden="1"/>
    <cellStyle name="Followed Hyperlink" xfId="3814" builtinId="9" hidden="1"/>
    <cellStyle name="Followed Hyperlink" xfId="3816" builtinId="9" hidden="1"/>
    <cellStyle name="Followed Hyperlink" xfId="3818" builtinId="9" hidden="1"/>
    <cellStyle name="Followed Hyperlink" xfId="3820" builtinId="9" hidden="1"/>
    <cellStyle name="Followed Hyperlink" xfId="3822" builtinId="9" hidden="1"/>
    <cellStyle name="Followed Hyperlink" xfId="3824" builtinId="9" hidden="1"/>
    <cellStyle name="Followed Hyperlink" xfId="3826" builtinId="9" hidden="1"/>
    <cellStyle name="Followed Hyperlink" xfId="3828" builtinId="9" hidden="1"/>
    <cellStyle name="Followed Hyperlink" xfId="3830" builtinId="9" hidden="1"/>
    <cellStyle name="Followed Hyperlink" xfId="3832" builtinId="9" hidden="1"/>
    <cellStyle name="Followed Hyperlink" xfId="3834" builtinId="9" hidden="1"/>
    <cellStyle name="Followed Hyperlink" xfId="3836" builtinId="9" hidden="1"/>
    <cellStyle name="Followed Hyperlink" xfId="3838" builtinId="9" hidden="1"/>
    <cellStyle name="Followed Hyperlink" xfId="3840" builtinId="9" hidden="1"/>
    <cellStyle name="Followed Hyperlink" xfId="3842" builtinId="9" hidden="1"/>
    <cellStyle name="Followed Hyperlink" xfId="3844" builtinId="9" hidden="1"/>
    <cellStyle name="Followed Hyperlink" xfId="3846" builtinId="9" hidden="1"/>
    <cellStyle name="Followed Hyperlink" xfId="3848" builtinId="9" hidden="1"/>
    <cellStyle name="Followed Hyperlink" xfId="3850" builtinId="9" hidden="1"/>
    <cellStyle name="Followed Hyperlink" xfId="3852" builtinId="9" hidden="1"/>
    <cellStyle name="Followed Hyperlink" xfId="3854" builtinId="9" hidden="1"/>
    <cellStyle name="Followed Hyperlink" xfId="3856" builtinId="9" hidden="1"/>
    <cellStyle name="Followed Hyperlink" xfId="3858" builtinId="9" hidden="1"/>
    <cellStyle name="Followed Hyperlink" xfId="3860" builtinId="9" hidden="1"/>
    <cellStyle name="Followed Hyperlink" xfId="3862" builtinId="9" hidden="1"/>
    <cellStyle name="Followed Hyperlink" xfId="3864" builtinId="9" hidden="1"/>
    <cellStyle name="Followed Hyperlink" xfId="3866" builtinId="9" hidden="1"/>
    <cellStyle name="Followed Hyperlink" xfId="3868" builtinId="9" hidden="1"/>
    <cellStyle name="Followed Hyperlink" xfId="3870" builtinId="9" hidden="1"/>
    <cellStyle name="Followed Hyperlink" xfId="3872" builtinId="9" hidden="1"/>
    <cellStyle name="Followed Hyperlink" xfId="3874" builtinId="9" hidden="1"/>
    <cellStyle name="Followed Hyperlink" xfId="3876" builtinId="9" hidden="1"/>
    <cellStyle name="Followed Hyperlink" xfId="3878" builtinId="9" hidden="1"/>
    <cellStyle name="Followed Hyperlink" xfId="3880" builtinId="9" hidden="1"/>
    <cellStyle name="Followed Hyperlink" xfId="3882" builtinId="9" hidden="1"/>
    <cellStyle name="Followed Hyperlink" xfId="3884" builtinId="9" hidden="1"/>
    <cellStyle name="Followed Hyperlink" xfId="3886" builtinId="9" hidden="1"/>
    <cellStyle name="Followed Hyperlink" xfId="3888" builtinId="9" hidden="1"/>
    <cellStyle name="Followed Hyperlink" xfId="3890" builtinId="9" hidden="1"/>
    <cellStyle name="Followed Hyperlink" xfId="3892" builtinId="9" hidden="1"/>
    <cellStyle name="Followed Hyperlink" xfId="3894" builtinId="9" hidden="1"/>
    <cellStyle name="Followed Hyperlink" xfId="3896" builtinId="9" hidden="1"/>
    <cellStyle name="Followed Hyperlink" xfId="3898" builtinId="9" hidden="1"/>
    <cellStyle name="Followed Hyperlink" xfId="3900" builtinId="9" hidden="1"/>
    <cellStyle name="Followed Hyperlink" xfId="3902" builtinId="9" hidden="1"/>
    <cellStyle name="Followed Hyperlink" xfId="3904" builtinId="9" hidden="1"/>
    <cellStyle name="Followed Hyperlink" xfId="3906" builtinId="9" hidden="1"/>
    <cellStyle name="Followed Hyperlink" xfId="3908" builtinId="9" hidden="1"/>
    <cellStyle name="Followed Hyperlink" xfId="3910" builtinId="9" hidden="1"/>
    <cellStyle name="Followed Hyperlink" xfId="3912" builtinId="9" hidden="1"/>
    <cellStyle name="Followed Hyperlink" xfId="3914" builtinId="9" hidden="1"/>
    <cellStyle name="Followed Hyperlink" xfId="3916" builtinId="9" hidden="1"/>
    <cellStyle name="Followed Hyperlink" xfId="3918" builtinId="9" hidden="1"/>
    <cellStyle name="Followed Hyperlink" xfId="3920" builtinId="9" hidden="1"/>
    <cellStyle name="Followed Hyperlink" xfId="3922" builtinId="9" hidden="1"/>
    <cellStyle name="Followed Hyperlink" xfId="3924" builtinId="9" hidden="1"/>
    <cellStyle name="Followed Hyperlink" xfId="3926" builtinId="9" hidden="1"/>
    <cellStyle name="Followed Hyperlink" xfId="3928" builtinId="9" hidden="1"/>
    <cellStyle name="Followed Hyperlink" xfId="3930" builtinId="9" hidden="1"/>
    <cellStyle name="Followed Hyperlink" xfId="3932" builtinId="9" hidden="1"/>
    <cellStyle name="Followed Hyperlink" xfId="3934" builtinId="9" hidden="1"/>
    <cellStyle name="Followed Hyperlink" xfId="3936" builtinId="9" hidden="1"/>
    <cellStyle name="Followed Hyperlink" xfId="3938" builtinId="9" hidden="1"/>
    <cellStyle name="Followed Hyperlink" xfId="3940" builtinId="9" hidden="1"/>
    <cellStyle name="Followed Hyperlink" xfId="3942" builtinId="9" hidden="1"/>
    <cellStyle name="Followed Hyperlink" xfId="3944" builtinId="9" hidden="1"/>
    <cellStyle name="Followed Hyperlink" xfId="3946" builtinId="9" hidden="1"/>
    <cellStyle name="Followed Hyperlink" xfId="3948" builtinId="9" hidden="1"/>
    <cellStyle name="Followed Hyperlink" xfId="3950" builtinId="9" hidden="1"/>
    <cellStyle name="Followed Hyperlink" xfId="3952" builtinId="9" hidden="1"/>
    <cellStyle name="Followed Hyperlink" xfId="3954" builtinId="9" hidden="1"/>
    <cellStyle name="Followed Hyperlink" xfId="3956" builtinId="9" hidden="1"/>
    <cellStyle name="Followed Hyperlink" xfId="3958" builtinId="9" hidden="1"/>
    <cellStyle name="Followed Hyperlink" xfId="3960" builtinId="9" hidden="1"/>
    <cellStyle name="Followed Hyperlink" xfId="3962" builtinId="9" hidden="1"/>
    <cellStyle name="Followed Hyperlink" xfId="3964" builtinId="9" hidden="1"/>
    <cellStyle name="Followed Hyperlink" xfId="3966" builtinId="9" hidden="1"/>
    <cellStyle name="Followed Hyperlink" xfId="3968" builtinId="9" hidden="1"/>
    <cellStyle name="Followed Hyperlink" xfId="3970" builtinId="9" hidden="1"/>
    <cellStyle name="Followed Hyperlink" xfId="3972" builtinId="9" hidden="1"/>
    <cellStyle name="Followed Hyperlink" xfId="3974" builtinId="9" hidden="1"/>
    <cellStyle name="Followed Hyperlink" xfId="3976" builtinId="9" hidden="1"/>
    <cellStyle name="Followed Hyperlink" xfId="3978" builtinId="9" hidden="1"/>
    <cellStyle name="Followed Hyperlink" xfId="3980" builtinId="9" hidden="1"/>
    <cellStyle name="Followed Hyperlink" xfId="3982" builtinId="9" hidden="1"/>
    <cellStyle name="Followed Hyperlink" xfId="3984" builtinId="9" hidden="1"/>
    <cellStyle name="Followed Hyperlink" xfId="3986" builtinId="9" hidden="1"/>
    <cellStyle name="Followed Hyperlink" xfId="3988" builtinId="9" hidden="1"/>
    <cellStyle name="Followed Hyperlink" xfId="3990" builtinId="9" hidden="1"/>
    <cellStyle name="Followed Hyperlink" xfId="3992" builtinId="9" hidden="1"/>
    <cellStyle name="Followed Hyperlink" xfId="3994" builtinId="9" hidden="1"/>
    <cellStyle name="Followed Hyperlink" xfId="3996" builtinId="9" hidden="1"/>
    <cellStyle name="Followed Hyperlink" xfId="3998" builtinId="9" hidden="1"/>
    <cellStyle name="Followed Hyperlink" xfId="4000" builtinId="9" hidden="1"/>
    <cellStyle name="Followed Hyperlink" xfId="4002" builtinId="9" hidden="1"/>
    <cellStyle name="Followed Hyperlink" xfId="4004" builtinId="9" hidden="1"/>
    <cellStyle name="Followed Hyperlink" xfId="4006" builtinId="9" hidden="1"/>
    <cellStyle name="Followed Hyperlink" xfId="4008" builtinId="9" hidden="1"/>
    <cellStyle name="Followed Hyperlink" xfId="4010" builtinId="9" hidden="1"/>
    <cellStyle name="Followed Hyperlink" xfId="4012" builtinId="9" hidden="1"/>
    <cellStyle name="Followed Hyperlink" xfId="4014" builtinId="9" hidden="1"/>
    <cellStyle name="Followed Hyperlink" xfId="4016" builtinId="9" hidden="1"/>
    <cellStyle name="Followed Hyperlink" xfId="4018" builtinId="9" hidden="1"/>
    <cellStyle name="Followed Hyperlink" xfId="4020" builtinId="9" hidden="1"/>
    <cellStyle name="Followed Hyperlink" xfId="4022" builtinId="9" hidden="1"/>
    <cellStyle name="Followed Hyperlink" xfId="4024" builtinId="9" hidden="1"/>
    <cellStyle name="Followed Hyperlink" xfId="4026" builtinId="9" hidden="1"/>
    <cellStyle name="Followed Hyperlink" xfId="4028" builtinId="9" hidden="1"/>
    <cellStyle name="Followed Hyperlink" xfId="4030" builtinId="9" hidden="1"/>
    <cellStyle name="Followed Hyperlink" xfId="4032" builtinId="9" hidden="1"/>
    <cellStyle name="Followed Hyperlink" xfId="4034" builtinId="9" hidden="1"/>
    <cellStyle name="Followed Hyperlink" xfId="4036" builtinId="9" hidden="1"/>
    <cellStyle name="Followed Hyperlink" xfId="4038" builtinId="9" hidden="1"/>
    <cellStyle name="Followed Hyperlink" xfId="4040" builtinId="9" hidden="1"/>
    <cellStyle name="Followed Hyperlink" xfId="4042" builtinId="9" hidden="1"/>
    <cellStyle name="Followed Hyperlink" xfId="4044" builtinId="9" hidden="1"/>
    <cellStyle name="Followed Hyperlink" xfId="4046" builtinId="9" hidden="1"/>
    <cellStyle name="Followed Hyperlink" xfId="4048" builtinId="9" hidden="1"/>
    <cellStyle name="Followed Hyperlink" xfId="4050" builtinId="9" hidden="1"/>
    <cellStyle name="Followed Hyperlink" xfId="4052" builtinId="9" hidden="1"/>
    <cellStyle name="Followed Hyperlink" xfId="4054" builtinId="9" hidden="1"/>
    <cellStyle name="Followed Hyperlink" xfId="4056" builtinId="9" hidden="1"/>
    <cellStyle name="Followed Hyperlink" xfId="4058" builtinId="9" hidden="1"/>
    <cellStyle name="Followed Hyperlink" xfId="4060" builtinId="9" hidden="1"/>
    <cellStyle name="Followed Hyperlink" xfId="4062" builtinId="9" hidden="1"/>
    <cellStyle name="Followed Hyperlink" xfId="4064" builtinId="9" hidden="1"/>
    <cellStyle name="Followed Hyperlink" xfId="4066" builtinId="9" hidden="1"/>
    <cellStyle name="Followed Hyperlink" xfId="4068" builtinId="9" hidden="1"/>
    <cellStyle name="Followed Hyperlink" xfId="4070" builtinId="9" hidden="1"/>
    <cellStyle name="Followed Hyperlink" xfId="4072" builtinId="9" hidden="1"/>
    <cellStyle name="Followed Hyperlink" xfId="4074" builtinId="9" hidden="1"/>
    <cellStyle name="Followed Hyperlink" xfId="4076" builtinId="9" hidden="1"/>
    <cellStyle name="Followed Hyperlink" xfId="4078" builtinId="9" hidden="1"/>
    <cellStyle name="Followed Hyperlink" xfId="4080" builtinId="9" hidden="1"/>
    <cellStyle name="Followed Hyperlink" xfId="4082" builtinId="9" hidden="1"/>
    <cellStyle name="Followed Hyperlink" xfId="4084" builtinId="9" hidden="1"/>
    <cellStyle name="Followed Hyperlink" xfId="4086" builtinId="9" hidden="1"/>
    <cellStyle name="Followed Hyperlink" xfId="4088" builtinId="9" hidden="1"/>
    <cellStyle name="Followed Hyperlink" xfId="4090" builtinId="9" hidden="1"/>
    <cellStyle name="Followed Hyperlink" xfId="4092" builtinId="9" hidden="1"/>
    <cellStyle name="Followed Hyperlink" xfId="4094" builtinId="9" hidden="1"/>
    <cellStyle name="Followed Hyperlink" xfId="4096" builtinId="9" hidden="1"/>
    <cellStyle name="Followed Hyperlink" xfId="4098" builtinId="9" hidden="1"/>
    <cellStyle name="Followed Hyperlink" xfId="4100" builtinId="9" hidden="1"/>
    <cellStyle name="Followed Hyperlink" xfId="4102" builtinId="9" hidden="1"/>
    <cellStyle name="Followed Hyperlink" xfId="4104" builtinId="9" hidden="1"/>
    <cellStyle name="Followed Hyperlink" xfId="4106" builtinId="9" hidden="1"/>
    <cellStyle name="Followed Hyperlink" xfId="4108" builtinId="9" hidden="1"/>
    <cellStyle name="Followed Hyperlink" xfId="4110" builtinId="9" hidden="1"/>
    <cellStyle name="Followed Hyperlink" xfId="4112" builtinId="9" hidden="1"/>
    <cellStyle name="Followed Hyperlink" xfId="4114" builtinId="9" hidden="1"/>
    <cellStyle name="Followed Hyperlink" xfId="4116" builtinId="9" hidden="1"/>
    <cellStyle name="Followed Hyperlink" xfId="4118" builtinId="9" hidden="1"/>
    <cellStyle name="Followed Hyperlink" xfId="4120" builtinId="9" hidden="1"/>
    <cellStyle name="Followed Hyperlink" xfId="4122" builtinId="9" hidden="1"/>
    <cellStyle name="Followed Hyperlink" xfId="4124" builtinId="9" hidden="1"/>
    <cellStyle name="Followed Hyperlink" xfId="4126" builtinId="9" hidden="1"/>
    <cellStyle name="Followed Hyperlink" xfId="4128" builtinId="9" hidden="1"/>
    <cellStyle name="Followed Hyperlink" xfId="4130" builtinId="9" hidden="1"/>
    <cellStyle name="Followed Hyperlink" xfId="4132" builtinId="9" hidden="1"/>
    <cellStyle name="Followed Hyperlink" xfId="4134" builtinId="9" hidden="1"/>
    <cellStyle name="Followed Hyperlink" xfId="4136" builtinId="9" hidden="1"/>
    <cellStyle name="Followed Hyperlink" xfId="4138" builtinId="9" hidden="1"/>
    <cellStyle name="Followed Hyperlink" xfId="4140" builtinId="9" hidden="1"/>
    <cellStyle name="Followed Hyperlink" xfId="4142" builtinId="9" hidden="1"/>
    <cellStyle name="Followed Hyperlink" xfId="4144" builtinId="9" hidden="1"/>
    <cellStyle name="Followed Hyperlink" xfId="4146" builtinId="9" hidden="1"/>
    <cellStyle name="Followed Hyperlink" xfId="4148" builtinId="9" hidden="1"/>
    <cellStyle name="Followed Hyperlink" xfId="4150" builtinId="9" hidden="1"/>
    <cellStyle name="Followed Hyperlink" xfId="4152" builtinId="9" hidden="1"/>
    <cellStyle name="Followed Hyperlink" xfId="4154" builtinId="9" hidden="1"/>
    <cellStyle name="Followed Hyperlink" xfId="4156" builtinId="9" hidden="1"/>
    <cellStyle name="Followed Hyperlink" xfId="4158" builtinId="9" hidden="1"/>
    <cellStyle name="Followed Hyperlink" xfId="4160" builtinId="9" hidden="1"/>
    <cellStyle name="Followed Hyperlink" xfId="4162" builtinId="9" hidden="1"/>
    <cellStyle name="Followed Hyperlink" xfId="4164" builtinId="9" hidden="1"/>
    <cellStyle name="Followed Hyperlink" xfId="4166" builtinId="9" hidden="1"/>
    <cellStyle name="Followed Hyperlink" xfId="4168" builtinId="9" hidden="1"/>
    <cellStyle name="Followed Hyperlink" xfId="4170" builtinId="9" hidden="1"/>
    <cellStyle name="Followed Hyperlink" xfId="4172" builtinId="9" hidden="1"/>
    <cellStyle name="Followed Hyperlink" xfId="4174" builtinId="9" hidden="1"/>
    <cellStyle name="Followed Hyperlink" xfId="4176" builtinId="9" hidden="1"/>
    <cellStyle name="Followed Hyperlink" xfId="4178" builtinId="9" hidden="1"/>
    <cellStyle name="Followed Hyperlink" xfId="4180" builtinId="9" hidden="1"/>
    <cellStyle name="Followed Hyperlink" xfId="4182" builtinId="9" hidden="1"/>
    <cellStyle name="Followed Hyperlink" xfId="4184" builtinId="9" hidden="1"/>
    <cellStyle name="Followed Hyperlink" xfId="4186" builtinId="9" hidden="1"/>
    <cellStyle name="Followed Hyperlink" xfId="4188" builtinId="9" hidden="1"/>
    <cellStyle name="Followed Hyperlink" xfId="4190" builtinId="9" hidden="1"/>
    <cellStyle name="Followed Hyperlink" xfId="4192" builtinId="9" hidden="1"/>
    <cellStyle name="Followed Hyperlink" xfId="4194" builtinId="9" hidden="1"/>
    <cellStyle name="Followed Hyperlink" xfId="4196" builtinId="9" hidden="1"/>
    <cellStyle name="Followed Hyperlink" xfId="4198" builtinId="9" hidden="1"/>
    <cellStyle name="Followed Hyperlink" xfId="4200" builtinId="9" hidden="1"/>
    <cellStyle name="Followed Hyperlink" xfId="4202" builtinId="9" hidden="1"/>
    <cellStyle name="Followed Hyperlink" xfId="4204" builtinId="9" hidden="1"/>
    <cellStyle name="Followed Hyperlink" xfId="4206" builtinId="9" hidden="1"/>
    <cellStyle name="Followed Hyperlink" xfId="4208" builtinId="9" hidden="1"/>
    <cellStyle name="Followed Hyperlink" xfId="4210" builtinId="9" hidden="1"/>
    <cellStyle name="Followed Hyperlink" xfId="4212" builtinId="9" hidden="1"/>
    <cellStyle name="Followed Hyperlink" xfId="4214" builtinId="9" hidden="1"/>
    <cellStyle name="Followed Hyperlink" xfId="4216" builtinId="9" hidden="1"/>
    <cellStyle name="Followed Hyperlink" xfId="4218" builtinId="9" hidden="1"/>
    <cellStyle name="Followed Hyperlink" xfId="4220" builtinId="9" hidden="1"/>
    <cellStyle name="Followed Hyperlink" xfId="4222" builtinId="9" hidden="1"/>
    <cellStyle name="Followed Hyperlink" xfId="4224" builtinId="9" hidden="1"/>
    <cellStyle name="Followed Hyperlink" xfId="4226" builtinId="9" hidden="1"/>
    <cellStyle name="Followed Hyperlink" xfId="4228" builtinId="9" hidden="1"/>
    <cellStyle name="Followed Hyperlink" xfId="4230" builtinId="9" hidden="1"/>
    <cellStyle name="Followed Hyperlink" xfId="4232" builtinId="9" hidden="1"/>
    <cellStyle name="Followed Hyperlink" xfId="4234" builtinId="9" hidden="1"/>
    <cellStyle name="Followed Hyperlink" xfId="4236" builtinId="9" hidden="1"/>
    <cellStyle name="Followed Hyperlink" xfId="4238" builtinId="9" hidden="1"/>
    <cellStyle name="Followed Hyperlink" xfId="4240" builtinId="9" hidden="1"/>
    <cellStyle name="Followed Hyperlink" xfId="4242" builtinId="9" hidden="1"/>
    <cellStyle name="Followed Hyperlink" xfId="4244" builtinId="9" hidden="1"/>
    <cellStyle name="Followed Hyperlink" xfId="4246" builtinId="9" hidden="1"/>
    <cellStyle name="Followed Hyperlink" xfId="4248" builtinId="9" hidden="1"/>
    <cellStyle name="Followed Hyperlink" xfId="4250" builtinId="9" hidden="1"/>
    <cellStyle name="Followed Hyperlink" xfId="4252" builtinId="9" hidden="1"/>
    <cellStyle name="Followed Hyperlink" xfId="4254" builtinId="9" hidden="1"/>
    <cellStyle name="Followed Hyperlink" xfId="4256" builtinId="9" hidden="1"/>
    <cellStyle name="Followed Hyperlink" xfId="4258" builtinId="9" hidden="1"/>
    <cellStyle name="Followed Hyperlink" xfId="4260" builtinId="9" hidden="1"/>
    <cellStyle name="Followed Hyperlink" xfId="4262" builtinId="9" hidden="1"/>
    <cellStyle name="Followed Hyperlink" xfId="4264" builtinId="9" hidden="1"/>
    <cellStyle name="Followed Hyperlink" xfId="4266" builtinId="9" hidden="1"/>
    <cellStyle name="Followed Hyperlink" xfId="4268" builtinId="9" hidden="1"/>
    <cellStyle name="Followed Hyperlink" xfId="4270" builtinId="9" hidden="1"/>
    <cellStyle name="Followed Hyperlink" xfId="4272" builtinId="9" hidden="1"/>
    <cellStyle name="Followed Hyperlink" xfId="4274" builtinId="9" hidden="1"/>
    <cellStyle name="Followed Hyperlink" xfId="4276" builtinId="9" hidden="1"/>
    <cellStyle name="Followed Hyperlink" xfId="4278" builtinId="9" hidden="1"/>
    <cellStyle name="Followed Hyperlink" xfId="4280" builtinId="9" hidden="1"/>
    <cellStyle name="Followed Hyperlink" xfId="4282" builtinId="9" hidden="1"/>
    <cellStyle name="Followed Hyperlink" xfId="4284" builtinId="9" hidden="1"/>
    <cellStyle name="Followed Hyperlink" xfId="4286" builtinId="9" hidden="1"/>
    <cellStyle name="Followed Hyperlink" xfId="4288" builtinId="9" hidden="1"/>
    <cellStyle name="Followed Hyperlink" xfId="4290" builtinId="9" hidden="1"/>
    <cellStyle name="Followed Hyperlink" xfId="4292" builtinId="9" hidden="1"/>
    <cellStyle name="Followed Hyperlink" xfId="4294" builtinId="9" hidden="1"/>
    <cellStyle name="Followed Hyperlink" xfId="4296" builtinId="9" hidden="1"/>
    <cellStyle name="Followed Hyperlink" xfId="4298" builtinId="9" hidden="1"/>
    <cellStyle name="Followed Hyperlink" xfId="4300" builtinId="9" hidden="1"/>
    <cellStyle name="Followed Hyperlink" xfId="4302" builtinId="9" hidden="1"/>
    <cellStyle name="Followed Hyperlink" xfId="4304" builtinId="9" hidden="1"/>
    <cellStyle name="Followed Hyperlink" xfId="4306" builtinId="9" hidden="1"/>
    <cellStyle name="Followed Hyperlink" xfId="4308" builtinId="9" hidden="1"/>
    <cellStyle name="Followed Hyperlink" xfId="4310" builtinId="9" hidden="1"/>
    <cellStyle name="Followed Hyperlink" xfId="4312" builtinId="9" hidden="1"/>
    <cellStyle name="Followed Hyperlink" xfId="4314" builtinId="9" hidden="1"/>
    <cellStyle name="Followed Hyperlink" xfId="4316" builtinId="9" hidden="1"/>
    <cellStyle name="Followed Hyperlink" xfId="4318" builtinId="9" hidden="1"/>
    <cellStyle name="Followed Hyperlink" xfId="4320" builtinId="9" hidden="1"/>
    <cellStyle name="Followed Hyperlink" xfId="4322" builtinId="9" hidden="1"/>
    <cellStyle name="Followed Hyperlink" xfId="4324" builtinId="9" hidden="1"/>
    <cellStyle name="Followed Hyperlink" xfId="4326" builtinId="9" hidden="1"/>
    <cellStyle name="Followed Hyperlink" xfId="4328" builtinId="9" hidden="1"/>
    <cellStyle name="Followed Hyperlink" xfId="4330" builtinId="9" hidden="1"/>
    <cellStyle name="Followed Hyperlink" xfId="4332" builtinId="9" hidden="1"/>
    <cellStyle name="Followed Hyperlink" xfId="4334" builtinId="9" hidden="1"/>
    <cellStyle name="Followed Hyperlink" xfId="4336" builtinId="9" hidden="1"/>
    <cellStyle name="Followed Hyperlink" xfId="4338" builtinId="9" hidden="1"/>
    <cellStyle name="Followed Hyperlink" xfId="4340" builtinId="9" hidden="1"/>
    <cellStyle name="Followed Hyperlink" xfId="4342" builtinId="9" hidden="1"/>
    <cellStyle name="Followed Hyperlink" xfId="4344" builtinId="9" hidden="1"/>
    <cellStyle name="Followed Hyperlink" xfId="4346" builtinId="9" hidden="1"/>
    <cellStyle name="Followed Hyperlink" xfId="4348" builtinId="9" hidden="1"/>
    <cellStyle name="Followed Hyperlink" xfId="4350" builtinId="9" hidden="1"/>
    <cellStyle name="Followed Hyperlink" xfId="4352" builtinId="9" hidden="1"/>
    <cellStyle name="Followed Hyperlink" xfId="4354" builtinId="9" hidden="1"/>
    <cellStyle name="Followed Hyperlink" xfId="4356" builtinId="9" hidden="1"/>
    <cellStyle name="Followed Hyperlink" xfId="4358" builtinId="9" hidden="1"/>
    <cellStyle name="Followed Hyperlink" xfId="4360" builtinId="9" hidden="1"/>
    <cellStyle name="Followed Hyperlink" xfId="4362" builtinId="9" hidden="1"/>
    <cellStyle name="Followed Hyperlink" xfId="4364" builtinId="9" hidden="1"/>
    <cellStyle name="Followed Hyperlink" xfId="4366" builtinId="9" hidden="1"/>
    <cellStyle name="Followed Hyperlink" xfId="4368" builtinId="9" hidden="1"/>
    <cellStyle name="Followed Hyperlink" xfId="4370" builtinId="9" hidden="1"/>
    <cellStyle name="Followed Hyperlink" xfId="4372" builtinId="9" hidden="1"/>
    <cellStyle name="Followed Hyperlink" xfId="4374" builtinId="9" hidden="1"/>
    <cellStyle name="Followed Hyperlink" xfId="4376" builtinId="9" hidden="1"/>
    <cellStyle name="Followed Hyperlink" xfId="4378" builtinId="9" hidden="1"/>
    <cellStyle name="Followed Hyperlink" xfId="4380" builtinId="9" hidden="1"/>
    <cellStyle name="Followed Hyperlink" xfId="4382" builtinId="9" hidden="1"/>
    <cellStyle name="Followed Hyperlink" xfId="4384" builtinId="9" hidden="1"/>
    <cellStyle name="Followed Hyperlink" xfId="4386" builtinId="9" hidden="1"/>
    <cellStyle name="Followed Hyperlink" xfId="4388" builtinId="9" hidden="1"/>
    <cellStyle name="Followed Hyperlink" xfId="4390" builtinId="9" hidden="1"/>
    <cellStyle name="Followed Hyperlink" xfId="4392" builtinId="9" hidden="1"/>
    <cellStyle name="Followed Hyperlink" xfId="4394" builtinId="9" hidden="1"/>
    <cellStyle name="Followed Hyperlink" xfId="4396" builtinId="9" hidden="1"/>
    <cellStyle name="Followed Hyperlink" xfId="4398" builtinId="9" hidden="1"/>
    <cellStyle name="Followed Hyperlink" xfId="4400" builtinId="9" hidden="1"/>
    <cellStyle name="Followed Hyperlink" xfId="4402" builtinId="9" hidden="1"/>
    <cellStyle name="Followed Hyperlink" xfId="4404" builtinId="9" hidden="1"/>
    <cellStyle name="Followed Hyperlink" xfId="4406" builtinId="9" hidden="1"/>
    <cellStyle name="Followed Hyperlink" xfId="4408" builtinId="9" hidden="1"/>
    <cellStyle name="Followed Hyperlink" xfId="4410" builtinId="9" hidden="1"/>
    <cellStyle name="Followed Hyperlink" xfId="4412" builtinId="9" hidden="1"/>
    <cellStyle name="Followed Hyperlink" xfId="4414" builtinId="9" hidden="1"/>
    <cellStyle name="Followed Hyperlink" xfId="4416" builtinId="9" hidden="1"/>
    <cellStyle name="Followed Hyperlink" xfId="4418" builtinId="9" hidden="1"/>
    <cellStyle name="Followed Hyperlink" xfId="4420" builtinId="9" hidden="1"/>
    <cellStyle name="Followed Hyperlink" xfId="4422" builtinId="9" hidden="1"/>
    <cellStyle name="Followed Hyperlink" xfId="4424" builtinId="9" hidden="1"/>
    <cellStyle name="Followed Hyperlink" xfId="4426" builtinId="9" hidden="1"/>
    <cellStyle name="Followed Hyperlink" xfId="4428" builtinId="9" hidden="1"/>
    <cellStyle name="Followed Hyperlink" xfId="4430" builtinId="9" hidden="1"/>
    <cellStyle name="Followed Hyperlink" xfId="4432" builtinId="9" hidden="1"/>
    <cellStyle name="Followed Hyperlink" xfId="4434" builtinId="9" hidden="1"/>
    <cellStyle name="Followed Hyperlink" xfId="4436" builtinId="9" hidden="1"/>
    <cellStyle name="Followed Hyperlink" xfId="4438" builtinId="9" hidden="1"/>
    <cellStyle name="Followed Hyperlink" xfId="4440" builtinId="9" hidden="1"/>
    <cellStyle name="Followed Hyperlink" xfId="4442" builtinId="9" hidden="1"/>
    <cellStyle name="Followed Hyperlink" xfId="4444" builtinId="9" hidden="1"/>
    <cellStyle name="Followed Hyperlink" xfId="4446" builtinId="9" hidden="1"/>
    <cellStyle name="Followed Hyperlink" xfId="4448" builtinId="9" hidden="1"/>
    <cellStyle name="Followed Hyperlink" xfId="4450" builtinId="9" hidden="1"/>
    <cellStyle name="Followed Hyperlink" xfId="4452" builtinId="9" hidden="1"/>
    <cellStyle name="Followed Hyperlink" xfId="4454" builtinId="9" hidden="1"/>
    <cellStyle name="Followed Hyperlink" xfId="4456" builtinId="9" hidden="1"/>
    <cellStyle name="Followed Hyperlink" xfId="4458" builtinId="9" hidden="1"/>
    <cellStyle name="Followed Hyperlink" xfId="4460" builtinId="9" hidden="1"/>
    <cellStyle name="Followed Hyperlink" xfId="4462" builtinId="9" hidden="1"/>
    <cellStyle name="Followed Hyperlink" xfId="4464" builtinId="9" hidden="1"/>
    <cellStyle name="Followed Hyperlink" xfId="4466" builtinId="9" hidden="1"/>
    <cellStyle name="Followed Hyperlink" xfId="4468" builtinId="9" hidden="1"/>
    <cellStyle name="Followed Hyperlink" xfId="4470" builtinId="9" hidden="1"/>
    <cellStyle name="Followed Hyperlink" xfId="4472" builtinId="9" hidden="1"/>
    <cellStyle name="Followed Hyperlink" xfId="4474" builtinId="9" hidden="1"/>
    <cellStyle name="Followed Hyperlink" xfId="4476" builtinId="9" hidden="1"/>
    <cellStyle name="Followed Hyperlink" xfId="4478" builtinId="9" hidden="1"/>
    <cellStyle name="Followed Hyperlink" xfId="4480" builtinId="9" hidden="1"/>
    <cellStyle name="Followed Hyperlink" xfId="4482" builtinId="9" hidden="1"/>
    <cellStyle name="Followed Hyperlink" xfId="4484" builtinId="9" hidden="1"/>
    <cellStyle name="Followed Hyperlink" xfId="4486" builtinId="9" hidden="1"/>
    <cellStyle name="Followed Hyperlink" xfId="4488" builtinId="9" hidden="1"/>
    <cellStyle name="Followed Hyperlink" xfId="4490" builtinId="9" hidden="1"/>
    <cellStyle name="Followed Hyperlink" xfId="4492" builtinId="9" hidden="1"/>
    <cellStyle name="Followed Hyperlink" xfId="4494" builtinId="9" hidden="1"/>
    <cellStyle name="Followed Hyperlink" xfId="4496" builtinId="9" hidden="1"/>
    <cellStyle name="Followed Hyperlink" xfId="4498" builtinId="9" hidden="1"/>
    <cellStyle name="Followed Hyperlink" xfId="4500" builtinId="9" hidden="1"/>
    <cellStyle name="Followed Hyperlink" xfId="4502" builtinId="9" hidden="1"/>
    <cellStyle name="Followed Hyperlink" xfId="4504" builtinId="9" hidden="1"/>
    <cellStyle name="Followed Hyperlink" xfId="4506" builtinId="9" hidden="1"/>
    <cellStyle name="Followed Hyperlink" xfId="4508" builtinId="9" hidden="1"/>
    <cellStyle name="Followed Hyperlink" xfId="4510" builtinId="9" hidden="1"/>
    <cellStyle name="Followed Hyperlink" xfId="4512" builtinId="9" hidden="1"/>
    <cellStyle name="Followed Hyperlink" xfId="4514" builtinId="9" hidden="1"/>
    <cellStyle name="Followed Hyperlink" xfId="4516" builtinId="9" hidden="1"/>
    <cellStyle name="Followed Hyperlink" xfId="4518" builtinId="9" hidden="1"/>
    <cellStyle name="Followed Hyperlink" xfId="4520" builtinId="9" hidden="1"/>
    <cellStyle name="Followed Hyperlink" xfId="4522" builtinId="9" hidden="1"/>
    <cellStyle name="Followed Hyperlink" xfId="4524" builtinId="9" hidden="1"/>
    <cellStyle name="Followed Hyperlink" xfId="4526" builtinId="9" hidden="1"/>
    <cellStyle name="Followed Hyperlink" xfId="4528" builtinId="9" hidden="1"/>
    <cellStyle name="Followed Hyperlink" xfId="4530" builtinId="9" hidden="1"/>
    <cellStyle name="Followed Hyperlink" xfId="4532" builtinId="9" hidden="1"/>
    <cellStyle name="Followed Hyperlink" xfId="4534" builtinId="9" hidden="1"/>
    <cellStyle name="Followed Hyperlink" xfId="4536" builtinId="9" hidden="1"/>
    <cellStyle name="Followed Hyperlink" xfId="4538" builtinId="9" hidden="1"/>
    <cellStyle name="Followed Hyperlink" xfId="4540" builtinId="9" hidden="1"/>
    <cellStyle name="Followed Hyperlink" xfId="4542" builtinId="9" hidden="1"/>
    <cellStyle name="Followed Hyperlink" xfId="4544" builtinId="9" hidden="1"/>
    <cellStyle name="Followed Hyperlink" xfId="4546" builtinId="9" hidden="1"/>
    <cellStyle name="Followed Hyperlink" xfId="4548" builtinId="9" hidden="1"/>
    <cellStyle name="Followed Hyperlink" xfId="4550" builtinId="9" hidden="1"/>
    <cellStyle name="Followed Hyperlink" xfId="4552" builtinId="9" hidden="1"/>
    <cellStyle name="Followed Hyperlink" xfId="4554" builtinId="9" hidden="1"/>
    <cellStyle name="Followed Hyperlink" xfId="4556" builtinId="9" hidden="1"/>
    <cellStyle name="Followed Hyperlink" xfId="4558" builtinId="9" hidden="1"/>
    <cellStyle name="Followed Hyperlink" xfId="4560" builtinId="9" hidden="1"/>
    <cellStyle name="Followed Hyperlink" xfId="4562" builtinId="9" hidden="1"/>
    <cellStyle name="Followed Hyperlink" xfId="4564" builtinId="9" hidden="1"/>
    <cellStyle name="Followed Hyperlink" xfId="4566" builtinId="9" hidden="1"/>
    <cellStyle name="Followed Hyperlink" xfId="4568" builtinId="9" hidden="1"/>
    <cellStyle name="Followed Hyperlink" xfId="4570" builtinId="9" hidden="1"/>
    <cellStyle name="Followed Hyperlink" xfId="4572" builtinId="9" hidden="1"/>
    <cellStyle name="Followed Hyperlink" xfId="4574" builtinId="9" hidden="1"/>
    <cellStyle name="Followed Hyperlink" xfId="4576" builtinId="9" hidden="1"/>
    <cellStyle name="Followed Hyperlink" xfId="4578" builtinId="9" hidden="1"/>
    <cellStyle name="Followed Hyperlink" xfId="4580" builtinId="9" hidden="1"/>
    <cellStyle name="Followed Hyperlink" xfId="4582" builtinId="9" hidden="1"/>
    <cellStyle name="Followed Hyperlink" xfId="4584" builtinId="9" hidden="1"/>
    <cellStyle name="Followed Hyperlink" xfId="4586" builtinId="9" hidden="1"/>
    <cellStyle name="Followed Hyperlink" xfId="4588" builtinId="9" hidden="1"/>
    <cellStyle name="Followed Hyperlink" xfId="4590" builtinId="9" hidden="1"/>
    <cellStyle name="Followed Hyperlink" xfId="4592" builtinId="9" hidden="1"/>
    <cellStyle name="Followed Hyperlink" xfId="4594" builtinId="9" hidden="1"/>
    <cellStyle name="Followed Hyperlink" xfId="4596" builtinId="9" hidden="1"/>
    <cellStyle name="Followed Hyperlink" xfId="4598" builtinId="9" hidden="1"/>
    <cellStyle name="Followed Hyperlink" xfId="4600" builtinId="9" hidden="1"/>
    <cellStyle name="Followed Hyperlink" xfId="4602" builtinId="9" hidden="1"/>
    <cellStyle name="Followed Hyperlink" xfId="4604" builtinId="9" hidden="1"/>
    <cellStyle name="Followed Hyperlink" xfId="4606" builtinId="9" hidden="1"/>
    <cellStyle name="Followed Hyperlink" xfId="4608" builtinId="9" hidden="1"/>
    <cellStyle name="Followed Hyperlink" xfId="4610" builtinId="9" hidden="1"/>
    <cellStyle name="Followed Hyperlink" xfId="4612" builtinId="9" hidden="1"/>
    <cellStyle name="Followed Hyperlink" xfId="4614" builtinId="9" hidden="1"/>
    <cellStyle name="Followed Hyperlink" xfId="4616" builtinId="9" hidden="1"/>
    <cellStyle name="Followed Hyperlink" xfId="4618" builtinId="9" hidden="1"/>
    <cellStyle name="Followed Hyperlink" xfId="4620" builtinId="9" hidden="1"/>
    <cellStyle name="Followed Hyperlink" xfId="4622" builtinId="9" hidden="1"/>
    <cellStyle name="Followed Hyperlink" xfId="4624" builtinId="9" hidden="1"/>
    <cellStyle name="Followed Hyperlink" xfId="4626" builtinId="9" hidden="1"/>
    <cellStyle name="Followed Hyperlink" xfId="4628" builtinId="9" hidden="1"/>
    <cellStyle name="Followed Hyperlink" xfId="4630" builtinId="9" hidden="1"/>
    <cellStyle name="Followed Hyperlink" xfId="4632" builtinId="9" hidden="1"/>
    <cellStyle name="Followed Hyperlink" xfId="4634" builtinId="9" hidden="1"/>
    <cellStyle name="Followed Hyperlink" xfId="4636" builtinId="9" hidden="1"/>
    <cellStyle name="Followed Hyperlink" xfId="4638" builtinId="9" hidden="1"/>
    <cellStyle name="Followed Hyperlink" xfId="4640" builtinId="9" hidden="1"/>
    <cellStyle name="Followed Hyperlink" xfId="4642" builtinId="9" hidden="1"/>
    <cellStyle name="Followed Hyperlink" xfId="4644" builtinId="9" hidden="1"/>
    <cellStyle name="Followed Hyperlink" xfId="4646" builtinId="9" hidden="1"/>
    <cellStyle name="Followed Hyperlink" xfId="4648" builtinId="9" hidden="1"/>
    <cellStyle name="Followed Hyperlink" xfId="4650" builtinId="9" hidden="1"/>
    <cellStyle name="Followed Hyperlink" xfId="4652" builtinId="9" hidden="1"/>
    <cellStyle name="Followed Hyperlink" xfId="4654" builtinId="9" hidden="1"/>
    <cellStyle name="Followed Hyperlink" xfId="4656" builtinId="9" hidden="1"/>
    <cellStyle name="Followed Hyperlink" xfId="4658" builtinId="9" hidden="1"/>
    <cellStyle name="Followed Hyperlink" xfId="4660" builtinId="9" hidden="1"/>
    <cellStyle name="Followed Hyperlink" xfId="4662" builtinId="9" hidden="1"/>
    <cellStyle name="Followed Hyperlink" xfId="4664" builtinId="9" hidden="1"/>
    <cellStyle name="Followed Hyperlink" xfId="4666" builtinId="9" hidden="1"/>
    <cellStyle name="Followed Hyperlink" xfId="4668" builtinId="9" hidden="1"/>
    <cellStyle name="Followed Hyperlink" xfId="4670" builtinId="9" hidden="1"/>
    <cellStyle name="Followed Hyperlink" xfId="4672" builtinId="9" hidden="1"/>
    <cellStyle name="Followed Hyperlink" xfId="4674" builtinId="9" hidden="1"/>
    <cellStyle name="Followed Hyperlink" xfId="4676" builtinId="9" hidden="1"/>
    <cellStyle name="Followed Hyperlink" xfId="4678" builtinId="9" hidden="1"/>
    <cellStyle name="Followed Hyperlink" xfId="4680" builtinId="9" hidden="1"/>
    <cellStyle name="Followed Hyperlink" xfId="4682" builtinId="9" hidden="1"/>
    <cellStyle name="Followed Hyperlink" xfId="4684" builtinId="9" hidden="1"/>
    <cellStyle name="Followed Hyperlink" xfId="4686" builtinId="9" hidden="1"/>
    <cellStyle name="Followed Hyperlink" xfId="4688" builtinId="9" hidden="1"/>
    <cellStyle name="Followed Hyperlink" xfId="4690" builtinId="9" hidden="1"/>
    <cellStyle name="Followed Hyperlink" xfId="4692" builtinId="9" hidden="1"/>
    <cellStyle name="Followed Hyperlink" xfId="4694" builtinId="9" hidden="1"/>
    <cellStyle name="Followed Hyperlink" xfId="4696" builtinId="9" hidden="1"/>
    <cellStyle name="Followed Hyperlink" xfId="4698" builtinId="9" hidden="1"/>
    <cellStyle name="Followed Hyperlink" xfId="4700" builtinId="9" hidden="1"/>
    <cellStyle name="Followed Hyperlink" xfId="4702" builtinId="9" hidden="1"/>
    <cellStyle name="Followed Hyperlink" xfId="4704" builtinId="9" hidden="1"/>
    <cellStyle name="Followed Hyperlink" xfId="4706" builtinId="9" hidden="1"/>
    <cellStyle name="Followed Hyperlink" xfId="4708" builtinId="9" hidden="1"/>
    <cellStyle name="Followed Hyperlink" xfId="4710" builtinId="9" hidden="1"/>
    <cellStyle name="Followed Hyperlink" xfId="4712" builtinId="9" hidden="1"/>
    <cellStyle name="Followed Hyperlink" xfId="4714" builtinId="9" hidden="1"/>
    <cellStyle name="Followed Hyperlink" xfId="4716" builtinId="9" hidden="1"/>
    <cellStyle name="Followed Hyperlink" xfId="4718" builtinId="9" hidden="1"/>
    <cellStyle name="Followed Hyperlink" xfId="4720" builtinId="9" hidden="1"/>
    <cellStyle name="Followed Hyperlink" xfId="4722" builtinId="9" hidden="1"/>
    <cellStyle name="Followed Hyperlink" xfId="4724" builtinId="9" hidden="1"/>
    <cellStyle name="Followed Hyperlink" xfId="4726" builtinId="9" hidden="1"/>
    <cellStyle name="Followed Hyperlink" xfId="4728" builtinId="9" hidden="1"/>
    <cellStyle name="Followed Hyperlink" xfId="4730" builtinId="9" hidden="1"/>
    <cellStyle name="Followed Hyperlink" xfId="4732" builtinId="9" hidden="1"/>
    <cellStyle name="Followed Hyperlink" xfId="4734" builtinId="9" hidden="1"/>
    <cellStyle name="Followed Hyperlink" xfId="4736" builtinId="9" hidden="1"/>
    <cellStyle name="Followed Hyperlink" xfId="4738" builtinId="9" hidden="1"/>
    <cellStyle name="Followed Hyperlink" xfId="4740" builtinId="9" hidden="1"/>
    <cellStyle name="Followed Hyperlink" xfId="4742" builtinId="9" hidden="1"/>
    <cellStyle name="Followed Hyperlink" xfId="4744" builtinId="9" hidden="1"/>
    <cellStyle name="Followed Hyperlink" xfId="4746" builtinId="9" hidden="1"/>
    <cellStyle name="Followed Hyperlink" xfId="4748" builtinId="9" hidden="1"/>
    <cellStyle name="Followed Hyperlink" xfId="4750" builtinId="9" hidden="1"/>
    <cellStyle name="Followed Hyperlink" xfId="4752" builtinId="9" hidden="1"/>
    <cellStyle name="Followed Hyperlink" xfId="4754" builtinId="9" hidden="1"/>
    <cellStyle name="Followed Hyperlink" xfId="4756" builtinId="9" hidden="1"/>
    <cellStyle name="Followed Hyperlink" xfId="4758" builtinId="9" hidden="1"/>
    <cellStyle name="Followed Hyperlink" xfId="4760" builtinId="9" hidden="1"/>
    <cellStyle name="Followed Hyperlink" xfId="4762" builtinId="9" hidden="1"/>
    <cellStyle name="Followed Hyperlink" xfId="4764" builtinId="9" hidden="1"/>
    <cellStyle name="Followed Hyperlink" xfId="4766" builtinId="9" hidden="1"/>
    <cellStyle name="Followed Hyperlink" xfId="4768" builtinId="9" hidden="1"/>
    <cellStyle name="Followed Hyperlink" xfId="4770" builtinId="9" hidden="1"/>
    <cellStyle name="Followed Hyperlink" xfId="4772" builtinId="9" hidden="1"/>
    <cellStyle name="Followed Hyperlink" xfId="4774" builtinId="9" hidden="1"/>
    <cellStyle name="Followed Hyperlink" xfId="4776" builtinId="9" hidden="1"/>
    <cellStyle name="Followed Hyperlink" xfId="4778" builtinId="9" hidden="1"/>
    <cellStyle name="Followed Hyperlink" xfId="4780" builtinId="9" hidden="1"/>
    <cellStyle name="Followed Hyperlink" xfId="4782" builtinId="9" hidden="1"/>
    <cellStyle name="Followed Hyperlink" xfId="4784" builtinId="9" hidden="1"/>
    <cellStyle name="Followed Hyperlink" xfId="4786" builtinId="9" hidden="1"/>
    <cellStyle name="Followed Hyperlink" xfId="4788" builtinId="9" hidden="1"/>
    <cellStyle name="Followed Hyperlink" xfId="4790" builtinId="9" hidden="1"/>
    <cellStyle name="Followed Hyperlink" xfId="4792" builtinId="9" hidden="1"/>
    <cellStyle name="Followed Hyperlink" xfId="4794" builtinId="9" hidden="1"/>
    <cellStyle name="Followed Hyperlink" xfId="4796" builtinId="9" hidden="1"/>
    <cellStyle name="Followed Hyperlink" xfId="4798" builtinId="9" hidden="1"/>
    <cellStyle name="Followed Hyperlink" xfId="4800" builtinId="9" hidden="1"/>
    <cellStyle name="Followed Hyperlink" xfId="4802" builtinId="9" hidden="1"/>
    <cellStyle name="Followed Hyperlink" xfId="4804" builtinId="9" hidden="1"/>
    <cellStyle name="Followed Hyperlink" xfId="4806" builtinId="9" hidden="1"/>
    <cellStyle name="Followed Hyperlink" xfId="4808" builtinId="9" hidden="1"/>
    <cellStyle name="Followed Hyperlink" xfId="4810" builtinId="9" hidden="1"/>
    <cellStyle name="Followed Hyperlink" xfId="4812" builtinId="9" hidden="1"/>
    <cellStyle name="Followed Hyperlink" xfId="4814" builtinId="9" hidden="1"/>
    <cellStyle name="Followed Hyperlink" xfId="4816" builtinId="9" hidden="1"/>
    <cellStyle name="Followed Hyperlink" xfId="4818" builtinId="9" hidden="1"/>
    <cellStyle name="Followed Hyperlink" xfId="4820" builtinId="9" hidden="1"/>
    <cellStyle name="Followed Hyperlink" xfId="4822" builtinId="9" hidden="1"/>
    <cellStyle name="Followed Hyperlink" xfId="4824" builtinId="9" hidden="1"/>
    <cellStyle name="Followed Hyperlink" xfId="4826" builtinId="9" hidden="1"/>
    <cellStyle name="Followed Hyperlink" xfId="4828" builtinId="9" hidden="1"/>
    <cellStyle name="Followed Hyperlink" xfId="4830" builtinId="9" hidden="1"/>
    <cellStyle name="Followed Hyperlink" xfId="4832" builtinId="9" hidden="1"/>
    <cellStyle name="Followed Hyperlink" xfId="4834" builtinId="9" hidden="1"/>
    <cellStyle name="Followed Hyperlink" xfId="4836" builtinId="9" hidden="1"/>
    <cellStyle name="Followed Hyperlink" xfId="4838" builtinId="9" hidden="1"/>
    <cellStyle name="Followed Hyperlink" xfId="4840" builtinId="9" hidden="1"/>
    <cellStyle name="Followed Hyperlink" xfId="4842" builtinId="9" hidden="1"/>
    <cellStyle name="Followed Hyperlink" xfId="4844" builtinId="9" hidden="1"/>
    <cellStyle name="Followed Hyperlink" xfId="4846" builtinId="9" hidden="1"/>
    <cellStyle name="Followed Hyperlink" xfId="4848" builtinId="9" hidden="1"/>
    <cellStyle name="Followed Hyperlink" xfId="4850" builtinId="9" hidden="1"/>
    <cellStyle name="Followed Hyperlink" xfId="4852" builtinId="9" hidden="1"/>
    <cellStyle name="Followed Hyperlink" xfId="4854" builtinId="9" hidden="1"/>
    <cellStyle name="Followed Hyperlink" xfId="4856" builtinId="9" hidden="1"/>
    <cellStyle name="Followed Hyperlink" xfId="4858" builtinId="9" hidden="1"/>
    <cellStyle name="Followed Hyperlink" xfId="4860" builtinId="9" hidden="1"/>
    <cellStyle name="Followed Hyperlink" xfId="4862" builtinId="9" hidden="1"/>
    <cellStyle name="Followed Hyperlink" xfId="4864" builtinId="9" hidden="1"/>
    <cellStyle name="Followed Hyperlink" xfId="4866" builtinId="9" hidden="1"/>
    <cellStyle name="Followed Hyperlink" xfId="4868" builtinId="9" hidden="1"/>
    <cellStyle name="Followed Hyperlink" xfId="4870" builtinId="9" hidden="1"/>
    <cellStyle name="Followed Hyperlink" xfId="4872" builtinId="9" hidden="1"/>
    <cellStyle name="Followed Hyperlink" xfId="4874" builtinId="9" hidden="1"/>
    <cellStyle name="Followed Hyperlink" xfId="4876" builtinId="9" hidden="1"/>
    <cellStyle name="Followed Hyperlink" xfId="4878" builtinId="9" hidden="1"/>
    <cellStyle name="Followed Hyperlink" xfId="4880" builtinId="9" hidden="1"/>
    <cellStyle name="Followed Hyperlink" xfId="4882" builtinId="9" hidden="1"/>
    <cellStyle name="Followed Hyperlink" xfId="4884" builtinId="9" hidden="1"/>
    <cellStyle name="Followed Hyperlink" xfId="4886" builtinId="9" hidden="1"/>
    <cellStyle name="Followed Hyperlink" xfId="4888" builtinId="9" hidden="1"/>
    <cellStyle name="Followed Hyperlink" xfId="4890" builtinId="9" hidden="1"/>
    <cellStyle name="Followed Hyperlink" xfId="4892" builtinId="9" hidden="1"/>
    <cellStyle name="Followed Hyperlink" xfId="4894" builtinId="9" hidden="1"/>
    <cellStyle name="Followed Hyperlink" xfId="4896" builtinId="9" hidden="1"/>
    <cellStyle name="Followed Hyperlink" xfId="4898" builtinId="9" hidden="1"/>
    <cellStyle name="Followed Hyperlink" xfId="4900" builtinId="9" hidden="1"/>
    <cellStyle name="Followed Hyperlink" xfId="4902" builtinId="9" hidden="1"/>
    <cellStyle name="Followed Hyperlink" xfId="4904" builtinId="9" hidden="1"/>
    <cellStyle name="Followed Hyperlink" xfId="4906" builtinId="9" hidden="1"/>
    <cellStyle name="Followed Hyperlink" xfId="4908" builtinId="9" hidden="1"/>
    <cellStyle name="Followed Hyperlink" xfId="4910" builtinId="9" hidden="1"/>
    <cellStyle name="Followed Hyperlink" xfId="4912" builtinId="9" hidden="1"/>
    <cellStyle name="Followed Hyperlink" xfId="4914" builtinId="9" hidden="1"/>
    <cellStyle name="Followed Hyperlink" xfId="4916" builtinId="9" hidden="1"/>
    <cellStyle name="Followed Hyperlink" xfId="4918" builtinId="9" hidden="1"/>
    <cellStyle name="Followed Hyperlink" xfId="4920" builtinId="9" hidden="1"/>
    <cellStyle name="Followed Hyperlink" xfId="4922" builtinId="9" hidden="1"/>
    <cellStyle name="Followed Hyperlink" xfId="4924" builtinId="9" hidden="1"/>
    <cellStyle name="Followed Hyperlink" xfId="4926" builtinId="9" hidden="1"/>
    <cellStyle name="Followed Hyperlink" xfId="4928" builtinId="9" hidden="1"/>
    <cellStyle name="Followed Hyperlink" xfId="4930" builtinId="9" hidden="1"/>
    <cellStyle name="Followed Hyperlink" xfId="4932" builtinId="9" hidden="1"/>
    <cellStyle name="Followed Hyperlink" xfId="4934" builtinId="9" hidden="1"/>
    <cellStyle name="Followed Hyperlink" xfId="4936" builtinId="9" hidden="1"/>
    <cellStyle name="Followed Hyperlink" xfId="4938" builtinId="9" hidden="1"/>
    <cellStyle name="Followed Hyperlink" xfId="4940" builtinId="9" hidden="1"/>
    <cellStyle name="Followed Hyperlink" xfId="4942" builtinId="9" hidden="1"/>
    <cellStyle name="Followed Hyperlink" xfId="4944" builtinId="9" hidden="1"/>
    <cellStyle name="Followed Hyperlink" xfId="4946" builtinId="9" hidden="1"/>
    <cellStyle name="Followed Hyperlink" xfId="4948" builtinId="9" hidden="1"/>
    <cellStyle name="Followed Hyperlink" xfId="4950" builtinId="9" hidden="1"/>
    <cellStyle name="Followed Hyperlink" xfId="4952" builtinId="9" hidden="1"/>
    <cellStyle name="Followed Hyperlink" xfId="4954" builtinId="9" hidden="1"/>
    <cellStyle name="Followed Hyperlink" xfId="4956" builtinId="9" hidden="1"/>
    <cellStyle name="Followed Hyperlink" xfId="4958" builtinId="9" hidden="1"/>
    <cellStyle name="Followed Hyperlink" xfId="4960" builtinId="9" hidden="1"/>
    <cellStyle name="Followed Hyperlink" xfId="4962" builtinId="9" hidden="1"/>
    <cellStyle name="Followed Hyperlink" xfId="4964" builtinId="9" hidden="1"/>
    <cellStyle name="Followed Hyperlink" xfId="4966" builtinId="9" hidden="1"/>
    <cellStyle name="Followed Hyperlink" xfId="4968" builtinId="9" hidden="1"/>
    <cellStyle name="Followed Hyperlink" xfId="4970" builtinId="9" hidden="1"/>
    <cellStyle name="Followed Hyperlink" xfId="4972" builtinId="9" hidden="1"/>
    <cellStyle name="Followed Hyperlink" xfId="4974" builtinId="9" hidden="1"/>
    <cellStyle name="Followed Hyperlink" xfId="4976" builtinId="9" hidden="1"/>
    <cellStyle name="Followed Hyperlink" xfId="4978" builtinId="9" hidden="1"/>
    <cellStyle name="Followed Hyperlink" xfId="4980" builtinId="9" hidden="1"/>
    <cellStyle name="Followed Hyperlink" xfId="4982" builtinId="9" hidden="1"/>
    <cellStyle name="Followed Hyperlink" xfId="4984" builtinId="9" hidden="1"/>
    <cellStyle name="Followed Hyperlink" xfId="4986" builtinId="9" hidden="1"/>
    <cellStyle name="Followed Hyperlink" xfId="4988" builtinId="9" hidden="1"/>
    <cellStyle name="Followed Hyperlink" xfId="4990" builtinId="9" hidden="1"/>
    <cellStyle name="Followed Hyperlink" xfId="4992" builtinId="9" hidden="1"/>
    <cellStyle name="Followed Hyperlink" xfId="4994" builtinId="9" hidden="1"/>
    <cellStyle name="Followed Hyperlink" xfId="4996" builtinId="9" hidden="1"/>
    <cellStyle name="Followed Hyperlink" xfId="4998" builtinId="9" hidden="1"/>
    <cellStyle name="Followed Hyperlink" xfId="5000" builtinId="9" hidden="1"/>
    <cellStyle name="Followed Hyperlink" xfId="5002" builtinId="9" hidden="1"/>
    <cellStyle name="Followed Hyperlink" xfId="5004" builtinId="9" hidden="1"/>
    <cellStyle name="Followed Hyperlink" xfId="5006" builtinId="9" hidden="1"/>
    <cellStyle name="Followed Hyperlink" xfId="5008" builtinId="9" hidden="1"/>
    <cellStyle name="Followed Hyperlink" xfId="5010" builtinId="9" hidden="1"/>
    <cellStyle name="Followed Hyperlink" xfId="5012" builtinId="9" hidden="1"/>
    <cellStyle name="Followed Hyperlink" xfId="5014" builtinId="9" hidden="1"/>
    <cellStyle name="Followed Hyperlink" xfId="5016" builtinId="9" hidden="1"/>
    <cellStyle name="Followed Hyperlink" xfId="5018" builtinId="9" hidden="1"/>
    <cellStyle name="Followed Hyperlink" xfId="5020" builtinId="9" hidden="1"/>
    <cellStyle name="Followed Hyperlink" xfId="5022" builtinId="9" hidden="1"/>
    <cellStyle name="Followed Hyperlink" xfId="5024" builtinId="9" hidden="1"/>
    <cellStyle name="Followed Hyperlink" xfId="5026" builtinId="9" hidden="1"/>
    <cellStyle name="Followed Hyperlink" xfId="5028" builtinId="9" hidden="1"/>
    <cellStyle name="Followed Hyperlink" xfId="5030" builtinId="9" hidden="1"/>
    <cellStyle name="Followed Hyperlink" xfId="5032" builtinId="9" hidden="1"/>
    <cellStyle name="Followed Hyperlink" xfId="5034" builtinId="9" hidden="1"/>
    <cellStyle name="Followed Hyperlink" xfId="5036" builtinId="9" hidden="1"/>
    <cellStyle name="Followed Hyperlink" xfId="5038" builtinId="9" hidden="1"/>
    <cellStyle name="Followed Hyperlink" xfId="5040" builtinId="9" hidden="1"/>
    <cellStyle name="Followed Hyperlink" xfId="5042" builtinId="9" hidden="1"/>
    <cellStyle name="Followed Hyperlink" xfId="5044" builtinId="9" hidden="1"/>
    <cellStyle name="Followed Hyperlink" xfId="5046" builtinId="9" hidden="1"/>
    <cellStyle name="Followed Hyperlink" xfId="5048" builtinId="9" hidden="1"/>
    <cellStyle name="Followed Hyperlink" xfId="5050" builtinId="9" hidden="1"/>
    <cellStyle name="Followed Hyperlink" xfId="5052" builtinId="9" hidden="1"/>
    <cellStyle name="Followed Hyperlink" xfId="5054" builtinId="9" hidden="1"/>
    <cellStyle name="Followed Hyperlink" xfId="5056" builtinId="9" hidden="1"/>
    <cellStyle name="Followed Hyperlink" xfId="5058" builtinId="9" hidden="1"/>
    <cellStyle name="Followed Hyperlink" xfId="5060" builtinId="9" hidden="1"/>
    <cellStyle name="Followed Hyperlink" xfId="5062" builtinId="9" hidden="1"/>
    <cellStyle name="Followed Hyperlink" xfId="5064" builtinId="9" hidden="1"/>
    <cellStyle name="Followed Hyperlink" xfId="5066" builtinId="9" hidden="1"/>
    <cellStyle name="Followed Hyperlink" xfId="5068" builtinId="9" hidden="1"/>
    <cellStyle name="Followed Hyperlink" xfId="5070" builtinId="9" hidden="1"/>
    <cellStyle name="Followed Hyperlink" xfId="5072" builtinId="9" hidden="1"/>
    <cellStyle name="Followed Hyperlink" xfId="5074" builtinId="9" hidden="1"/>
    <cellStyle name="Followed Hyperlink" xfId="5076" builtinId="9" hidden="1"/>
    <cellStyle name="Followed Hyperlink" xfId="5078" builtinId="9" hidden="1"/>
    <cellStyle name="Followed Hyperlink" xfId="5080" builtinId="9" hidden="1"/>
    <cellStyle name="Followed Hyperlink" xfId="5082" builtinId="9" hidden="1"/>
    <cellStyle name="Followed Hyperlink" xfId="5084" builtinId="9" hidden="1"/>
    <cellStyle name="Followed Hyperlink" xfId="5086" builtinId="9" hidden="1"/>
    <cellStyle name="Followed Hyperlink" xfId="5088" builtinId="9" hidden="1"/>
    <cellStyle name="Followed Hyperlink" xfId="5090" builtinId="9" hidden="1"/>
    <cellStyle name="Followed Hyperlink" xfId="5092" builtinId="9" hidden="1"/>
    <cellStyle name="Followed Hyperlink" xfId="5094" builtinId="9" hidden="1"/>
    <cellStyle name="Followed Hyperlink" xfId="5096" builtinId="9" hidden="1"/>
    <cellStyle name="Followed Hyperlink" xfId="5098" builtinId="9" hidden="1"/>
    <cellStyle name="Followed Hyperlink" xfId="5100" builtinId="9" hidden="1"/>
    <cellStyle name="Followed Hyperlink" xfId="5102" builtinId="9" hidden="1"/>
    <cellStyle name="Followed Hyperlink" xfId="5104" builtinId="9" hidden="1"/>
    <cellStyle name="Followed Hyperlink" xfId="5106" builtinId="9" hidden="1"/>
    <cellStyle name="Followed Hyperlink" xfId="5108" builtinId="9" hidden="1"/>
    <cellStyle name="Followed Hyperlink" xfId="5110" builtinId="9" hidden="1"/>
    <cellStyle name="Followed Hyperlink" xfId="5112" builtinId="9" hidden="1"/>
    <cellStyle name="Followed Hyperlink" xfId="5114" builtinId="9" hidden="1"/>
    <cellStyle name="Followed Hyperlink" xfId="5116" builtinId="9" hidden="1"/>
    <cellStyle name="Followed Hyperlink" xfId="5118" builtinId="9" hidden="1"/>
    <cellStyle name="Followed Hyperlink" xfId="5120" builtinId="9" hidden="1"/>
    <cellStyle name="Followed Hyperlink" xfId="5122" builtinId="9" hidden="1"/>
    <cellStyle name="Followed Hyperlink" xfId="5124" builtinId="9" hidden="1"/>
    <cellStyle name="Followed Hyperlink" xfId="5126" builtinId="9" hidden="1"/>
    <cellStyle name="Followed Hyperlink" xfId="5128" builtinId="9" hidden="1"/>
    <cellStyle name="Followed Hyperlink" xfId="5130" builtinId="9" hidden="1"/>
    <cellStyle name="Followed Hyperlink" xfId="5132" builtinId="9" hidden="1"/>
    <cellStyle name="Followed Hyperlink" xfId="5134" builtinId="9" hidden="1"/>
    <cellStyle name="Followed Hyperlink" xfId="5136" builtinId="9" hidden="1"/>
    <cellStyle name="Followed Hyperlink" xfId="5138" builtinId="9" hidden="1"/>
    <cellStyle name="Followed Hyperlink" xfId="5140" builtinId="9" hidden="1"/>
    <cellStyle name="Followed Hyperlink" xfId="5142" builtinId="9" hidden="1"/>
    <cellStyle name="Followed Hyperlink" xfId="5144" builtinId="9" hidden="1"/>
    <cellStyle name="Followed Hyperlink" xfId="5146" builtinId="9" hidden="1"/>
    <cellStyle name="Followed Hyperlink" xfId="5148" builtinId="9" hidden="1"/>
    <cellStyle name="Followed Hyperlink" xfId="5150" builtinId="9" hidden="1"/>
    <cellStyle name="Followed Hyperlink" xfId="5152" builtinId="9" hidden="1"/>
    <cellStyle name="Followed Hyperlink" xfId="5154" builtinId="9" hidden="1"/>
    <cellStyle name="Followed Hyperlink" xfId="5156" builtinId="9" hidden="1"/>
    <cellStyle name="Followed Hyperlink" xfId="5158" builtinId="9" hidden="1"/>
    <cellStyle name="Followed Hyperlink" xfId="5160" builtinId="9" hidden="1"/>
    <cellStyle name="Followed Hyperlink" xfId="5162" builtinId="9" hidden="1"/>
    <cellStyle name="Followed Hyperlink" xfId="5164" builtinId="9" hidden="1"/>
    <cellStyle name="Followed Hyperlink" xfId="5166" builtinId="9" hidden="1"/>
    <cellStyle name="Followed Hyperlink" xfId="5168" builtinId="9" hidden="1"/>
    <cellStyle name="Followed Hyperlink" xfId="5170" builtinId="9" hidden="1"/>
    <cellStyle name="Followed Hyperlink" xfId="5172" builtinId="9" hidden="1"/>
    <cellStyle name="Followed Hyperlink" xfId="5174" builtinId="9" hidden="1"/>
    <cellStyle name="Followed Hyperlink" xfId="5176" builtinId="9" hidden="1"/>
    <cellStyle name="Followed Hyperlink" xfId="5178" builtinId="9" hidden="1"/>
    <cellStyle name="Followed Hyperlink" xfId="5180" builtinId="9" hidden="1"/>
    <cellStyle name="Followed Hyperlink" xfId="5182" builtinId="9" hidden="1"/>
    <cellStyle name="Followed Hyperlink" xfId="5184" builtinId="9" hidden="1"/>
    <cellStyle name="Followed Hyperlink" xfId="5186" builtinId="9" hidden="1"/>
    <cellStyle name="Followed Hyperlink" xfId="5188" builtinId="9" hidden="1"/>
    <cellStyle name="Followed Hyperlink" xfId="5190" builtinId="9" hidden="1"/>
    <cellStyle name="Followed Hyperlink" xfId="5192" builtinId="9" hidden="1"/>
    <cellStyle name="Followed Hyperlink" xfId="5194" builtinId="9" hidden="1"/>
    <cellStyle name="Followed Hyperlink" xfId="5196" builtinId="9" hidden="1"/>
    <cellStyle name="Followed Hyperlink" xfId="5198" builtinId="9" hidden="1"/>
    <cellStyle name="Followed Hyperlink" xfId="5200" builtinId="9" hidden="1"/>
    <cellStyle name="Followed Hyperlink" xfId="5202" builtinId="9" hidden="1"/>
    <cellStyle name="Followed Hyperlink" xfId="5204" builtinId="9" hidden="1"/>
    <cellStyle name="Followed Hyperlink" xfId="5206" builtinId="9" hidden="1"/>
    <cellStyle name="Followed Hyperlink" xfId="5208" builtinId="9" hidden="1"/>
    <cellStyle name="Followed Hyperlink" xfId="5210" builtinId="9" hidden="1"/>
    <cellStyle name="Followed Hyperlink" xfId="5212" builtinId="9" hidden="1"/>
    <cellStyle name="Followed Hyperlink" xfId="5214" builtinId="9" hidden="1"/>
    <cellStyle name="Followed Hyperlink" xfId="5216" builtinId="9" hidden="1"/>
    <cellStyle name="Followed Hyperlink" xfId="5218" builtinId="9" hidden="1"/>
    <cellStyle name="Followed Hyperlink" xfId="5220" builtinId="9" hidden="1"/>
    <cellStyle name="Followed Hyperlink" xfId="5222" builtinId="9" hidden="1"/>
    <cellStyle name="Followed Hyperlink" xfId="5224" builtinId="9" hidden="1"/>
    <cellStyle name="Followed Hyperlink" xfId="5226" builtinId="9" hidden="1"/>
    <cellStyle name="Followed Hyperlink" xfId="5228" builtinId="9" hidden="1"/>
    <cellStyle name="Followed Hyperlink" xfId="5230" builtinId="9" hidden="1"/>
    <cellStyle name="Followed Hyperlink" xfId="5232" builtinId="9" hidden="1"/>
    <cellStyle name="Followed Hyperlink" xfId="5234" builtinId="9" hidden="1"/>
    <cellStyle name="Followed Hyperlink" xfId="5236" builtinId="9" hidden="1"/>
    <cellStyle name="Followed Hyperlink" xfId="5238" builtinId="9" hidden="1"/>
    <cellStyle name="Followed Hyperlink" xfId="5240" builtinId="9" hidden="1"/>
    <cellStyle name="Followed Hyperlink" xfId="5242" builtinId="9" hidden="1"/>
    <cellStyle name="Followed Hyperlink" xfId="5244" builtinId="9" hidden="1"/>
    <cellStyle name="Followed Hyperlink" xfId="5246" builtinId="9" hidden="1"/>
    <cellStyle name="Followed Hyperlink" xfId="5248" builtinId="9" hidden="1"/>
    <cellStyle name="Followed Hyperlink" xfId="5250" builtinId="9" hidden="1"/>
    <cellStyle name="Followed Hyperlink" xfId="5252" builtinId="9" hidden="1"/>
    <cellStyle name="Followed Hyperlink" xfId="5254" builtinId="9" hidden="1"/>
    <cellStyle name="Followed Hyperlink" xfId="5256" builtinId="9" hidden="1"/>
    <cellStyle name="Followed Hyperlink" xfId="5258" builtinId="9" hidden="1"/>
    <cellStyle name="Followed Hyperlink" xfId="5260" builtinId="9" hidden="1"/>
    <cellStyle name="Followed Hyperlink" xfId="5262" builtinId="9" hidden="1"/>
    <cellStyle name="Followed Hyperlink" xfId="5264" builtinId="9" hidden="1"/>
    <cellStyle name="Followed Hyperlink" xfId="5266" builtinId="9" hidden="1"/>
    <cellStyle name="Followed Hyperlink" xfId="5268" builtinId="9" hidden="1"/>
    <cellStyle name="Followed Hyperlink" xfId="5270" builtinId="9" hidden="1"/>
    <cellStyle name="Followed Hyperlink" xfId="5272" builtinId="9" hidden="1"/>
    <cellStyle name="Followed Hyperlink" xfId="5274" builtinId="9" hidden="1"/>
    <cellStyle name="Followed Hyperlink" xfId="5276" builtinId="9" hidden="1"/>
    <cellStyle name="Followed Hyperlink" xfId="5278" builtinId="9" hidden="1"/>
    <cellStyle name="Followed Hyperlink" xfId="5280" builtinId="9" hidden="1"/>
    <cellStyle name="Followed Hyperlink" xfId="5282" builtinId="9" hidden="1"/>
    <cellStyle name="Followed Hyperlink" xfId="5284" builtinId="9" hidden="1"/>
    <cellStyle name="Followed Hyperlink" xfId="5286" builtinId="9" hidden="1"/>
    <cellStyle name="Followed Hyperlink" xfId="5288" builtinId="9" hidden="1"/>
    <cellStyle name="Followed Hyperlink" xfId="5290" builtinId="9" hidden="1"/>
    <cellStyle name="Followed Hyperlink" xfId="5292" builtinId="9" hidden="1"/>
    <cellStyle name="Followed Hyperlink" xfId="5294" builtinId="9" hidden="1"/>
    <cellStyle name="Followed Hyperlink" xfId="5296" builtinId="9" hidden="1"/>
    <cellStyle name="Followed Hyperlink" xfId="5298" builtinId="9" hidden="1"/>
    <cellStyle name="Followed Hyperlink" xfId="5300" builtinId="9" hidden="1"/>
    <cellStyle name="Followed Hyperlink" xfId="5302" builtinId="9" hidden="1"/>
    <cellStyle name="Followed Hyperlink" xfId="5304" builtinId="9" hidden="1"/>
    <cellStyle name="Followed Hyperlink" xfId="5306" builtinId="9" hidden="1"/>
    <cellStyle name="Followed Hyperlink" xfId="5308" builtinId="9" hidden="1"/>
    <cellStyle name="Followed Hyperlink" xfId="5310" builtinId="9" hidden="1"/>
    <cellStyle name="Followed Hyperlink" xfId="5312" builtinId="9" hidden="1"/>
    <cellStyle name="Followed Hyperlink" xfId="5314" builtinId="9" hidden="1"/>
    <cellStyle name="Followed Hyperlink" xfId="5316" builtinId="9" hidden="1"/>
    <cellStyle name="Followed Hyperlink" xfId="5318" builtinId="9" hidden="1"/>
    <cellStyle name="Followed Hyperlink" xfId="5320" builtinId="9" hidden="1"/>
    <cellStyle name="Followed Hyperlink" xfId="5322" builtinId="9" hidden="1"/>
    <cellStyle name="Followed Hyperlink" xfId="5324" builtinId="9" hidden="1"/>
    <cellStyle name="Followed Hyperlink" xfId="5326" builtinId="9" hidden="1"/>
    <cellStyle name="Followed Hyperlink" xfId="5328" builtinId="9" hidden="1"/>
    <cellStyle name="Followed Hyperlink" xfId="5330" builtinId="9" hidden="1"/>
    <cellStyle name="Followed Hyperlink" xfId="5332" builtinId="9" hidden="1"/>
    <cellStyle name="Followed Hyperlink" xfId="5334" builtinId="9" hidden="1"/>
    <cellStyle name="Followed Hyperlink" xfId="5336" builtinId="9" hidden="1"/>
    <cellStyle name="Followed Hyperlink" xfId="5338" builtinId="9" hidden="1"/>
    <cellStyle name="Followed Hyperlink" xfId="5340" builtinId="9" hidden="1"/>
    <cellStyle name="Followed Hyperlink" xfId="5342" builtinId="9" hidden="1"/>
    <cellStyle name="Followed Hyperlink" xfId="5344" builtinId="9" hidden="1"/>
    <cellStyle name="Followed Hyperlink" xfId="5346" builtinId="9" hidden="1"/>
    <cellStyle name="Followed Hyperlink" xfId="5348" builtinId="9" hidden="1"/>
    <cellStyle name="Followed Hyperlink" xfId="5350" builtinId="9" hidden="1"/>
    <cellStyle name="Followed Hyperlink" xfId="5352" builtinId="9" hidden="1"/>
    <cellStyle name="Followed Hyperlink" xfId="5354" builtinId="9" hidden="1"/>
    <cellStyle name="Followed Hyperlink" xfId="5356" builtinId="9" hidden="1"/>
    <cellStyle name="Followed Hyperlink" xfId="5358" builtinId="9" hidden="1"/>
    <cellStyle name="Followed Hyperlink" xfId="5360" builtinId="9" hidden="1"/>
    <cellStyle name="Followed Hyperlink" xfId="5362" builtinId="9" hidden="1"/>
    <cellStyle name="Followed Hyperlink" xfId="5364" builtinId="9" hidden="1"/>
    <cellStyle name="Followed Hyperlink" xfId="5366" builtinId="9" hidden="1"/>
    <cellStyle name="Followed Hyperlink" xfId="5368" builtinId="9" hidden="1"/>
    <cellStyle name="Followed Hyperlink" xfId="5370" builtinId="9" hidden="1"/>
    <cellStyle name="Followed Hyperlink" xfId="5372" builtinId="9" hidden="1"/>
    <cellStyle name="Followed Hyperlink" xfId="5374" builtinId="9" hidden="1"/>
    <cellStyle name="Followed Hyperlink" xfId="5376" builtinId="9" hidden="1"/>
    <cellStyle name="Followed Hyperlink" xfId="5378" builtinId="9" hidden="1"/>
    <cellStyle name="Followed Hyperlink" xfId="5380" builtinId="9" hidden="1"/>
    <cellStyle name="Followed Hyperlink" xfId="5382" builtinId="9" hidden="1"/>
    <cellStyle name="Followed Hyperlink" xfId="5384" builtinId="9" hidden="1"/>
    <cellStyle name="Followed Hyperlink" xfId="5386" builtinId="9" hidden="1"/>
    <cellStyle name="Followed Hyperlink" xfId="5388" builtinId="9" hidden="1"/>
    <cellStyle name="Followed Hyperlink" xfId="5390" builtinId="9" hidden="1"/>
    <cellStyle name="Followed Hyperlink" xfId="5392" builtinId="9" hidden="1"/>
    <cellStyle name="Followed Hyperlink" xfId="5394" builtinId="9" hidden="1"/>
    <cellStyle name="Followed Hyperlink" xfId="5396" builtinId="9" hidden="1"/>
    <cellStyle name="Followed Hyperlink" xfId="5398" builtinId="9" hidden="1"/>
    <cellStyle name="Followed Hyperlink" xfId="5400" builtinId="9" hidden="1"/>
    <cellStyle name="Followed Hyperlink" xfId="5402" builtinId="9" hidden="1"/>
    <cellStyle name="Followed Hyperlink" xfId="5404" builtinId="9" hidden="1"/>
    <cellStyle name="Followed Hyperlink" xfId="5406" builtinId="9" hidden="1"/>
    <cellStyle name="Followed Hyperlink" xfId="5408" builtinId="9" hidden="1"/>
    <cellStyle name="Followed Hyperlink" xfId="5410" builtinId="9" hidden="1"/>
    <cellStyle name="Followed Hyperlink" xfId="5412" builtinId="9" hidden="1"/>
    <cellStyle name="Followed Hyperlink" xfId="5414" builtinId="9" hidden="1"/>
    <cellStyle name="Followed Hyperlink" xfId="5416" builtinId="9" hidden="1"/>
    <cellStyle name="Followed Hyperlink" xfId="5418" builtinId="9" hidden="1"/>
    <cellStyle name="Followed Hyperlink" xfId="5420" builtinId="9" hidden="1"/>
    <cellStyle name="Followed Hyperlink" xfId="5422" builtinId="9" hidden="1"/>
    <cellStyle name="Followed Hyperlink" xfId="5424" builtinId="9" hidden="1"/>
    <cellStyle name="Followed Hyperlink" xfId="5426" builtinId="9" hidden="1"/>
    <cellStyle name="Followed Hyperlink" xfId="5428" builtinId="9" hidden="1"/>
    <cellStyle name="Followed Hyperlink" xfId="5430" builtinId="9" hidden="1"/>
    <cellStyle name="Followed Hyperlink" xfId="5432" builtinId="9" hidden="1"/>
    <cellStyle name="Followed Hyperlink" xfId="5434" builtinId="9" hidden="1"/>
    <cellStyle name="Followed Hyperlink" xfId="5436" builtinId="9" hidden="1"/>
    <cellStyle name="Followed Hyperlink" xfId="5438" builtinId="9" hidden="1"/>
    <cellStyle name="Followed Hyperlink" xfId="5440" builtinId="9" hidden="1"/>
    <cellStyle name="Followed Hyperlink" xfId="5442" builtinId="9" hidden="1"/>
    <cellStyle name="Followed Hyperlink" xfId="5444" builtinId="9" hidden="1"/>
    <cellStyle name="Followed Hyperlink" xfId="5446" builtinId="9" hidden="1"/>
    <cellStyle name="Followed Hyperlink" xfId="5448" builtinId="9" hidden="1"/>
    <cellStyle name="Followed Hyperlink" xfId="5450" builtinId="9" hidden="1"/>
    <cellStyle name="Followed Hyperlink" xfId="5452" builtinId="9" hidden="1"/>
    <cellStyle name="Followed Hyperlink" xfId="5454" builtinId="9" hidden="1"/>
    <cellStyle name="Followed Hyperlink" xfId="5456" builtinId="9" hidden="1"/>
    <cellStyle name="Followed Hyperlink" xfId="5458" builtinId="9" hidden="1"/>
    <cellStyle name="Followed Hyperlink" xfId="5460" builtinId="9" hidden="1"/>
    <cellStyle name="Followed Hyperlink" xfId="5462" builtinId="9" hidden="1"/>
    <cellStyle name="Followed Hyperlink" xfId="5464" builtinId="9" hidden="1"/>
    <cellStyle name="Followed Hyperlink" xfId="5466" builtinId="9" hidden="1"/>
    <cellStyle name="Followed Hyperlink" xfId="5468" builtinId="9" hidden="1"/>
    <cellStyle name="Followed Hyperlink" xfId="5470" builtinId="9" hidden="1"/>
    <cellStyle name="Followed Hyperlink" xfId="5472" builtinId="9" hidden="1"/>
    <cellStyle name="Followed Hyperlink" xfId="5474" builtinId="9" hidden="1"/>
    <cellStyle name="Followed Hyperlink" xfId="5476" builtinId="9" hidden="1"/>
    <cellStyle name="Followed Hyperlink" xfId="5478" builtinId="9" hidden="1"/>
    <cellStyle name="Followed Hyperlink" xfId="5480" builtinId="9" hidden="1"/>
    <cellStyle name="Followed Hyperlink" xfId="5482" builtinId="9" hidden="1"/>
    <cellStyle name="Followed Hyperlink" xfId="5484" builtinId="9" hidden="1"/>
    <cellStyle name="Followed Hyperlink" xfId="5486" builtinId="9" hidden="1"/>
    <cellStyle name="Followed Hyperlink" xfId="5488" builtinId="9" hidden="1"/>
    <cellStyle name="Followed Hyperlink" xfId="5490" builtinId="9" hidden="1"/>
    <cellStyle name="Followed Hyperlink" xfId="5492" builtinId="9" hidden="1"/>
    <cellStyle name="Followed Hyperlink" xfId="5494" builtinId="9" hidden="1"/>
    <cellStyle name="Followed Hyperlink" xfId="5496" builtinId="9" hidden="1"/>
    <cellStyle name="Followed Hyperlink" xfId="5498" builtinId="9" hidden="1"/>
    <cellStyle name="Followed Hyperlink" xfId="5500" builtinId="9" hidden="1"/>
    <cellStyle name="Followed Hyperlink" xfId="5502" builtinId="9" hidden="1"/>
    <cellStyle name="Followed Hyperlink" xfId="5504" builtinId="9" hidden="1"/>
    <cellStyle name="Followed Hyperlink" xfId="5506" builtinId="9" hidden="1"/>
    <cellStyle name="Followed Hyperlink" xfId="5508" builtinId="9" hidden="1"/>
    <cellStyle name="Followed Hyperlink" xfId="5510" builtinId="9" hidden="1"/>
    <cellStyle name="Followed Hyperlink" xfId="5512" builtinId="9" hidden="1"/>
    <cellStyle name="Followed Hyperlink" xfId="5514" builtinId="9" hidden="1"/>
    <cellStyle name="Followed Hyperlink" xfId="5516" builtinId="9" hidden="1"/>
    <cellStyle name="Followed Hyperlink" xfId="5518" builtinId="9" hidden="1"/>
    <cellStyle name="Followed Hyperlink" xfId="5520" builtinId="9" hidden="1"/>
    <cellStyle name="Followed Hyperlink" xfId="5522" builtinId="9" hidden="1"/>
    <cellStyle name="Followed Hyperlink" xfId="5524" builtinId="9" hidden="1"/>
    <cellStyle name="Followed Hyperlink" xfId="5526" builtinId="9" hidden="1"/>
    <cellStyle name="Followed Hyperlink" xfId="5528" builtinId="9" hidden="1"/>
    <cellStyle name="Followed Hyperlink" xfId="5530" builtinId="9" hidden="1"/>
    <cellStyle name="Followed Hyperlink" xfId="5532" builtinId="9" hidden="1"/>
    <cellStyle name="Followed Hyperlink" xfId="5534" builtinId="9" hidden="1"/>
    <cellStyle name="Followed Hyperlink" xfId="5536" builtinId="9" hidden="1"/>
    <cellStyle name="Followed Hyperlink" xfId="5538" builtinId="9" hidden="1"/>
    <cellStyle name="Followed Hyperlink" xfId="5540" builtinId="9" hidden="1"/>
    <cellStyle name="Followed Hyperlink" xfId="5542" builtinId="9" hidden="1"/>
    <cellStyle name="Followed Hyperlink" xfId="5544" builtinId="9" hidden="1"/>
    <cellStyle name="Followed Hyperlink" xfId="5546" builtinId="9" hidden="1"/>
    <cellStyle name="Followed Hyperlink" xfId="5548" builtinId="9" hidden="1"/>
    <cellStyle name="Followed Hyperlink" xfId="5550" builtinId="9" hidden="1"/>
    <cellStyle name="Followed Hyperlink" xfId="5552" builtinId="9" hidden="1"/>
    <cellStyle name="Followed Hyperlink" xfId="5554" builtinId="9" hidden="1"/>
    <cellStyle name="Followed Hyperlink" xfId="5556" builtinId="9" hidden="1"/>
    <cellStyle name="Followed Hyperlink" xfId="5558" builtinId="9" hidden="1"/>
    <cellStyle name="Followed Hyperlink" xfId="5560" builtinId="9" hidden="1"/>
    <cellStyle name="Followed Hyperlink" xfId="5562" builtinId="9" hidden="1"/>
    <cellStyle name="Followed Hyperlink" xfId="5564" builtinId="9" hidden="1"/>
    <cellStyle name="Followed Hyperlink" xfId="5566" builtinId="9" hidden="1"/>
    <cellStyle name="Followed Hyperlink" xfId="5568" builtinId="9" hidden="1"/>
    <cellStyle name="Followed Hyperlink" xfId="5570" builtinId="9" hidden="1"/>
    <cellStyle name="Followed Hyperlink" xfId="5572" builtinId="9" hidden="1"/>
    <cellStyle name="Followed Hyperlink" xfId="5574" builtinId="9" hidden="1"/>
    <cellStyle name="Followed Hyperlink" xfId="5576" builtinId="9" hidden="1"/>
    <cellStyle name="Followed Hyperlink" xfId="5578" builtinId="9" hidden="1"/>
    <cellStyle name="Followed Hyperlink" xfId="5580" builtinId="9" hidden="1"/>
    <cellStyle name="Followed Hyperlink" xfId="5582" builtinId="9" hidden="1"/>
    <cellStyle name="Followed Hyperlink" xfId="5584" builtinId="9" hidden="1"/>
    <cellStyle name="Followed Hyperlink" xfId="5586" builtinId="9" hidden="1"/>
    <cellStyle name="Followed Hyperlink" xfId="5588" builtinId="9" hidden="1"/>
    <cellStyle name="Followed Hyperlink" xfId="5590" builtinId="9" hidden="1"/>
    <cellStyle name="Followed Hyperlink" xfId="5592" builtinId="9" hidden="1"/>
    <cellStyle name="Followed Hyperlink" xfId="5594" builtinId="9" hidden="1"/>
    <cellStyle name="Followed Hyperlink" xfId="5596" builtinId="9" hidden="1"/>
    <cellStyle name="Followed Hyperlink" xfId="5598" builtinId="9" hidden="1"/>
    <cellStyle name="Followed Hyperlink" xfId="5600" builtinId="9" hidden="1"/>
    <cellStyle name="Followed Hyperlink" xfId="5602" builtinId="9" hidden="1"/>
    <cellStyle name="Followed Hyperlink" xfId="5604" builtinId="9" hidden="1"/>
    <cellStyle name="Followed Hyperlink" xfId="5606" builtinId="9" hidden="1"/>
    <cellStyle name="Followed Hyperlink" xfId="5608" builtinId="9" hidden="1"/>
    <cellStyle name="Followed Hyperlink" xfId="5610" builtinId="9" hidden="1"/>
    <cellStyle name="Followed Hyperlink" xfId="5612" builtinId="9" hidden="1"/>
    <cellStyle name="Followed Hyperlink" xfId="5614" builtinId="9" hidden="1"/>
    <cellStyle name="Followed Hyperlink" xfId="5616" builtinId="9" hidden="1"/>
    <cellStyle name="Followed Hyperlink" xfId="5618" builtinId="9" hidden="1"/>
    <cellStyle name="Followed Hyperlink" xfId="5620" builtinId="9" hidden="1"/>
    <cellStyle name="Followed Hyperlink" xfId="5622" builtinId="9" hidden="1"/>
    <cellStyle name="Followed Hyperlink" xfId="5624" builtinId="9" hidden="1"/>
    <cellStyle name="Followed Hyperlink" xfId="5626" builtinId="9" hidden="1"/>
    <cellStyle name="Followed Hyperlink" xfId="5628" builtinId="9" hidden="1"/>
    <cellStyle name="Followed Hyperlink" xfId="5630" builtinId="9" hidden="1"/>
    <cellStyle name="Followed Hyperlink" xfId="5632" builtinId="9" hidden="1"/>
    <cellStyle name="Followed Hyperlink" xfId="5634" builtinId="9" hidden="1"/>
    <cellStyle name="Followed Hyperlink" xfId="5636" builtinId="9" hidden="1"/>
    <cellStyle name="Followed Hyperlink" xfId="5638" builtinId="9" hidden="1"/>
    <cellStyle name="Followed Hyperlink" xfId="5640" builtinId="9" hidden="1"/>
    <cellStyle name="Followed Hyperlink" xfId="5642" builtinId="9" hidden="1"/>
    <cellStyle name="Followed Hyperlink" xfId="5644" builtinId="9" hidden="1"/>
    <cellStyle name="Followed Hyperlink" xfId="5646" builtinId="9" hidden="1"/>
    <cellStyle name="Followed Hyperlink" xfId="5648" builtinId="9" hidden="1"/>
    <cellStyle name="Followed Hyperlink" xfId="5650" builtinId="9" hidden="1"/>
    <cellStyle name="Followed Hyperlink" xfId="5652" builtinId="9" hidden="1"/>
    <cellStyle name="Followed Hyperlink" xfId="5654" builtinId="9" hidden="1"/>
    <cellStyle name="Followed Hyperlink" xfId="5656" builtinId="9" hidden="1"/>
    <cellStyle name="Followed Hyperlink" xfId="5658" builtinId="9" hidden="1"/>
    <cellStyle name="Followed Hyperlink" xfId="5660" builtinId="9" hidden="1"/>
    <cellStyle name="Followed Hyperlink" xfId="5662" builtinId="9" hidden="1"/>
    <cellStyle name="Followed Hyperlink" xfId="5664" builtinId="9" hidden="1"/>
    <cellStyle name="Followed Hyperlink" xfId="5666" builtinId="9" hidden="1"/>
    <cellStyle name="Followed Hyperlink" xfId="5668" builtinId="9" hidden="1"/>
    <cellStyle name="Followed Hyperlink" xfId="5670" builtinId="9" hidden="1"/>
    <cellStyle name="Followed Hyperlink" xfId="5672" builtinId="9" hidden="1"/>
    <cellStyle name="Followed Hyperlink" xfId="5674" builtinId="9" hidden="1"/>
    <cellStyle name="Followed Hyperlink" xfId="5676" builtinId="9" hidden="1"/>
    <cellStyle name="Followed Hyperlink" xfId="5678" builtinId="9" hidden="1"/>
    <cellStyle name="Followed Hyperlink" xfId="5680" builtinId="9" hidden="1"/>
    <cellStyle name="Followed Hyperlink" xfId="5682" builtinId="9" hidden="1"/>
    <cellStyle name="Followed Hyperlink" xfId="5684" builtinId="9" hidden="1"/>
    <cellStyle name="Followed Hyperlink" xfId="5686" builtinId="9" hidden="1"/>
    <cellStyle name="Followed Hyperlink" xfId="5688" builtinId="9" hidden="1"/>
    <cellStyle name="Followed Hyperlink" xfId="5690" builtinId="9" hidden="1"/>
    <cellStyle name="Followed Hyperlink" xfId="5692" builtinId="9" hidden="1"/>
    <cellStyle name="Followed Hyperlink" xfId="5694" builtinId="9" hidden="1"/>
    <cellStyle name="Followed Hyperlink" xfId="5696" builtinId="9" hidden="1"/>
    <cellStyle name="Followed Hyperlink" xfId="5698" builtinId="9" hidden="1"/>
    <cellStyle name="Followed Hyperlink" xfId="5700" builtinId="9" hidden="1"/>
    <cellStyle name="Followed Hyperlink" xfId="5702" builtinId="9" hidden="1"/>
    <cellStyle name="Followed Hyperlink" xfId="5704" builtinId="9" hidden="1"/>
    <cellStyle name="Followed Hyperlink" xfId="5706" builtinId="9" hidden="1"/>
    <cellStyle name="Followed Hyperlink" xfId="5708" builtinId="9" hidden="1"/>
    <cellStyle name="Followed Hyperlink" xfId="5710" builtinId="9" hidden="1"/>
    <cellStyle name="Followed Hyperlink" xfId="5712" builtinId="9" hidden="1"/>
    <cellStyle name="Followed Hyperlink" xfId="5714" builtinId="9" hidden="1"/>
    <cellStyle name="Followed Hyperlink" xfId="5716" builtinId="9" hidden="1"/>
    <cellStyle name="Followed Hyperlink" xfId="5718" builtinId="9" hidden="1"/>
    <cellStyle name="Followed Hyperlink" xfId="5720" builtinId="9" hidden="1"/>
    <cellStyle name="Followed Hyperlink" xfId="5722" builtinId="9" hidden="1"/>
    <cellStyle name="Followed Hyperlink" xfId="5724" builtinId="9" hidden="1"/>
    <cellStyle name="Followed Hyperlink" xfId="5726" builtinId="9" hidden="1"/>
    <cellStyle name="Followed Hyperlink" xfId="5728" builtinId="9" hidden="1"/>
    <cellStyle name="Followed Hyperlink" xfId="5730" builtinId="9" hidden="1"/>
    <cellStyle name="Followed Hyperlink" xfId="5732" builtinId="9" hidden="1"/>
    <cellStyle name="Followed Hyperlink" xfId="5734" builtinId="9" hidden="1"/>
    <cellStyle name="Followed Hyperlink" xfId="5736" builtinId="9" hidden="1"/>
    <cellStyle name="Followed Hyperlink" xfId="5738" builtinId="9" hidden="1"/>
    <cellStyle name="Followed Hyperlink" xfId="5740" builtinId="9" hidden="1"/>
    <cellStyle name="Followed Hyperlink" xfId="5742" builtinId="9" hidden="1"/>
    <cellStyle name="Followed Hyperlink" xfId="5744" builtinId="9" hidden="1"/>
    <cellStyle name="Followed Hyperlink" xfId="5746" builtinId="9" hidden="1"/>
    <cellStyle name="Followed Hyperlink" xfId="5748" builtinId="9" hidden="1"/>
    <cellStyle name="Followed Hyperlink" xfId="5750" builtinId="9" hidden="1"/>
    <cellStyle name="Followed Hyperlink" xfId="5752" builtinId="9" hidden="1"/>
    <cellStyle name="Followed Hyperlink" xfId="5754" builtinId="9" hidden="1"/>
    <cellStyle name="Followed Hyperlink" xfId="5756" builtinId="9" hidden="1"/>
    <cellStyle name="Followed Hyperlink" xfId="5758" builtinId="9" hidden="1"/>
    <cellStyle name="Followed Hyperlink" xfId="5760" builtinId="9" hidden="1"/>
    <cellStyle name="Followed Hyperlink" xfId="5762" builtinId="9" hidden="1"/>
    <cellStyle name="Followed Hyperlink" xfId="5764" builtinId="9" hidden="1"/>
    <cellStyle name="Followed Hyperlink" xfId="5766" builtinId="9" hidden="1"/>
    <cellStyle name="Followed Hyperlink" xfId="5768" builtinId="9" hidden="1"/>
    <cellStyle name="Followed Hyperlink" xfId="5770" builtinId="9" hidden="1"/>
    <cellStyle name="Followed Hyperlink" xfId="5772" builtinId="9" hidden="1"/>
    <cellStyle name="Followed Hyperlink" xfId="5774" builtinId="9" hidden="1"/>
    <cellStyle name="Followed Hyperlink" xfId="5776" builtinId="9" hidden="1"/>
    <cellStyle name="Followed Hyperlink" xfId="5778" builtinId="9" hidden="1"/>
    <cellStyle name="Followed Hyperlink" xfId="5780" builtinId="9" hidden="1"/>
    <cellStyle name="Followed Hyperlink" xfId="5782" builtinId="9" hidden="1"/>
    <cellStyle name="Followed Hyperlink" xfId="5784" builtinId="9" hidden="1"/>
    <cellStyle name="Followed Hyperlink" xfId="5786" builtinId="9" hidden="1"/>
    <cellStyle name="Followed Hyperlink" xfId="5788" builtinId="9" hidden="1"/>
    <cellStyle name="Followed Hyperlink" xfId="5790" builtinId="9" hidden="1"/>
    <cellStyle name="Followed Hyperlink" xfId="5792" builtinId="9" hidden="1"/>
    <cellStyle name="Followed Hyperlink" xfId="5794" builtinId="9" hidden="1"/>
    <cellStyle name="Followed Hyperlink" xfId="5796" builtinId="9" hidden="1"/>
    <cellStyle name="Followed Hyperlink" xfId="5798" builtinId="9" hidden="1"/>
    <cellStyle name="Followed Hyperlink" xfId="5800" builtinId="9" hidden="1"/>
    <cellStyle name="Followed Hyperlink" xfId="5802" builtinId="9" hidden="1"/>
    <cellStyle name="Followed Hyperlink" xfId="5804" builtinId="9" hidden="1"/>
    <cellStyle name="Followed Hyperlink" xfId="5806" builtinId="9" hidden="1"/>
    <cellStyle name="Followed Hyperlink" xfId="5808" builtinId="9" hidden="1"/>
    <cellStyle name="Followed Hyperlink" xfId="5810" builtinId="9" hidden="1"/>
    <cellStyle name="Followed Hyperlink" xfId="5812" builtinId="9" hidden="1"/>
    <cellStyle name="Followed Hyperlink" xfId="5814" builtinId="9" hidden="1"/>
    <cellStyle name="Followed Hyperlink" xfId="5816" builtinId="9" hidden="1"/>
    <cellStyle name="Followed Hyperlink" xfId="5818" builtinId="9" hidden="1"/>
    <cellStyle name="Followed Hyperlink" xfId="5820" builtinId="9" hidden="1"/>
    <cellStyle name="Followed Hyperlink" xfId="5822" builtinId="9" hidden="1"/>
    <cellStyle name="Followed Hyperlink" xfId="5824" builtinId="9" hidden="1"/>
    <cellStyle name="Followed Hyperlink" xfId="5826" builtinId="9" hidden="1"/>
    <cellStyle name="Followed Hyperlink" xfId="5828" builtinId="9" hidden="1"/>
    <cellStyle name="Followed Hyperlink" xfId="5830" builtinId="9" hidden="1"/>
    <cellStyle name="Followed Hyperlink" xfId="5832" builtinId="9" hidden="1"/>
    <cellStyle name="Followed Hyperlink" xfId="5834" builtinId="9" hidden="1"/>
    <cellStyle name="Followed Hyperlink" xfId="5836" builtinId="9" hidden="1"/>
    <cellStyle name="Followed Hyperlink" xfId="5838" builtinId="9" hidden="1"/>
    <cellStyle name="Followed Hyperlink" xfId="5840" builtinId="9" hidden="1"/>
    <cellStyle name="Followed Hyperlink" xfId="5842" builtinId="9" hidden="1"/>
    <cellStyle name="Followed Hyperlink" xfId="5844" builtinId="9" hidden="1"/>
    <cellStyle name="Followed Hyperlink" xfId="5846" builtinId="9" hidden="1"/>
    <cellStyle name="Followed Hyperlink" xfId="5848" builtinId="9" hidden="1"/>
    <cellStyle name="Followed Hyperlink" xfId="5850" builtinId="9" hidden="1"/>
    <cellStyle name="Followed Hyperlink" xfId="5852" builtinId="9" hidden="1"/>
    <cellStyle name="Followed Hyperlink" xfId="5854" builtinId="9" hidden="1"/>
    <cellStyle name="Followed Hyperlink" xfId="5856" builtinId="9" hidden="1"/>
    <cellStyle name="Followed Hyperlink" xfId="5858" builtinId="9" hidden="1"/>
    <cellStyle name="Followed Hyperlink" xfId="5860" builtinId="9" hidden="1"/>
    <cellStyle name="Followed Hyperlink" xfId="5862" builtinId="9" hidden="1"/>
    <cellStyle name="Followed Hyperlink" xfId="5864" builtinId="9" hidden="1"/>
    <cellStyle name="Followed Hyperlink" xfId="5866" builtinId="9" hidden="1"/>
    <cellStyle name="Followed Hyperlink" xfId="5868" builtinId="9" hidden="1"/>
    <cellStyle name="Followed Hyperlink" xfId="5870" builtinId="9" hidden="1"/>
    <cellStyle name="Followed Hyperlink" xfId="5872" builtinId="9" hidden="1"/>
    <cellStyle name="Followed Hyperlink" xfId="5874" builtinId="9" hidden="1"/>
    <cellStyle name="Followed Hyperlink" xfId="5876" builtinId="9" hidden="1"/>
    <cellStyle name="Followed Hyperlink" xfId="5878" builtinId="9" hidden="1"/>
    <cellStyle name="Followed Hyperlink" xfId="5880" builtinId="9" hidden="1"/>
    <cellStyle name="Followed Hyperlink" xfId="5882" builtinId="9" hidden="1"/>
    <cellStyle name="Followed Hyperlink" xfId="5884" builtinId="9" hidden="1"/>
    <cellStyle name="Followed Hyperlink" xfId="5886" builtinId="9" hidden="1"/>
    <cellStyle name="Followed Hyperlink" xfId="5888" builtinId="9" hidden="1"/>
    <cellStyle name="Followed Hyperlink" xfId="5890" builtinId="9" hidden="1"/>
    <cellStyle name="Followed Hyperlink" xfId="5892" builtinId="9" hidden="1"/>
    <cellStyle name="Followed Hyperlink" xfId="5894" builtinId="9" hidden="1"/>
    <cellStyle name="Followed Hyperlink" xfId="5896" builtinId="9" hidden="1"/>
    <cellStyle name="Followed Hyperlink" xfId="5898" builtinId="9" hidden="1"/>
    <cellStyle name="Followed Hyperlink" xfId="5900" builtinId="9" hidden="1"/>
    <cellStyle name="Followed Hyperlink" xfId="5902" builtinId="9" hidden="1"/>
    <cellStyle name="Followed Hyperlink" xfId="5904" builtinId="9" hidden="1"/>
    <cellStyle name="Followed Hyperlink" xfId="5906" builtinId="9" hidden="1"/>
    <cellStyle name="Followed Hyperlink" xfId="5908" builtinId="9" hidden="1"/>
    <cellStyle name="Followed Hyperlink" xfId="5910" builtinId="9" hidden="1"/>
    <cellStyle name="Followed Hyperlink" xfId="5912" builtinId="9" hidden="1"/>
    <cellStyle name="Followed Hyperlink" xfId="5914" builtinId="9" hidden="1"/>
    <cellStyle name="Followed Hyperlink" xfId="5916" builtinId="9" hidden="1"/>
    <cellStyle name="Followed Hyperlink" xfId="5918" builtinId="9" hidden="1"/>
    <cellStyle name="Followed Hyperlink" xfId="5920" builtinId="9" hidden="1"/>
    <cellStyle name="Followed Hyperlink" xfId="5922" builtinId="9" hidden="1"/>
    <cellStyle name="Followed Hyperlink" xfId="5924" builtinId="9" hidden="1"/>
    <cellStyle name="Followed Hyperlink" xfId="5926" builtinId="9" hidden="1"/>
    <cellStyle name="Followed Hyperlink" xfId="5928" builtinId="9" hidden="1"/>
    <cellStyle name="Followed Hyperlink" xfId="5930" builtinId="9" hidden="1"/>
    <cellStyle name="Followed Hyperlink" xfId="5932" builtinId="9" hidden="1"/>
    <cellStyle name="Followed Hyperlink" xfId="5934" builtinId="9" hidden="1"/>
    <cellStyle name="Followed Hyperlink" xfId="5936" builtinId="9" hidden="1"/>
    <cellStyle name="Followed Hyperlink" xfId="5938" builtinId="9" hidden="1"/>
    <cellStyle name="Followed Hyperlink" xfId="5940" builtinId="9" hidden="1"/>
    <cellStyle name="Followed Hyperlink" xfId="5942" builtinId="9" hidden="1"/>
    <cellStyle name="Followed Hyperlink" xfId="5944" builtinId="9" hidden="1"/>
    <cellStyle name="Followed Hyperlink" xfId="5946" builtinId="9" hidden="1"/>
    <cellStyle name="Followed Hyperlink" xfId="5948" builtinId="9" hidden="1"/>
    <cellStyle name="Followed Hyperlink" xfId="5950" builtinId="9" hidden="1"/>
    <cellStyle name="Followed Hyperlink" xfId="5952" builtinId="9" hidden="1"/>
    <cellStyle name="Followed Hyperlink" xfId="5954" builtinId="9" hidden="1"/>
    <cellStyle name="Followed Hyperlink" xfId="5956" builtinId="9" hidden="1"/>
    <cellStyle name="Followed Hyperlink" xfId="5958" builtinId="9" hidden="1"/>
    <cellStyle name="Followed Hyperlink" xfId="5960" builtinId="9" hidden="1"/>
    <cellStyle name="Followed Hyperlink" xfId="5962" builtinId="9" hidden="1"/>
    <cellStyle name="Followed Hyperlink" xfId="5964" builtinId="9" hidden="1"/>
    <cellStyle name="Followed Hyperlink" xfId="5966" builtinId="9" hidden="1"/>
    <cellStyle name="Followed Hyperlink" xfId="5968" builtinId="9" hidden="1"/>
    <cellStyle name="Followed Hyperlink" xfId="5970" builtinId="9" hidden="1"/>
    <cellStyle name="Followed Hyperlink" xfId="5972" builtinId="9" hidden="1"/>
    <cellStyle name="Followed Hyperlink" xfId="5974" builtinId="9" hidden="1"/>
    <cellStyle name="Followed Hyperlink" xfId="5976" builtinId="9" hidden="1"/>
    <cellStyle name="Followed Hyperlink" xfId="5978" builtinId="9" hidden="1"/>
    <cellStyle name="Followed Hyperlink" xfId="5980" builtinId="9" hidden="1"/>
    <cellStyle name="Followed Hyperlink" xfId="5982" builtinId="9" hidden="1"/>
    <cellStyle name="Followed Hyperlink" xfId="5984" builtinId="9" hidden="1"/>
    <cellStyle name="Followed Hyperlink" xfId="5986" builtinId="9" hidden="1"/>
    <cellStyle name="Followed Hyperlink" xfId="5988" builtinId="9" hidden="1"/>
    <cellStyle name="Followed Hyperlink" xfId="5990" builtinId="9" hidden="1"/>
    <cellStyle name="Followed Hyperlink" xfId="5992" builtinId="9" hidden="1"/>
    <cellStyle name="Followed Hyperlink" xfId="5994" builtinId="9" hidden="1"/>
    <cellStyle name="Followed Hyperlink" xfId="5996" builtinId="9" hidden="1"/>
    <cellStyle name="Followed Hyperlink" xfId="5998" builtinId="9" hidden="1"/>
    <cellStyle name="Followed Hyperlink" xfId="6000" builtinId="9" hidden="1"/>
    <cellStyle name="Followed Hyperlink" xfId="6002" builtinId="9" hidden="1"/>
    <cellStyle name="Followed Hyperlink" xfId="6004" builtinId="9" hidden="1"/>
    <cellStyle name="Followed Hyperlink" xfId="6006" builtinId="9" hidden="1"/>
    <cellStyle name="Followed Hyperlink" xfId="6008" builtinId="9" hidden="1"/>
    <cellStyle name="Followed Hyperlink" xfId="6010" builtinId="9" hidden="1"/>
    <cellStyle name="Followed Hyperlink" xfId="6012" builtinId="9" hidden="1"/>
    <cellStyle name="Followed Hyperlink" xfId="6014" builtinId="9" hidden="1"/>
    <cellStyle name="Followed Hyperlink" xfId="6016" builtinId="9" hidden="1"/>
    <cellStyle name="Followed Hyperlink" xfId="6018" builtinId="9" hidden="1"/>
    <cellStyle name="Followed Hyperlink" xfId="6020" builtinId="9" hidden="1"/>
    <cellStyle name="Followed Hyperlink" xfId="6022" builtinId="9" hidden="1"/>
    <cellStyle name="Followed Hyperlink" xfId="6024" builtinId="9" hidden="1"/>
    <cellStyle name="Followed Hyperlink" xfId="6026" builtinId="9" hidden="1"/>
    <cellStyle name="Followed Hyperlink" xfId="6028" builtinId="9" hidden="1"/>
    <cellStyle name="Followed Hyperlink" xfId="6030" builtinId="9" hidden="1"/>
    <cellStyle name="Followed Hyperlink" xfId="6032" builtinId="9" hidden="1"/>
    <cellStyle name="Followed Hyperlink" xfId="6034" builtinId="9" hidden="1"/>
    <cellStyle name="Followed Hyperlink" xfId="6036" builtinId="9" hidden="1"/>
    <cellStyle name="Followed Hyperlink" xfId="6038" builtinId="9" hidden="1"/>
    <cellStyle name="Followed Hyperlink" xfId="6040" builtinId="9" hidden="1"/>
    <cellStyle name="Followed Hyperlink" xfId="6042" builtinId="9" hidden="1"/>
    <cellStyle name="Followed Hyperlink" xfId="6044" builtinId="9" hidden="1"/>
    <cellStyle name="Followed Hyperlink" xfId="6046" builtinId="9" hidden="1"/>
    <cellStyle name="Followed Hyperlink" xfId="6048" builtinId="9" hidden="1"/>
    <cellStyle name="Followed Hyperlink" xfId="6050" builtinId="9" hidden="1"/>
    <cellStyle name="Followed Hyperlink" xfId="6052" builtinId="9" hidden="1"/>
    <cellStyle name="Followed Hyperlink" xfId="6054" builtinId="9" hidden="1"/>
    <cellStyle name="Followed Hyperlink" xfId="6056" builtinId="9" hidden="1"/>
    <cellStyle name="Followed Hyperlink" xfId="6058" builtinId="9" hidden="1"/>
    <cellStyle name="Followed Hyperlink" xfId="6060" builtinId="9" hidden="1"/>
    <cellStyle name="Followed Hyperlink" xfId="6062" builtinId="9" hidden="1"/>
    <cellStyle name="Followed Hyperlink" xfId="6064" builtinId="9" hidden="1"/>
    <cellStyle name="Followed Hyperlink" xfId="6066" builtinId="9" hidden="1"/>
    <cellStyle name="Followed Hyperlink" xfId="6068" builtinId="9" hidden="1"/>
    <cellStyle name="Followed Hyperlink" xfId="6070" builtinId="9" hidden="1"/>
    <cellStyle name="Followed Hyperlink" xfId="6072" builtinId="9" hidden="1"/>
    <cellStyle name="Followed Hyperlink" xfId="6074" builtinId="9" hidden="1"/>
    <cellStyle name="Followed Hyperlink" xfId="6076" builtinId="9" hidden="1"/>
    <cellStyle name="Followed Hyperlink" xfId="6078" builtinId="9" hidden="1"/>
    <cellStyle name="Followed Hyperlink" xfId="6080" builtinId="9" hidden="1"/>
    <cellStyle name="Followed Hyperlink" xfId="6082" builtinId="9" hidden="1"/>
    <cellStyle name="Followed Hyperlink" xfId="6084" builtinId="9" hidden="1"/>
    <cellStyle name="Followed Hyperlink" xfId="6086" builtinId="9" hidden="1"/>
    <cellStyle name="Followed Hyperlink" xfId="6088" builtinId="9" hidden="1"/>
    <cellStyle name="Followed Hyperlink" xfId="6090" builtinId="9" hidden="1"/>
    <cellStyle name="Followed Hyperlink" xfId="6092" builtinId="9" hidden="1"/>
    <cellStyle name="Followed Hyperlink" xfId="6094" builtinId="9" hidden="1"/>
    <cellStyle name="Followed Hyperlink" xfId="6096" builtinId="9" hidden="1"/>
    <cellStyle name="Followed Hyperlink" xfId="6098" builtinId="9" hidden="1"/>
    <cellStyle name="Followed Hyperlink" xfId="6100" builtinId="9" hidden="1"/>
    <cellStyle name="Followed Hyperlink" xfId="6102" builtinId="9" hidden="1"/>
    <cellStyle name="Followed Hyperlink" xfId="6104" builtinId="9" hidden="1"/>
    <cellStyle name="Followed Hyperlink" xfId="6106" builtinId="9" hidden="1"/>
    <cellStyle name="Followed Hyperlink" xfId="6108" builtinId="9" hidden="1"/>
    <cellStyle name="Followed Hyperlink" xfId="6110" builtinId="9" hidden="1"/>
    <cellStyle name="Followed Hyperlink" xfId="6112" builtinId="9" hidden="1"/>
    <cellStyle name="Followed Hyperlink" xfId="6114" builtinId="9" hidden="1"/>
    <cellStyle name="Followed Hyperlink" xfId="6116" builtinId="9" hidden="1"/>
    <cellStyle name="Followed Hyperlink" xfId="6118" builtinId="9" hidden="1"/>
    <cellStyle name="Followed Hyperlink" xfId="6120" builtinId="9" hidden="1"/>
    <cellStyle name="Followed Hyperlink" xfId="6122" builtinId="9" hidden="1"/>
    <cellStyle name="Followed Hyperlink" xfId="6124" builtinId="9" hidden="1"/>
    <cellStyle name="Followed Hyperlink" xfId="6126" builtinId="9" hidden="1"/>
    <cellStyle name="Followed Hyperlink" xfId="6128" builtinId="9" hidden="1"/>
    <cellStyle name="Followed Hyperlink" xfId="6130" builtinId="9" hidden="1"/>
    <cellStyle name="Followed Hyperlink" xfId="6132" builtinId="9" hidden="1"/>
    <cellStyle name="Followed Hyperlink" xfId="6134" builtinId="9" hidden="1"/>
    <cellStyle name="Followed Hyperlink" xfId="6136" builtinId="9" hidden="1"/>
    <cellStyle name="Followed Hyperlink" xfId="6138" builtinId="9" hidden="1"/>
    <cellStyle name="Followed Hyperlink" xfId="6140" builtinId="9" hidden="1"/>
    <cellStyle name="Followed Hyperlink" xfId="6142" builtinId="9" hidden="1"/>
    <cellStyle name="Followed Hyperlink" xfId="6144" builtinId="9" hidden="1"/>
    <cellStyle name="Followed Hyperlink" xfId="6146" builtinId="9" hidden="1"/>
    <cellStyle name="Followed Hyperlink" xfId="6148" builtinId="9" hidden="1"/>
    <cellStyle name="Followed Hyperlink" xfId="6150" builtinId="9" hidden="1"/>
    <cellStyle name="Followed Hyperlink" xfId="6152" builtinId="9" hidden="1"/>
    <cellStyle name="Followed Hyperlink" xfId="6154" builtinId="9" hidden="1"/>
    <cellStyle name="Followed Hyperlink" xfId="6156" builtinId="9" hidden="1"/>
    <cellStyle name="Followed Hyperlink" xfId="6158" builtinId="9" hidden="1"/>
    <cellStyle name="Followed Hyperlink" xfId="6160" builtinId="9" hidden="1"/>
    <cellStyle name="Followed Hyperlink" xfId="6162" builtinId="9" hidden="1"/>
    <cellStyle name="Followed Hyperlink" xfId="6164" builtinId="9" hidden="1"/>
    <cellStyle name="Followed Hyperlink" xfId="6166" builtinId="9" hidden="1"/>
    <cellStyle name="Followed Hyperlink" xfId="6168" builtinId="9" hidden="1"/>
    <cellStyle name="Followed Hyperlink" xfId="6170" builtinId="9" hidden="1"/>
    <cellStyle name="Followed Hyperlink" xfId="6172" builtinId="9" hidden="1"/>
    <cellStyle name="Followed Hyperlink" xfId="6174" builtinId="9" hidden="1"/>
    <cellStyle name="Followed Hyperlink" xfId="6176" builtinId="9" hidden="1"/>
    <cellStyle name="Followed Hyperlink" xfId="6178" builtinId="9" hidden="1"/>
    <cellStyle name="Followed Hyperlink" xfId="6180" builtinId="9" hidden="1"/>
    <cellStyle name="Followed Hyperlink" xfId="6182" builtinId="9" hidden="1"/>
    <cellStyle name="Followed Hyperlink" xfId="6184" builtinId="9" hidden="1"/>
    <cellStyle name="Followed Hyperlink" xfId="6186" builtinId="9" hidden="1"/>
    <cellStyle name="Followed Hyperlink" xfId="6188" builtinId="9" hidden="1"/>
    <cellStyle name="Followed Hyperlink" xfId="6190" builtinId="9" hidden="1"/>
    <cellStyle name="Followed Hyperlink" xfId="6192" builtinId="9" hidden="1"/>
    <cellStyle name="Followed Hyperlink" xfId="6194" builtinId="9" hidden="1"/>
    <cellStyle name="Followed Hyperlink" xfId="6196" builtinId="9" hidden="1"/>
    <cellStyle name="Followed Hyperlink" xfId="6198" builtinId="9" hidden="1"/>
    <cellStyle name="Followed Hyperlink" xfId="6200" builtinId="9" hidden="1"/>
    <cellStyle name="Followed Hyperlink" xfId="6202" builtinId="9" hidden="1"/>
    <cellStyle name="Followed Hyperlink" xfId="6204" builtinId="9" hidden="1"/>
    <cellStyle name="Followed Hyperlink" xfId="6206" builtinId="9" hidden="1"/>
    <cellStyle name="Followed Hyperlink" xfId="6208" builtinId="9" hidden="1"/>
    <cellStyle name="Followed Hyperlink" xfId="6210" builtinId="9" hidden="1"/>
    <cellStyle name="Followed Hyperlink" xfId="6212" builtinId="9" hidden="1"/>
    <cellStyle name="Followed Hyperlink" xfId="6214" builtinId="9" hidden="1"/>
    <cellStyle name="Followed Hyperlink" xfId="6216" builtinId="9" hidden="1"/>
    <cellStyle name="Followed Hyperlink" xfId="6218" builtinId="9" hidden="1"/>
    <cellStyle name="Followed Hyperlink" xfId="6220" builtinId="9" hidden="1"/>
    <cellStyle name="Followed Hyperlink" xfId="6222" builtinId="9" hidden="1"/>
    <cellStyle name="Followed Hyperlink" xfId="6224" builtinId="9" hidden="1"/>
    <cellStyle name="Followed Hyperlink" xfId="6226" builtinId="9" hidden="1"/>
    <cellStyle name="Followed Hyperlink" xfId="6228" builtinId="9" hidden="1"/>
    <cellStyle name="Followed Hyperlink" xfId="6230" builtinId="9" hidden="1"/>
    <cellStyle name="Followed Hyperlink" xfId="6232" builtinId="9" hidden="1"/>
    <cellStyle name="Followed Hyperlink" xfId="6234" builtinId="9" hidden="1"/>
    <cellStyle name="Followed Hyperlink" xfId="6236" builtinId="9" hidden="1"/>
    <cellStyle name="Followed Hyperlink" xfId="6238" builtinId="9" hidden="1"/>
    <cellStyle name="Followed Hyperlink" xfId="6240" builtinId="9" hidden="1"/>
    <cellStyle name="Followed Hyperlink" xfId="6242" builtinId="9" hidden="1"/>
    <cellStyle name="Followed Hyperlink" xfId="6244" builtinId="9" hidden="1"/>
    <cellStyle name="Followed Hyperlink" xfId="6246" builtinId="9" hidden="1"/>
    <cellStyle name="Followed Hyperlink" xfId="6248" builtinId="9" hidden="1"/>
    <cellStyle name="Followed Hyperlink" xfId="6250" builtinId="9" hidden="1"/>
    <cellStyle name="Followed Hyperlink" xfId="6252" builtinId="9" hidden="1"/>
    <cellStyle name="Followed Hyperlink" xfId="6254" builtinId="9" hidden="1"/>
    <cellStyle name="Followed Hyperlink" xfId="6256" builtinId="9" hidden="1"/>
    <cellStyle name="Followed Hyperlink" xfId="6258" builtinId="9" hidden="1"/>
    <cellStyle name="Followed Hyperlink" xfId="6260" builtinId="9" hidden="1"/>
    <cellStyle name="Followed Hyperlink" xfId="6262" builtinId="9" hidden="1"/>
    <cellStyle name="Followed Hyperlink" xfId="6264" builtinId="9" hidden="1"/>
    <cellStyle name="Followed Hyperlink" xfId="6266" builtinId="9" hidden="1"/>
    <cellStyle name="Followed Hyperlink" xfId="6268" builtinId="9" hidden="1"/>
    <cellStyle name="Followed Hyperlink" xfId="6270" builtinId="9" hidden="1"/>
    <cellStyle name="Followed Hyperlink" xfId="6272" builtinId="9" hidden="1"/>
    <cellStyle name="Followed Hyperlink" xfId="6274" builtinId="9" hidden="1"/>
    <cellStyle name="Followed Hyperlink" xfId="6276" builtinId="9" hidden="1"/>
    <cellStyle name="Followed Hyperlink" xfId="6278" builtinId="9" hidden="1"/>
    <cellStyle name="Followed Hyperlink" xfId="6280" builtinId="9" hidden="1"/>
    <cellStyle name="Followed Hyperlink" xfId="6282" builtinId="9" hidden="1"/>
    <cellStyle name="Followed Hyperlink" xfId="6284" builtinId="9" hidden="1"/>
    <cellStyle name="Followed Hyperlink" xfId="6286" builtinId="9" hidden="1"/>
    <cellStyle name="Followed Hyperlink" xfId="6288" builtinId="9" hidden="1"/>
    <cellStyle name="Followed Hyperlink" xfId="6290" builtinId="9" hidden="1"/>
    <cellStyle name="Followed Hyperlink" xfId="6292" builtinId="9" hidden="1"/>
    <cellStyle name="Followed Hyperlink" xfId="6294" builtinId="9" hidden="1"/>
    <cellStyle name="Followed Hyperlink" xfId="6296" builtinId="9" hidden="1"/>
    <cellStyle name="Followed Hyperlink" xfId="6298" builtinId="9" hidden="1"/>
    <cellStyle name="Followed Hyperlink" xfId="6300" builtinId="9" hidden="1"/>
    <cellStyle name="Followed Hyperlink" xfId="6302" builtinId="9" hidden="1"/>
    <cellStyle name="Followed Hyperlink" xfId="6304" builtinId="9" hidden="1"/>
    <cellStyle name="Followed Hyperlink" xfId="6306" builtinId="9" hidden="1"/>
    <cellStyle name="Followed Hyperlink" xfId="6308" builtinId="9" hidden="1"/>
    <cellStyle name="Followed Hyperlink" xfId="6310" builtinId="9" hidden="1"/>
    <cellStyle name="Followed Hyperlink" xfId="6312" builtinId="9" hidden="1"/>
    <cellStyle name="Followed Hyperlink" xfId="6314" builtinId="9" hidden="1"/>
    <cellStyle name="Followed Hyperlink" xfId="6316" builtinId="9" hidden="1"/>
    <cellStyle name="Followed Hyperlink" xfId="6318" builtinId="9" hidden="1"/>
    <cellStyle name="Followed Hyperlink" xfId="6320" builtinId="9" hidden="1"/>
    <cellStyle name="Followed Hyperlink" xfId="6322" builtinId="9" hidden="1"/>
    <cellStyle name="Followed Hyperlink" xfId="6324" builtinId="9" hidden="1"/>
    <cellStyle name="Followed Hyperlink" xfId="6326" builtinId="9" hidden="1"/>
    <cellStyle name="Followed Hyperlink" xfId="6328" builtinId="9" hidden="1"/>
    <cellStyle name="Followed Hyperlink" xfId="6330" builtinId="9" hidden="1"/>
    <cellStyle name="Followed Hyperlink" xfId="6332" builtinId="9" hidden="1"/>
    <cellStyle name="Followed Hyperlink" xfId="6334" builtinId="9" hidden="1"/>
    <cellStyle name="Followed Hyperlink" xfId="6336" builtinId="9" hidden="1"/>
    <cellStyle name="Followed Hyperlink" xfId="6338" builtinId="9" hidden="1"/>
    <cellStyle name="Followed Hyperlink" xfId="6340" builtinId="9" hidden="1"/>
    <cellStyle name="Followed Hyperlink" xfId="6342" builtinId="9" hidden="1"/>
    <cellStyle name="Followed Hyperlink" xfId="6344" builtinId="9" hidden="1"/>
    <cellStyle name="Followed Hyperlink" xfId="6346" builtinId="9" hidden="1"/>
    <cellStyle name="Followed Hyperlink" xfId="6348" builtinId="9" hidden="1"/>
    <cellStyle name="Followed Hyperlink" xfId="6350" builtinId="9" hidden="1"/>
    <cellStyle name="Followed Hyperlink" xfId="6352" builtinId="9" hidden="1"/>
    <cellStyle name="Followed Hyperlink" xfId="6354" builtinId="9" hidden="1"/>
    <cellStyle name="Followed Hyperlink" xfId="6356" builtinId="9" hidden="1"/>
    <cellStyle name="Followed Hyperlink" xfId="6358" builtinId="9" hidden="1"/>
    <cellStyle name="Followed Hyperlink" xfId="6360" builtinId="9" hidden="1"/>
    <cellStyle name="Followed Hyperlink" xfId="6362" builtinId="9" hidden="1"/>
    <cellStyle name="Followed Hyperlink" xfId="6364" builtinId="9" hidden="1"/>
    <cellStyle name="Followed Hyperlink" xfId="6366" builtinId="9" hidden="1"/>
    <cellStyle name="Followed Hyperlink" xfId="6368" builtinId="9" hidden="1"/>
    <cellStyle name="Followed Hyperlink" xfId="6370" builtinId="9" hidden="1"/>
    <cellStyle name="Followed Hyperlink" xfId="6372" builtinId="9" hidden="1"/>
    <cellStyle name="Followed Hyperlink" xfId="6374" builtinId="9" hidden="1"/>
    <cellStyle name="Followed Hyperlink" xfId="6376" builtinId="9" hidden="1"/>
    <cellStyle name="Followed Hyperlink" xfId="6378" builtinId="9" hidden="1"/>
    <cellStyle name="Followed Hyperlink" xfId="6380" builtinId="9" hidden="1"/>
    <cellStyle name="Followed Hyperlink" xfId="6382" builtinId="9" hidden="1"/>
    <cellStyle name="Followed Hyperlink" xfId="6384" builtinId="9" hidden="1"/>
    <cellStyle name="Followed Hyperlink" xfId="6386" builtinId="9" hidden="1"/>
    <cellStyle name="Followed Hyperlink" xfId="6388" builtinId="9" hidden="1"/>
    <cellStyle name="Followed Hyperlink" xfId="6390" builtinId="9" hidden="1"/>
    <cellStyle name="Followed Hyperlink" xfId="6392" builtinId="9" hidden="1"/>
    <cellStyle name="Followed Hyperlink" xfId="6394" builtinId="9" hidden="1"/>
    <cellStyle name="Followed Hyperlink" xfId="6396" builtinId="9" hidden="1"/>
    <cellStyle name="Followed Hyperlink" xfId="6398" builtinId="9" hidden="1"/>
    <cellStyle name="Followed Hyperlink" xfId="6400" builtinId="9" hidden="1"/>
    <cellStyle name="Followed Hyperlink" xfId="6402" builtinId="9" hidden="1"/>
    <cellStyle name="Followed Hyperlink" xfId="6404" builtinId="9" hidden="1"/>
    <cellStyle name="Followed Hyperlink" xfId="6406" builtinId="9" hidden="1"/>
    <cellStyle name="Followed Hyperlink" xfId="6408" builtinId="9" hidden="1"/>
    <cellStyle name="Followed Hyperlink" xfId="6410" builtinId="9" hidden="1"/>
    <cellStyle name="Followed Hyperlink" xfId="6412" builtinId="9" hidden="1"/>
    <cellStyle name="Followed Hyperlink" xfId="6414" builtinId="9" hidden="1"/>
    <cellStyle name="Followed Hyperlink" xfId="6416" builtinId="9" hidden="1"/>
    <cellStyle name="Followed Hyperlink" xfId="6418" builtinId="9" hidden="1"/>
    <cellStyle name="Followed Hyperlink" xfId="6420" builtinId="9" hidden="1"/>
    <cellStyle name="Followed Hyperlink" xfId="6422" builtinId="9" hidden="1"/>
    <cellStyle name="Followed Hyperlink" xfId="6424" builtinId="9" hidden="1"/>
    <cellStyle name="Followed Hyperlink" xfId="6426" builtinId="9" hidden="1"/>
    <cellStyle name="Followed Hyperlink" xfId="6428" builtinId="9" hidden="1"/>
    <cellStyle name="Followed Hyperlink" xfId="6430" builtinId="9" hidden="1"/>
    <cellStyle name="Followed Hyperlink" xfId="6432" builtinId="9" hidden="1"/>
    <cellStyle name="Followed Hyperlink" xfId="6434" builtinId="9" hidden="1"/>
    <cellStyle name="Followed Hyperlink" xfId="6436" builtinId="9" hidden="1"/>
    <cellStyle name="Followed Hyperlink" xfId="6438" builtinId="9" hidden="1"/>
    <cellStyle name="Followed Hyperlink" xfId="6440" builtinId="9" hidden="1"/>
    <cellStyle name="Followed Hyperlink" xfId="6442" builtinId="9" hidden="1"/>
    <cellStyle name="Followed Hyperlink" xfId="6444" builtinId="9" hidden="1"/>
    <cellStyle name="Followed Hyperlink" xfId="6446" builtinId="9" hidden="1"/>
    <cellStyle name="Followed Hyperlink" xfId="6448" builtinId="9" hidden="1"/>
    <cellStyle name="Followed Hyperlink" xfId="6450" builtinId="9" hidden="1"/>
    <cellStyle name="Followed Hyperlink" xfId="6452" builtinId="9" hidden="1"/>
    <cellStyle name="Followed Hyperlink" xfId="6454" builtinId="9" hidden="1"/>
    <cellStyle name="Followed Hyperlink" xfId="6456" builtinId="9" hidden="1"/>
    <cellStyle name="Followed Hyperlink" xfId="6458" builtinId="9" hidden="1"/>
    <cellStyle name="Followed Hyperlink" xfId="6460" builtinId="9" hidden="1"/>
    <cellStyle name="Followed Hyperlink" xfId="6462" builtinId="9" hidden="1"/>
    <cellStyle name="Followed Hyperlink" xfId="6464" builtinId="9" hidden="1"/>
    <cellStyle name="Followed Hyperlink" xfId="6466" builtinId="9" hidden="1"/>
    <cellStyle name="Followed Hyperlink" xfId="6468" builtinId="9" hidden="1"/>
    <cellStyle name="Followed Hyperlink" xfId="6470" builtinId="9" hidden="1"/>
    <cellStyle name="Followed Hyperlink" xfId="6472" builtinId="9" hidden="1"/>
    <cellStyle name="Followed Hyperlink" xfId="6474" builtinId="9" hidden="1"/>
    <cellStyle name="Followed Hyperlink" xfId="6476" builtinId="9" hidden="1"/>
    <cellStyle name="Followed Hyperlink" xfId="6478" builtinId="9" hidden="1"/>
    <cellStyle name="Followed Hyperlink" xfId="6480" builtinId="9" hidden="1"/>
    <cellStyle name="Followed Hyperlink" xfId="6482" builtinId="9" hidden="1"/>
    <cellStyle name="Followed Hyperlink" xfId="6484" builtinId="9" hidden="1"/>
    <cellStyle name="Followed Hyperlink" xfId="6486" builtinId="9" hidden="1"/>
    <cellStyle name="Followed Hyperlink" xfId="6488" builtinId="9" hidden="1"/>
    <cellStyle name="Followed Hyperlink" xfId="6490" builtinId="9" hidden="1"/>
    <cellStyle name="Followed Hyperlink" xfId="6492" builtinId="9" hidden="1"/>
    <cellStyle name="Followed Hyperlink" xfId="6494" builtinId="9" hidden="1"/>
    <cellStyle name="Followed Hyperlink" xfId="6496" builtinId="9" hidden="1"/>
    <cellStyle name="Followed Hyperlink" xfId="6498" builtinId="9" hidden="1"/>
    <cellStyle name="Followed Hyperlink" xfId="6500" builtinId="9" hidden="1"/>
    <cellStyle name="Followed Hyperlink" xfId="6502" builtinId="9" hidden="1"/>
    <cellStyle name="Followed Hyperlink" xfId="6504" builtinId="9" hidden="1"/>
    <cellStyle name="Followed Hyperlink" xfId="6506" builtinId="9" hidden="1"/>
    <cellStyle name="Followed Hyperlink" xfId="6508" builtinId="9" hidden="1"/>
    <cellStyle name="Followed Hyperlink" xfId="6510" builtinId="9" hidden="1"/>
    <cellStyle name="Followed Hyperlink" xfId="6512" builtinId="9" hidden="1"/>
    <cellStyle name="Followed Hyperlink" xfId="6514" builtinId="9" hidden="1"/>
    <cellStyle name="Followed Hyperlink" xfId="6516" builtinId="9" hidden="1"/>
    <cellStyle name="Followed Hyperlink" xfId="6518" builtinId="9" hidden="1"/>
    <cellStyle name="Followed Hyperlink" xfId="6520" builtinId="9" hidden="1"/>
    <cellStyle name="Followed Hyperlink" xfId="6522" builtinId="9" hidden="1"/>
    <cellStyle name="Followed Hyperlink" xfId="6524" builtinId="9" hidden="1"/>
    <cellStyle name="Followed Hyperlink" xfId="6526" builtinId="9" hidden="1"/>
    <cellStyle name="Followed Hyperlink" xfId="6528" builtinId="9" hidden="1"/>
    <cellStyle name="Followed Hyperlink" xfId="6530" builtinId="9" hidden="1"/>
    <cellStyle name="Followed Hyperlink" xfId="6532" builtinId="9" hidden="1"/>
    <cellStyle name="Followed Hyperlink" xfId="6534" builtinId="9" hidden="1"/>
    <cellStyle name="Followed Hyperlink" xfId="6536" builtinId="9" hidden="1"/>
    <cellStyle name="Followed Hyperlink" xfId="6538" builtinId="9" hidden="1"/>
    <cellStyle name="Followed Hyperlink" xfId="6540" builtinId="9" hidden="1"/>
    <cellStyle name="Followed Hyperlink" xfId="6542" builtinId="9" hidden="1"/>
    <cellStyle name="Followed Hyperlink" xfId="6544" builtinId="9" hidden="1"/>
    <cellStyle name="Followed Hyperlink" xfId="6546" builtinId="9" hidden="1"/>
    <cellStyle name="Followed Hyperlink" xfId="6548" builtinId="9" hidden="1"/>
    <cellStyle name="Followed Hyperlink" xfId="6550" builtinId="9" hidden="1"/>
    <cellStyle name="Followed Hyperlink" xfId="6552" builtinId="9" hidden="1"/>
    <cellStyle name="Followed Hyperlink" xfId="6554" builtinId="9" hidden="1"/>
    <cellStyle name="Followed Hyperlink" xfId="6556" builtinId="9" hidden="1"/>
    <cellStyle name="Followed Hyperlink" xfId="6558" builtinId="9" hidden="1"/>
    <cellStyle name="Followed Hyperlink" xfId="6560" builtinId="9" hidden="1"/>
    <cellStyle name="Followed Hyperlink" xfId="6562" builtinId="9" hidden="1"/>
    <cellStyle name="Followed Hyperlink" xfId="6564" builtinId="9" hidden="1"/>
    <cellStyle name="Followed Hyperlink" xfId="6566" builtinId="9" hidden="1"/>
    <cellStyle name="Followed Hyperlink" xfId="6568" builtinId="9" hidden="1"/>
    <cellStyle name="Followed Hyperlink" xfId="6570" builtinId="9" hidden="1"/>
    <cellStyle name="Followed Hyperlink" xfId="6572" builtinId="9" hidden="1"/>
    <cellStyle name="Followed Hyperlink" xfId="6574" builtinId="9" hidden="1"/>
    <cellStyle name="Followed Hyperlink" xfId="6576" builtinId="9" hidden="1"/>
    <cellStyle name="Followed Hyperlink" xfId="6578" builtinId="9" hidden="1"/>
    <cellStyle name="Followed Hyperlink" xfId="6580" builtinId="9" hidden="1"/>
    <cellStyle name="Followed Hyperlink" xfId="6582" builtinId="9" hidden="1"/>
    <cellStyle name="Followed Hyperlink" xfId="6584" builtinId="9" hidden="1"/>
    <cellStyle name="Followed Hyperlink" xfId="6586" builtinId="9" hidden="1"/>
    <cellStyle name="Followed Hyperlink" xfId="6588" builtinId="9" hidden="1"/>
    <cellStyle name="Followed Hyperlink" xfId="6590" builtinId="9" hidden="1"/>
    <cellStyle name="Followed Hyperlink" xfId="6592" builtinId="9" hidden="1"/>
    <cellStyle name="Followed Hyperlink" xfId="6594" builtinId="9" hidden="1"/>
    <cellStyle name="Followed Hyperlink" xfId="6596" builtinId="9" hidden="1"/>
    <cellStyle name="Followed Hyperlink" xfId="6598" builtinId="9" hidden="1"/>
    <cellStyle name="Followed Hyperlink" xfId="6600" builtinId="9" hidden="1"/>
    <cellStyle name="Followed Hyperlink" xfId="6602" builtinId="9" hidden="1"/>
    <cellStyle name="Followed Hyperlink" xfId="6604" builtinId="9" hidden="1"/>
    <cellStyle name="Followed Hyperlink" xfId="6606" builtinId="9" hidden="1"/>
    <cellStyle name="Followed Hyperlink" xfId="6608" builtinId="9" hidden="1"/>
    <cellStyle name="Followed Hyperlink" xfId="6610" builtinId="9" hidden="1"/>
    <cellStyle name="Followed Hyperlink" xfId="6612" builtinId="9" hidden="1"/>
    <cellStyle name="Followed Hyperlink" xfId="6614" builtinId="9" hidden="1"/>
    <cellStyle name="Followed Hyperlink" xfId="6616" builtinId="9" hidden="1"/>
    <cellStyle name="Followed Hyperlink" xfId="6618" builtinId="9" hidden="1"/>
    <cellStyle name="Followed Hyperlink" xfId="6620" builtinId="9" hidden="1"/>
    <cellStyle name="Followed Hyperlink" xfId="6622" builtinId="9" hidden="1"/>
    <cellStyle name="Followed Hyperlink" xfId="6624" builtinId="9" hidden="1"/>
    <cellStyle name="Followed Hyperlink" xfId="6626" builtinId="9" hidden="1"/>
    <cellStyle name="Followed Hyperlink" xfId="6628" builtinId="9" hidden="1"/>
    <cellStyle name="Followed Hyperlink" xfId="6630" builtinId="9" hidden="1"/>
    <cellStyle name="Followed Hyperlink" xfId="6632" builtinId="9" hidden="1"/>
    <cellStyle name="Followed Hyperlink" xfId="6634" builtinId="9" hidden="1"/>
    <cellStyle name="Followed Hyperlink" xfId="6636" builtinId="9" hidden="1"/>
    <cellStyle name="Followed Hyperlink" xfId="6638" builtinId="9" hidden="1"/>
    <cellStyle name="Followed Hyperlink" xfId="6640" builtinId="9" hidden="1"/>
    <cellStyle name="Followed Hyperlink" xfId="6642" builtinId="9" hidden="1"/>
    <cellStyle name="Followed Hyperlink" xfId="6644" builtinId="9" hidden="1"/>
    <cellStyle name="Followed Hyperlink" xfId="6646" builtinId="9" hidden="1"/>
    <cellStyle name="Followed Hyperlink" xfId="6648" builtinId="9" hidden="1"/>
    <cellStyle name="Followed Hyperlink" xfId="6650" builtinId="9" hidden="1"/>
    <cellStyle name="Followed Hyperlink" xfId="6652" builtinId="9" hidden="1"/>
    <cellStyle name="Followed Hyperlink" xfId="6654" builtinId="9" hidden="1"/>
    <cellStyle name="Followed Hyperlink" xfId="6656" builtinId="9" hidden="1"/>
    <cellStyle name="Followed Hyperlink" xfId="6658" builtinId="9" hidden="1"/>
    <cellStyle name="Followed Hyperlink" xfId="6660" builtinId="9" hidden="1"/>
    <cellStyle name="Followed Hyperlink" xfId="6662" builtinId="9" hidden="1"/>
    <cellStyle name="Followed Hyperlink" xfId="6664" builtinId="9" hidden="1"/>
    <cellStyle name="Followed Hyperlink" xfId="6666" builtinId="9" hidden="1"/>
    <cellStyle name="Followed Hyperlink" xfId="6668" builtinId="9" hidden="1"/>
    <cellStyle name="Followed Hyperlink" xfId="6670" builtinId="9" hidden="1"/>
    <cellStyle name="Followed Hyperlink" xfId="6672" builtinId="9" hidden="1"/>
    <cellStyle name="Followed Hyperlink" xfId="6674" builtinId="9" hidden="1"/>
    <cellStyle name="Followed Hyperlink" xfId="6676" builtinId="9" hidden="1"/>
    <cellStyle name="Followed Hyperlink" xfId="6678" builtinId="9" hidden="1"/>
    <cellStyle name="Followed Hyperlink" xfId="6680" builtinId="9" hidden="1"/>
    <cellStyle name="Followed Hyperlink" xfId="6682" builtinId="9" hidden="1"/>
    <cellStyle name="Followed Hyperlink" xfId="6684" builtinId="9" hidden="1"/>
    <cellStyle name="Followed Hyperlink" xfId="6686" builtinId="9" hidden="1"/>
    <cellStyle name="Followed Hyperlink" xfId="6688" builtinId="9" hidden="1"/>
    <cellStyle name="Followed Hyperlink" xfId="6690" builtinId="9" hidden="1"/>
    <cellStyle name="Followed Hyperlink" xfId="6692" builtinId="9" hidden="1"/>
    <cellStyle name="Followed Hyperlink" xfId="6694" builtinId="9" hidden="1"/>
    <cellStyle name="Followed Hyperlink" xfId="6696" builtinId="9" hidden="1"/>
    <cellStyle name="Followed Hyperlink" xfId="6698" builtinId="9" hidden="1"/>
    <cellStyle name="Followed Hyperlink" xfId="6700" builtinId="9" hidden="1"/>
    <cellStyle name="Followed Hyperlink" xfId="6702" builtinId="9" hidden="1"/>
    <cellStyle name="Followed Hyperlink" xfId="6704" builtinId="9" hidden="1"/>
    <cellStyle name="Followed Hyperlink" xfId="6706" builtinId="9" hidden="1"/>
    <cellStyle name="Followed Hyperlink" xfId="6708" builtinId="9" hidden="1"/>
    <cellStyle name="Followed Hyperlink" xfId="6710" builtinId="9" hidden="1"/>
    <cellStyle name="Followed Hyperlink" xfId="6712" builtinId="9" hidden="1"/>
    <cellStyle name="Followed Hyperlink" xfId="6714" builtinId="9" hidden="1"/>
    <cellStyle name="Followed Hyperlink" xfId="6716" builtinId="9" hidden="1"/>
    <cellStyle name="Followed Hyperlink" xfId="6718" builtinId="9" hidden="1"/>
    <cellStyle name="Followed Hyperlink" xfId="6720" builtinId="9" hidden="1"/>
    <cellStyle name="Followed Hyperlink" xfId="6722" builtinId="9" hidden="1"/>
    <cellStyle name="Followed Hyperlink" xfId="6724" builtinId="9" hidden="1"/>
    <cellStyle name="Followed Hyperlink" xfId="6726" builtinId="9" hidden="1"/>
    <cellStyle name="Followed Hyperlink" xfId="6728" builtinId="9" hidden="1"/>
    <cellStyle name="Followed Hyperlink" xfId="6730" builtinId="9" hidden="1"/>
    <cellStyle name="Followed Hyperlink" xfId="6732" builtinId="9" hidden="1"/>
    <cellStyle name="Followed Hyperlink" xfId="6734" builtinId="9" hidden="1"/>
    <cellStyle name="Followed Hyperlink" xfId="6736" builtinId="9" hidden="1"/>
    <cellStyle name="Followed Hyperlink" xfId="6738" builtinId="9" hidden="1"/>
    <cellStyle name="Followed Hyperlink" xfId="6740" builtinId="9" hidden="1"/>
    <cellStyle name="Followed Hyperlink" xfId="6742" builtinId="9" hidden="1"/>
    <cellStyle name="Followed Hyperlink" xfId="6744" builtinId="9" hidden="1"/>
    <cellStyle name="Followed Hyperlink" xfId="6746" builtinId="9" hidden="1"/>
    <cellStyle name="Followed Hyperlink" xfId="6748" builtinId="9" hidden="1"/>
    <cellStyle name="Followed Hyperlink" xfId="6750" builtinId="9" hidden="1"/>
    <cellStyle name="Followed Hyperlink" xfId="6752" builtinId="9" hidden="1"/>
    <cellStyle name="Followed Hyperlink" xfId="6754" builtinId="9" hidden="1"/>
    <cellStyle name="Followed Hyperlink" xfId="6756" builtinId="9" hidden="1"/>
    <cellStyle name="Followed Hyperlink" xfId="6758" builtinId="9" hidden="1"/>
    <cellStyle name="Followed Hyperlink" xfId="6760" builtinId="9" hidden="1"/>
    <cellStyle name="Followed Hyperlink" xfId="6762" builtinId="9" hidden="1"/>
    <cellStyle name="Followed Hyperlink" xfId="6764" builtinId="9" hidden="1"/>
    <cellStyle name="Followed Hyperlink" xfId="6766" builtinId="9" hidden="1"/>
    <cellStyle name="Followed Hyperlink" xfId="6768" builtinId="9" hidden="1"/>
    <cellStyle name="Followed Hyperlink" xfId="6770" builtinId="9" hidden="1"/>
    <cellStyle name="Followed Hyperlink" xfId="6772" builtinId="9" hidden="1"/>
    <cellStyle name="Followed Hyperlink" xfId="6774" builtinId="9" hidden="1"/>
    <cellStyle name="Followed Hyperlink" xfId="6776" builtinId="9" hidden="1"/>
    <cellStyle name="Followed Hyperlink" xfId="6778" builtinId="9" hidden="1"/>
    <cellStyle name="Followed Hyperlink" xfId="6780" builtinId="9" hidden="1"/>
    <cellStyle name="Followed Hyperlink" xfId="6782" builtinId="9" hidden="1"/>
    <cellStyle name="Followed Hyperlink" xfId="6784" builtinId="9" hidden="1"/>
    <cellStyle name="Followed Hyperlink" xfId="6786" builtinId="9" hidden="1"/>
    <cellStyle name="Followed Hyperlink" xfId="6788" builtinId="9" hidden="1"/>
    <cellStyle name="Followed Hyperlink" xfId="6790" builtinId="9" hidden="1"/>
    <cellStyle name="Followed Hyperlink" xfId="6792" builtinId="9" hidden="1"/>
    <cellStyle name="Followed Hyperlink" xfId="6794" builtinId="9" hidden="1"/>
    <cellStyle name="Followed Hyperlink" xfId="6796" builtinId="9" hidden="1"/>
    <cellStyle name="Followed Hyperlink" xfId="6798" builtinId="9" hidden="1"/>
    <cellStyle name="Followed Hyperlink" xfId="6800" builtinId="9" hidden="1"/>
    <cellStyle name="Followed Hyperlink" xfId="6802" builtinId="9" hidden="1"/>
    <cellStyle name="Followed Hyperlink" xfId="6804" builtinId="9" hidden="1"/>
    <cellStyle name="Followed Hyperlink" xfId="6806" builtinId="9" hidden="1"/>
    <cellStyle name="Followed Hyperlink" xfId="6808" builtinId="9" hidden="1"/>
    <cellStyle name="Followed Hyperlink" xfId="6810" builtinId="9" hidden="1"/>
    <cellStyle name="Followed Hyperlink" xfId="6812" builtinId="9" hidden="1"/>
    <cellStyle name="Followed Hyperlink" xfId="6814" builtinId="9" hidden="1"/>
    <cellStyle name="Followed Hyperlink" xfId="6816" builtinId="9" hidden="1"/>
    <cellStyle name="Followed Hyperlink" xfId="6818" builtinId="9" hidden="1"/>
    <cellStyle name="Followed Hyperlink" xfId="6820" builtinId="9" hidden="1"/>
    <cellStyle name="Followed Hyperlink" xfId="6822" builtinId="9" hidden="1"/>
    <cellStyle name="Followed Hyperlink" xfId="6824" builtinId="9" hidden="1"/>
    <cellStyle name="Followed Hyperlink" xfId="6826" builtinId="9" hidden="1"/>
    <cellStyle name="Followed Hyperlink" xfId="6828" builtinId="9" hidden="1"/>
    <cellStyle name="Followed Hyperlink" xfId="6830" builtinId="9" hidden="1"/>
    <cellStyle name="Followed Hyperlink" xfId="6832" builtinId="9" hidden="1"/>
    <cellStyle name="Followed Hyperlink" xfId="6834" builtinId="9" hidden="1"/>
    <cellStyle name="Followed Hyperlink" xfId="6836" builtinId="9" hidden="1"/>
    <cellStyle name="Followed Hyperlink" xfId="6838" builtinId="9" hidden="1"/>
    <cellStyle name="Followed Hyperlink" xfId="6840" builtinId="9" hidden="1"/>
    <cellStyle name="Followed Hyperlink" xfId="6842" builtinId="9" hidden="1"/>
    <cellStyle name="Followed Hyperlink" xfId="6844" builtinId="9" hidden="1"/>
    <cellStyle name="Followed Hyperlink" xfId="6846" builtinId="9" hidden="1"/>
    <cellStyle name="Followed Hyperlink" xfId="6848" builtinId="9" hidden="1"/>
    <cellStyle name="Followed Hyperlink" xfId="6850" builtinId="9" hidden="1"/>
    <cellStyle name="Followed Hyperlink" xfId="6852" builtinId="9" hidden="1"/>
    <cellStyle name="Followed Hyperlink" xfId="6854" builtinId="9" hidden="1"/>
    <cellStyle name="Followed Hyperlink" xfId="6856" builtinId="9" hidden="1"/>
    <cellStyle name="Followed Hyperlink" xfId="6858" builtinId="9" hidden="1"/>
    <cellStyle name="Followed Hyperlink" xfId="6860" builtinId="9" hidden="1"/>
    <cellStyle name="Followed Hyperlink" xfId="6862" builtinId="9" hidden="1"/>
    <cellStyle name="Followed Hyperlink" xfId="6864" builtinId="9" hidden="1"/>
    <cellStyle name="Followed Hyperlink" xfId="6866" builtinId="9" hidden="1"/>
    <cellStyle name="Followed Hyperlink" xfId="6868" builtinId="9" hidden="1"/>
    <cellStyle name="Followed Hyperlink" xfId="6870" builtinId="9" hidden="1"/>
    <cellStyle name="Followed Hyperlink" xfId="6872" builtinId="9" hidden="1"/>
    <cellStyle name="Followed Hyperlink" xfId="6874" builtinId="9" hidden="1"/>
    <cellStyle name="Followed Hyperlink" xfId="6876" builtinId="9" hidden="1"/>
    <cellStyle name="Followed Hyperlink" xfId="6878" builtinId="9" hidden="1"/>
    <cellStyle name="Followed Hyperlink" xfId="6880" builtinId="9" hidden="1"/>
    <cellStyle name="Followed Hyperlink" xfId="6882" builtinId="9" hidden="1"/>
    <cellStyle name="Followed Hyperlink" xfId="6884" builtinId="9" hidden="1"/>
    <cellStyle name="Followed Hyperlink" xfId="6886" builtinId="9" hidden="1"/>
    <cellStyle name="Followed Hyperlink" xfId="6888" builtinId="9" hidden="1"/>
    <cellStyle name="Followed Hyperlink" xfId="6890" builtinId="9" hidden="1"/>
    <cellStyle name="Followed Hyperlink" xfId="6892" builtinId="9" hidden="1"/>
    <cellStyle name="Followed Hyperlink" xfId="6894" builtinId="9" hidden="1"/>
    <cellStyle name="Followed Hyperlink" xfId="6896" builtinId="9" hidden="1"/>
    <cellStyle name="Followed Hyperlink" xfId="6898" builtinId="9" hidden="1"/>
    <cellStyle name="Followed Hyperlink" xfId="6900" builtinId="9" hidden="1"/>
    <cellStyle name="Followed Hyperlink" xfId="6902" builtinId="9" hidden="1"/>
    <cellStyle name="Followed Hyperlink" xfId="6904" builtinId="9" hidden="1"/>
    <cellStyle name="Followed Hyperlink" xfId="6906" builtinId="9" hidden="1"/>
    <cellStyle name="Followed Hyperlink" xfId="6908" builtinId="9" hidden="1"/>
    <cellStyle name="Followed Hyperlink" xfId="6910" builtinId="9" hidden="1"/>
    <cellStyle name="Followed Hyperlink" xfId="6912" builtinId="9" hidden="1"/>
    <cellStyle name="Followed Hyperlink" xfId="6914" builtinId="9" hidden="1"/>
    <cellStyle name="Followed Hyperlink" xfId="6916" builtinId="9" hidden="1"/>
    <cellStyle name="Followed Hyperlink" xfId="6918" builtinId="9" hidden="1"/>
    <cellStyle name="Followed Hyperlink" xfId="6920" builtinId="9" hidden="1"/>
    <cellStyle name="Followed Hyperlink" xfId="6922" builtinId="9" hidden="1"/>
    <cellStyle name="Followed Hyperlink" xfId="6924" builtinId="9" hidden="1"/>
    <cellStyle name="Followed Hyperlink" xfId="6926" builtinId="9" hidden="1"/>
    <cellStyle name="Followed Hyperlink" xfId="6928" builtinId="9" hidden="1"/>
    <cellStyle name="Followed Hyperlink" xfId="6930" builtinId="9" hidden="1"/>
    <cellStyle name="Followed Hyperlink" xfId="6932" builtinId="9" hidden="1"/>
    <cellStyle name="Followed Hyperlink" xfId="6934" builtinId="9" hidden="1"/>
    <cellStyle name="Followed Hyperlink" xfId="6936" builtinId="9" hidden="1"/>
    <cellStyle name="Followed Hyperlink" xfId="6938" builtinId="9" hidden="1"/>
    <cellStyle name="Followed Hyperlink" xfId="6940" builtinId="9" hidden="1"/>
    <cellStyle name="Followed Hyperlink" xfId="6942" builtinId="9" hidden="1"/>
    <cellStyle name="Followed Hyperlink" xfId="6944" builtinId="9" hidden="1"/>
    <cellStyle name="Followed Hyperlink" xfId="6946" builtinId="9" hidden="1"/>
    <cellStyle name="Followed Hyperlink" xfId="6948" builtinId="9" hidden="1"/>
    <cellStyle name="Followed Hyperlink" xfId="6950" builtinId="9" hidden="1"/>
    <cellStyle name="Followed Hyperlink" xfId="6952" builtinId="9" hidden="1"/>
    <cellStyle name="Followed Hyperlink" xfId="6954" builtinId="9" hidden="1"/>
    <cellStyle name="Followed Hyperlink" xfId="6956" builtinId="9" hidden="1"/>
    <cellStyle name="Followed Hyperlink" xfId="6958" builtinId="9" hidden="1"/>
    <cellStyle name="Followed Hyperlink" xfId="6960" builtinId="9" hidden="1"/>
    <cellStyle name="Followed Hyperlink" xfId="6962" builtinId="9" hidden="1"/>
    <cellStyle name="Followed Hyperlink" xfId="6964" builtinId="9" hidden="1"/>
    <cellStyle name="Followed Hyperlink" xfId="6966" builtinId="9" hidden="1"/>
    <cellStyle name="Followed Hyperlink" xfId="6968" builtinId="9" hidden="1"/>
    <cellStyle name="Followed Hyperlink" xfId="6970" builtinId="9" hidden="1"/>
    <cellStyle name="Followed Hyperlink" xfId="6972" builtinId="9" hidden="1"/>
    <cellStyle name="Followed Hyperlink" xfId="6974" builtinId="9" hidden="1"/>
    <cellStyle name="Followed Hyperlink" xfId="6976" builtinId="9" hidden="1"/>
    <cellStyle name="Followed Hyperlink" xfId="6978" builtinId="9" hidden="1"/>
    <cellStyle name="Followed Hyperlink" xfId="6980" builtinId="9" hidden="1"/>
    <cellStyle name="Followed Hyperlink" xfId="6982" builtinId="9" hidden="1"/>
    <cellStyle name="Followed Hyperlink" xfId="6984" builtinId="9" hidden="1"/>
    <cellStyle name="Followed Hyperlink" xfId="6986" builtinId="9" hidden="1"/>
    <cellStyle name="Followed Hyperlink" xfId="6988" builtinId="9" hidden="1"/>
    <cellStyle name="Followed Hyperlink" xfId="6990" builtinId="9" hidden="1"/>
    <cellStyle name="Followed Hyperlink" xfId="6992" builtinId="9" hidden="1"/>
    <cellStyle name="Followed Hyperlink" xfId="6994" builtinId="9" hidden="1"/>
    <cellStyle name="Followed Hyperlink" xfId="6996" builtinId="9" hidden="1"/>
    <cellStyle name="Followed Hyperlink" xfId="6998" builtinId="9" hidden="1"/>
    <cellStyle name="Followed Hyperlink" xfId="7000" builtinId="9" hidden="1"/>
    <cellStyle name="Followed Hyperlink" xfId="7002" builtinId="9" hidden="1"/>
    <cellStyle name="Followed Hyperlink" xfId="7004" builtinId="9" hidden="1"/>
    <cellStyle name="Followed Hyperlink" xfId="7006" builtinId="9" hidden="1"/>
    <cellStyle name="Followed Hyperlink" xfId="7008" builtinId="9" hidden="1"/>
    <cellStyle name="Followed Hyperlink" xfId="7010" builtinId="9" hidden="1"/>
    <cellStyle name="Followed Hyperlink" xfId="7012" builtinId="9" hidden="1"/>
    <cellStyle name="Followed Hyperlink" xfId="7014" builtinId="9" hidden="1"/>
    <cellStyle name="Followed Hyperlink" xfId="7016" builtinId="9" hidden="1"/>
    <cellStyle name="Followed Hyperlink" xfId="7018" builtinId="9" hidden="1"/>
    <cellStyle name="Followed Hyperlink" xfId="7020" builtinId="9" hidden="1"/>
    <cellStyle name="Followed Hyperlink" xfId="7022" builtinId="9" hidden="1"/>
    <cellStyle name="Followed Hyperlink" xfId="7024" builtinId="9" hidden="1"/>
    <cellStyle name="Followed Hyperlink" xfId="7026" builtinId="9" hidden="1"/>
    <cellStyle name="Followed Hyperlink" xfId="7028" builtinId="9" hidden="1"/>
    <cellStyle name="Followed Hyperlink" xfId="7030" builtinId="9" hidden="1"/>
    <cellStyle name="Followed Hyperlink" xfId="7032" builtinId="9" hidden="1"/>
    <cellStyle name="Followed Hyperlink" xfId="7034" builtinId="9" hidden="1"/>
    <cellStyle name="Followed Hyperlink" xfId="7036" builtinId="9" hidden="1"/>
    <cellStyle name="Followed Hyperlink" xfId="7038" builtinId="9" hidden="1"/>
    <cellStyle name="Followed Hyperlink" xfId="7040" builtinId="9" hidden="1"/>
    <cellStyle name="Followed Hyperlink" xfId="7042" builtinId="9" hidden="1"/>
    <cellStyle name="Followed Hyperlink" xfId="7044" builtinId="9" hidden="1"/>
    <cellStyle name="Followed Hyperlink" xfId="7046" builtinId="9" hidden="1"/>
    <cellStyle name="Followed Hyperlink" xfId="7048" builtinId="9" hidden="1"/>
    <cellStyle name="Followed Hyperlink" xfId="7050" builtinId="9" hidden="1"/>
    <cellStyle name="Followed Hyperlink" xfId="7052" builtinId="9" hidden="1"/>
    <cellStyle name="Followed Hyperlink" xfId="7054" builtinId="9" hidden="1"/>
    <cellStyle name="Followed Hyperlink" xfId="7056" builtinId="9" hidden="1"/>
    <cellStyle name="Followed Hyperlink" xfId="7058" builtinId="9" hidden="1"/>
    <cellStyle name="Followed Hyperlink" xfId="7060" builtinId="9" hidden="1"/>
    <cellStyle name="Followed Hyperlink" xfId="7062" builtinId="9" hidden="1"/>
    <cellStyle name="Followed Hyperlink" xfId="7064" builtinId="9" hidden="1"/>
    <cellStyle name="Followed Hyperlink" xfId="7066" builtinId="9" hidden="1"/>
    <cellStyle name="Followed Hyperlink" xfId="7068" builtinId="9" hidden="1"/>
    <cellStyle name="Followed Hyperlink" xfId="7070" builtinId="9" hidden="1"/>
    <cellStyle name="Followed Hyperlink" xfId="7072" builtinId="9" hidden="1"/>
    <cellStyle name="Followed Hyperlink" xfId="7074" builtinId="9" hidden="1"/>
    <cellStyle name="Followed Hyperlink" xfId="7076" builtinId="9" hidden="1"/>
    <cellStyle name="Followed Hyperlink" xfId="7078" builtinId="9" hidden="1"/>
    <cellStyle name="Followed Hyperlink" xfId="7080" builtinId="9" hidden="1"/>
    <cellStyle name="Followed Hyperlink" xfId="7082" builtinId="9" hidden="1"/>
    <cellStyle name="Followed Hyperlink" xfId="7084" builtinId="9" hidden="1"/>
    <cellStyle name="Followed Hyperlink" xfId="7086" builtinId="9" hidden="1"/>
    <cellStyle name="Followed Hyperlink" xfId="7088" builtinId="9" hidden="1"/>
    <cellStyle name="Followed Hyperlink" xfId="7090" builtinId="9" hidden="1"/>
    <cellStyle name="Followed Hyperlink" xfId="7092" builtinId="9" hidden="1"/>
    <cellStyle name="Followed Hyperlink" xfId="7094" builtinId="9" hidden="1"/>
    <cellStyle name="Followed Hyperlink" xfId="7096" builtinId="9" hidden="1"/>
    <cellStyle name="Followed Hyperlink" xfId="7098" builtinId="9" hidden="1"/>
    <cellStyle name="Followed Hyperlink" xfId="7100" builtinId="9" hidden="1"/>
    <cellStyle name="Followed Hyperlink" xfId="7102" builtinId="9" hidden="1"/>
    <cellStyle name="Followed Hyperlink" xfId="7104" builtinId="9" hidden="1"/>
    <cellStyle name="Followed Hyperlink" xfId="7106" builtinId="9" hidden="1"/>
    <cellStyle name="Followed Hyperlink" xfId="7108" builtinId="9" hidden="1"/>
    <cellStyle name="Followed Hyperlink" xfId="7110" builtinId="9" hidden="1"/>
    <cellStyle name="Followed Hyperlink" xfId="7112" builtinId="9" hidden="1"/>
    <cellStyle name="Followed Hyperlink" xfId="7114" builtinId="9" hidden="1"/>
    <cellStyle name="Followed Hyperlink" xfId="7116" builtinId="9" hidden="1"/>
    <cellStyle name="Followed Hyperlink" xfId="7118" builtinId="9" hidden="1"/>
    <cellStyle name="Followed Hyperlink" xfId="7120" builtinId="9" hidden="1"/>
    <cellStyle name="Followed Hyperlink" xfId="7122" builtinId="9" hidden="1"/>
    <cellStyle name="Followed Hyperlink" xfId="7124" builtinId="9" hidden="1"/>
    <cellStyle name="Followed Hyperlink" xfId="7126" builtinId="9" hidden="1"/>
    <cellStyle name="Followed Hyperlink" xfId="7128" builtinId="9" hidden="1"/>
    <cellStyle name="Followed Hyperlink" xfId="7130" builtinId="9" hidden="1"/>
    <cellStyle name="Followed Hyperlink" xfId="7132" builtinId="9" hidden="1"/>
    <cellStyle name="Followed Hyperlink" xfId="7134" builtinId="9" hidden="1"/>
    <cellStyle name="Followed Hyperlink" xfId="7136" builtinId="9" hidden="1"/>
    <cellStyle name="Followed Hyperlink" xfId="7138" builtinId="9" hidden="1"/>
    <cellStyle name="Followed Hyperlink" xfId="7140" builtinId="9" hidden="1"/>
    <cellStyle name="Followed Hyperlink" xfId="7142" builtinId="9" hidden="1"/>
    <cellStyle name="Followed Hyperlink" xfId="7144" builtinId="9" hidden="1"/>
    <cellStyle name="Followed Hyperlink" xfId="7146" builtinId="9" hidden="1"/>
    <cellStyle name="Followed Hyperlink" xfId="7148" builtinId="9" hidden="1"/>
    <cellStyle name="Followed Hyperlink" xfId="7150" builtinId="9" hidden="1"/>
    <cellStyle name="Followed Hyperlink" xfId="7152" builtinId="9" hidden="1"/>
    <cellStyle name="Followed Hyperlink" xfId="7154" builtinId="9" hidden="1"/>
    <cellStyle name="Followed Hyperlink" xfId="7156" builtinId="9" hidden="1"/>
    <cellStyle name="Followed Hyperlink" xfId="7158" builtinId="9" hidden="1"/>
    <cellStyle name="Followed Hyperlink" xfId="7160" builtinId="9" hidden="1"/>
    <cellStyle name="Followed Hyperlink" xfId="7162" builtinId="9" hidden="1"/>
    <cellStyle name="Followed Hyperlink" xfId="7164" builtinId="9" hidden="1"/>
    <cellStyle name="Followed Hyperlink" xfId="7166" builtinId="9" hidden="1"/>
    <cellStyle name="Followed Hyperlink" xfId="7168" builtinId="9" hidden="1"/>
    <cellStyle name="Followed Hyperlink" xfId="7170" builtinId="9" hidden="1"/>
    <cellStyle name="Followed Hyperlink" xfId="7172" builtinId="9" hidden="1"/>
    <cellStyle name="Followed Hyperlink" xfId="7174" builtinId="9" hidden="1"/>
    <cellStyle name="Followed Hyperlink" xfId="7176" builtinId="9" hidden="1"/>
    <cellStyle name="Followed Hyperlink" xfId="7178" builtinId="9" hidden="1"/>
    <cellStyle name="Followed Hyperlink" xfId="7180" builtinId="9" hidden="1"/>
    <cellStyle name="Followed Hyperlink" xfId="7182" builtinId="9" hidden="1"/>
    <cellStyle name="Followed Hyperlink" xfId="7184" builtinId="9" hidden="1"/>
    <cellStyle name="Followed Hyperlink" xfId="7186" builtinId="9" hidden="1"/>
    <cellStyle name="Followed Hyperlink" xfId="7188" builtinId="9" hidden="1"/>
    <cellStyle name="Followed Hyperlink" xfId="7190" builtinId="9" hidden="1"/>
    <cellStyle name="Followed Hyperlink" xfId="7192" builtinId="9" hidden="1"/>
    <cellStyle name="Followed Hyperlink" xfId="7194" builtinId="9" hidden="1"/>
    <cellStyle name="Followed Hyperlink" xfId="7196" builtinId="9" hidden="1"/>
    <cellStyle name="Followed Hyperlink" xfId="7198" builtinId="9" hidden="1"/>
    <cellStyle name="Followed Hyperlink" xfId="7200" builtinId="9" hidden="1"/>
    <cellStyle name="Followed Hyperlink" xfId="7202" builtinId="9" hidden="1"/>
    <cellStyle name="Followed Hyperlink" xfId="7204" builtinId="9" hidden="1"/>
    <cellStyle name="Followed Hyperlink" xfId="7206" builtinId="9" hidden="1"/>
    <cellStyle name="Followed Hyperlink" xfId="7208" builtinId="9" hidden="1"/>
    <cellStyle name="Followed Hyperlink" xfId="7210" builtinId="9" hidden="1"/>
    <cellStyle name="Followed Hyperlink" xfId="7212" builtinId="9" hidden="1"/>
    <cellStyle name="Followed Hyperlink" xfId="7214" builtinId="9" hidden="1"/>
    <cellStyle name="Followed Hyperlink" xfId="7216" builtinId="9" hidden="1"/>
    <cellStyle name="Followed Hyperlink" xfId="7218" builtinId="9" hidden="1"/>
    <cellStyle name="Followed Hyperlink" xfId="7220" builtinId="9" hidden="1"/>
    <cellStyle name="Followed Hyperlink" xfId="7222" builtinId="9" hidden="1"/>
    <cellStyle name="Followed Hyperlink" xfId="7224" builtinId="9" hidden="1"/>
    <cellStyle name="Followed Hyperlink" xfId="7226" builtinId="9" hidden="1"/>
    <cellStyle name="Followed Hyperlink" xfId="7228" builtinId="9" hidden="1"/>
    <cellStyle name="Followed Hyperlink" xfId="7230" builtinId="9" hidden="1"/>
    <cellStyle name="Followed Hyperlink" xfId="7232" builtinId="9" hidden="1"/>
    <cellStyle name="Followed Hyperlink" xfId="7234" builtinId="9" hidden="1"/>
    <cellStyle name="Followed Hyperlink" xfId="7236" builtinId="9" hidden="1"/>
    <cellStyle name="Followed Hyperlink" xfId="7238" builtinId="9" hidden="1"/>
    <cellStyle name="Followed Hyperlink" xfId="7240" builtinId="9" hidden="1"/>
    <cellStyle name="Followed Hyperlink" xfId="7242" builtinId="9" hidden="1"/>
    <cellStyle name="Followed Hyperlink" xfId="7244" builtinId="9" hidden="1"/>
    <cellStyle name="Followed Hyperlink" xfId="7246" builtinId="9" hidden="1"/>
    <cellStyle name="Followed Hyperlink" xfId="7248" builtinId="9" hidden="1"/>
    <cellStyle name="Followed Hyperlink" xfId="7250" builtinId="9" hidden="1"/>
    <cellStyle name="Followed Hyperlink" xfId="7252" builtinId="9" hidden="1"/>
    <cellStyle name="Followed Hyperlink" xfId="7254" builtinId="9" hidden="1"/>
    <cellStyle name="Followed Hyperlink" xfId="7256" builtinId="9" hidden="1"/>
    <cellStyle name="Followed Hyperlink" xfId="7258" builtinId="9" hidden="1"/>
    <cellStyle name="Followed Hyperlink" xfId="7260" builtinId="9" hidden="1"/>
    <cellStyle name="Followed Hyperlink" xfId="7262" builtinId="9" hidden="1"/>
    <cellStyle name="Followed Hyperlink" xfId="7264" builtinId="9" hidden="1"/>
    <cellStyle name="Followed Hyperlink" xfId="7266" builtinId="9" hidden="1"/>
    <cellStyle name="Followed Hyperlink" xfId="7268" builtinId="9" hidden="1"/>
    <cellStyle name="Followed Hyperlink" xfId="7270" builtinId="9" hidden="1"/>
    <cellStyle name="Followed Hyperlink" xfId="7272" builtinId="9" hidden="1"/>
    <cellStyle name="Followed Hyperlink" xfId="7274" builtinId="9" hidden="1"/>
    <cellStyle name="Followed Hyperlink" xfId="7276" builtinId="9" hidden="1"/>
    <cellStyle name="Followed Hyperlink" xfId="7278" builtinId="9" hidden="1"/>
    <cellStyle name="Followed Hyperlink" xfId="7280" builtinId="9" hidden="1"/>
    <cellStyle name="Followed Hyperlink" xfId="7282" builtinId="9" hidden="1"/>
    <cellStyle name="Followed Hyperlink" xfId="7284" builtinId="9" hidden="1"/>
    <cellStyle name="Followed Hyperlink" xfId="7286" builtinId="9" hidden="1"/>
    <cellStyle name="Followed Hyperlink" xfId="7288" builtinId="9" hidden="1"/>
    <cellStyle name="Followed Hyperlink" xfId="7290" builtinId="9" hidden="1"/>
    <cellStyle name="Followed Hyperlink" xfId="7292" builtinId="9" hidden="1"/>
    <cellStyle name="Followed Hyperlink" xfId="7294" builtinId="9" hidden="1"/>
    <cellStyle name="Followed Hyperlink" xfId="7296" builtinId="9" hidden="1"/>
    <cellStyle name="Followed Hyperlink" xfId="7298" builtinId="9" hidden="1"/>
    <cellStyle name="Followed Hyperlink" xfId="7300" builtinId="9" hidden="1"/>
    <cellStyle name="Followed Hyperlink" xfId="7302" builtinId="9" hidden="1"/>
    <cellStyle name="Followed Hyperlink" xfId="7304" builtinId="9" hidden="1"/>
    <cellStyle name="Followed Hyperlink" xfId="7306" builtinId="9" hidden="1"/>
    <cellStyle name="Followed Hyperlink" xfId="7308" builtinId="9" hidden="1"/>
    <cellStyle name="Followed Hyperlink" xfId="7310" builtinId="9" hidden="1"/>
    <cellStyle name="Followed Hyperlink" xfId="7312" builtinId="9" hidden="1"/>
    <cellStyle name="Followed Hyperlink" xfId="7314" builtinId="9" hidden="1"/>
    <cellStyle name="Followed Hyperlink" xfId="7316" builtinId="9" hidden="1"/>
    <cellStyle name="Followed Hyperlink" xfId="7318" builtinId="9" hidden="1"/>
    <cellStyle name="Followed Hyperlink" xfId="7320" builtinId="9" hidden="1"/>
    <cellStyle name="Followed Hyperlink" xfId="7322" builtinId="9" hidden="1"/>
    <cellStyle name="Followed Hyperlink" xfId="7324" builtinId="9" hidden="1"/>
    <cellStyle name="Followed Hyperlink" xfId="7326" builtinId="9" hidden="1"/>
    <cellStyle name="Followed Hyperlink" xfId="7328" builtinId="9" hidden="1"/>
    <cellStyle name="Followed Hyperlink" xfId="7330" builtinId="9" hidden="1"/>
    <cellStyle name="Followed Hyperlink" xfId="7332" builtinId="9" hidden="1"/>
    <cellStyle name="Followed Hyperlink" xfId="7334" builtinId="9" hidden="1"/>
    <cellStyle name="Followed Hyperlink" xfId="7336" builtinId="9" hidden="1"/>
    <cellStyle name="Followed Hyperlink" xfId="7338" builtinId="9" hidden="1"/>
    <cellStyle name="Followed Hyperlink" xfId="7340" builtinId="9" hidden="1"/>
    <cellStyle name="Followed Hyperlink" xfId="7342" builtinId="9" hidden="1"/>
    <cellStyle name="Followed Hyperlink" xfId="7344" builtinId="9" hidden="1"/>
    <cellStyle name="Followed Hyperlink" xfId="7346" builtinId="9" hidden="1"/>
    <cellStyle name="Followed Hyperlink" xfId="7348" builtinId="9" hidden="1"/>
    <cellStyle name="Followed Hyperlink" xfId="7350" builtinId="9" hidden="1"/>
    <cellStyle name="Followed Hyperlink" xfId="7352" builtinId="9" hidden="1"/>
    <cellStyle name="Followed Hyperlink" xfId="7354" builtinId="9" hidden="1"/>
    <cellStyle name="Followed Hyperlink" xfId="7356" builtinId="9" hidden="1"/>
    <cellStyle name="Followed Hyperlink" xfId="7358" builtinId="9" hidden="1"/>
    <cellStyle name="Followed Hyperlink" xfId="7360" builtinId="9" hidden="1"/>
    <cellStyle name="Followed Hyperlink" xfId="7362" builtinId="9" hidden="1"/>
    <cellStyle name="Followed Hyperlink" xfId="7364" builtinId="9" hidden="1"/>
    <cellStyle name="Followed Hyperlink" xfId="7366" builtinId="9" hidden="1"/>
    <cellStyle name="Followed Hyperlink" xfId="7368" builtinId="9" hidden="1"/>
    <cellStyle name="Followed Hyperlink" xfId="7370" builtinId="9" hidden="1"/>
    <cellStyle name="Followed Hyperlink" xfId="7372" builtinId="9" hidden="1"/>
    <cellStyle name="Followed Hyperlink" xfId="7374" builtinId="9" hidden="1"/>
    <cellStyle name="Followed Hyperlink" xfId="7376" builtinId="9" hidden="1"/>
    <cellStyle name="Followed Hyperlink" xfId="7378" builtinId="9" hidden="1"/>
    <cellStyle name="Followed Hyperlink" xfId="7380" builtinId="9" hidden="1"/>
    <cellStyle name="Followed Hyperlink" xfId="7382" builtinId="9" hidden="1"/>
    <cellStyle name="Followed Hyperlink" xfId="7384" builtinId="9" hidden="1"/>
    <cellStyle name="Followed Hyperlink" xfId="7386" builtinId="9" hidden="1"/>
    <cellStyle name="Followed Hyperlink" xfId="7388" builtinId="9" hidden="1"/>
    <cellStyle name="Followed Hyperlink" xfId="7390" builtinId="9" hidden="1"/>
    <cellStyle name="Followed Hyperlink" xfId="7392" builtinId="9" hidden="1"/>
    <cellStyle name="Followed Hyperlink" xfId="7394" builtinId="9" hidden="1"/>
    <cellStyle name="Followed Hyperlink" xfId="7396" builtinId="9" hidden="1"/>
    <cellStyle name="Followed Hyperlink" xfId="7398" builtinId="9" hidden="1"/>
    <cellStyle name="Followed Hyperlink" xfId="7400" builtinId="9" hidden="1"/>
    <cellStyle name="Followed Hyperlink" xfId="7402" builtinId="9" hidden="1"/>
    <cellStyle name="Followed Hyperlink" xfId="7404" builtinId="9" hidden="1"/>
    <cellStyle name="Followed Hyperlink" xfId="7406" builtinId="9" hidden="1"/>
    <cellStyle name="Followed Hyperlink" xfId="7408" builtinId="9" hidden="1"/>
    <cellStyle name="Followed Hyperlink" xfId="7410" builtinId="9" hidden="1"/>
    <cellStyle name="Followed Hyperlink" xfId="7412" builtinId="9" hidden="1"/>
    <cellStyle name="Followed Hyperlink" xfId="7414" builtinId="9" hidden="1"/>
    <cellStyle name="Followed Hyperlink" xfId="7416" builtinId="9" hidden="1"/>
    <cellStyle name="Followed Hyperlink" xfId="7418" builtinId="9" hidden="1"/>
    <cellStyle name="Followed Hyperlink" xfId="7420" builtinId="9" hidden="1"/>
    <cellStyle name="Followed Hyperlink" xfId="7422" builtinId="9" hidden="1"/>
    <cellStyle name="Followed Hyperlink" xfId="7424" builtinId="9" hidden="1"/>
    <cellStyle name="Followed Hyperlink" xfId="7426" builtinId="9" hidden="1"/>
    <cellStyle name="Followed Hyperlink" xfId="7428" builtinId="9" hidden="1"/>
    <cellStyle name="Followed Hyperlink" xfId="7430" builtinId="9" hidden="1"/>
    <cellStyle name="Followed Hyperlink" xfId="7432" builtinId="9" hidden="1"/>
    <cellStyle name="Followed Hyperlink" xfId="7434" builtinId="9" hidden="1"/>
    <cellStyle name="Followed Hyperlink" xfId="7436" builtinId="9" hidden="1"/>
    <cellStyle name="Followed Hyperlink" xfId="7438" builtinId="9" hidden="1"/>
    <cellStyle name="Followed Hyperlink" xfId="7440" builtinId="9" hidden="1"/>
    <cellStyle name="Followed Hyperlink" xfId="7442" builtinId="9" hidden="1"/>
    <cellStyle name="Followed Hyperlink" xfId="7444" builtinId="9" hidden="1"/>
    <cellStyle name="Followed Hyperlink" xfId="7446" builtinId="9" hidden="1"/>
    <cellStyle name="Followed Hyperlink" xfId="7448" builtinId="9" hidden="1"/>
    <cellStyle name="Followed Hyperlink" xfId="7450" builtinId="9" hidden="1"/>
    <cellStyle name="Followed Hyperlink" xfId="7452" builtinId="9" hidden="1"/>
    <cellStyle name="Followed Hyperlink" xfId="7454" builtinId="9" hidden="1"/>
    <cellStyle name="Followed Hyperlink" xfId="7456" builtinId="9" hidden="1"/>
    <cellStyle name="Followed Hyperlink" xfId="7458" builtinId="9" hidden="1"/>
    <cellStyle name="Followed Hyperlink" xfId="7460" builtinId="9" hidden="1"/>
    <cellStyle name="Followed Hyperlink" xfId="7462" builtinId="9" hidden="1"/>
    <cellStyle name="Followed Hyperlink" xfId="7464" builtinId="9" hidden="1"/>
    <cellStyle name="Followed Hyperlink" xfId="7466" builtinId="9" hidden="1"/>
    <cellStyle name="Followed Hyperlink" xfId="7468" builtinId="9" hidden="1"/>
    <cellStyle name="Followed Hyperlink" xfId="7470" builtinId="9" hidden="1"/>
    <cellStyle name="Followed Hyperlink" xfId="7472" builtinId="9" hidden="1"/>
    <cellStyle name="Followed Hyperlink" xfId="7474" builtinId="9" hidden="1"/>
    <cellStyle name="Followed Hyperlink" xfId="7476" builtinId="9" hidden="1"/>
    <cellStyle name="Followed Hyperlink" xfId="7478" builtinId="9" hidden="1"/>
    <cellStyle name="Followed Hyperlink" xfId="7480" builtinId="9" hidden="1"/>
    <cellStyle name="Followed Hyperlink" xfId="7482" builtinId="9" hidden="1"/>
    <cellStyle name="Followed Hyperlink" xfId="7484" builtinId="9" hidden="1"/>
    <cellStyle name="Followed Hyperlink" xfId="7486" builtinId="9" hidden="1"/>
    <cellStyle name="Followed Hyperlink" xfId="7488" builtinId="9" hidden="1"/>
    <cellStyle name="Followed Hyperlink" xfId="7490" builtinId="9" hidden="1"/>
    <cellStyle name="Followed Hyperlink" xfId="7492" builtinId="9" hidden="1"/>
    <cellStyle name="Followed Hyperlink" xfId="7494" builtinId="9" hidden="1"/>
    <cellStyle name="Followed Hyperlink" xfId="7496" builtinId="9" hidden="1"/>
    <cellStyle name="Followed Hyperlink" xfId="7498" builtinId="9" hidden="1"/>
    <cellStyle name="Followed Hyperlink" xfId="7500" builtinId="9" hidden="1"/>
    <cellStyle name="Followed Hyperlink" xfId="7502" builtinId="9" hidden="1"/>
    <cellStyle name="Followed Hyperlink" xfId="7504" builtinId="9" hidden="1"/>
    <cellStyle name="Followed Hyperlink" xfId="7506" builtinId="9" hidden="1"/>
    <cellStyle name="Followed Hyperlink" xfId="7508" builtinId="9" hidden="1"/>
    <cellStyle name="Followed Hyperlink" xfId="7510" builtinId="9" hidden="1"/>
    <cellStyle name="Followed Hyperlink" xfId="7512" builtinId="9" hidden="1"/>
    <cellStyle name="Followed Hyperlink" xfId="7514" builtinId="9" hidden="1"/>
    <cellStyle name="Followed Hyperlink" xfId="7516" builtinId="9" hidden="1"/>
    <cellStyle name="Followed Hyperlink" xfId="7518" builtinId="9" hidden="1"/>
    <cellStyle name="Followed Hyperlink" xfId="7520" builtinId="9" hidden="1"/>
    <cellStyle name="Followed Hyperlink" xfId="7522" builtinId="9" hidden="1"/>
    <cellStyle name="Followed Hyperlink" xfId="7524" builtinId="9" hidden="1"/>
    <cellStyle name="Followed Hyperlink" xfId="7526" builtinId="9" hidden="1"/>
    <cellStyle name="Followed Hyperlink" xfId="7528" builtinId="9" hidden="1"/>
    <cellStyle name="Followed Hyperlink" xfId="7530" builtinId="9" hidden="1"/>
    <cellStyle name="Followed Hyperlink" xfId="7532" builtinId="9" hidden="1"/>
    <cellStyle name="Followed Hyperlink" xfId="7534" builtinId="9" hidden="1"/>
    <cellStyle name="Followed Hyperlink" xfId="7536" builtinId="9" hidden="1"/>
    <cellStyle name="Followed Hyperlink" xfId="7538" builtinId="9" hidden="1"/>
    <cellStyle name="Followed Hyperlink" xfId="7540" builtinId="9" hidden="1"/>
    <cellStyle name="Followed Hyperlink" xfId="7542" builtinId="9" hidden="1"/>
    <cellStyle name="Followed Hyperlink" xfId="7544" builtinId="9" hidden="1"/>
    <cellStyle name="Followed Hyperlink" xfId="7546" builtinId="9" hidden="1"/>
    <cellStyle name="Followed Hyperlink" xfId="7548" builtinId="9" hidden="1"/>
    <cellStyle name="Followed Hyperlink" xfId="7550" builtinId="9" hidden="1"/>
    <cellStyle name="Followed Hyperlink" xfId="7552" builtinId="9" hidden="1"/>
    <cellStyle name="Followed Hyperlink" xfId="7554" builtinId="9" hidden="1"/>
    <cellStyle name="Followed Hyperlink" xfId="7556" builtinId="9" hidden="1"/>
    <cellStyle name="Followed Hyperlink" xfId="7558" builtinId="9" hidden="1"/>
    <cellStyle name="Followed Hyperlink" xfId="7560" builtinId="9" hidden="1"/>
    <cellStyle name="Followed Hyperlink" xfId="7562" builtinId="9" hidden="1"/>
    <cellStyle name="Followed Hyperlink" xfId="7564" builtinId="9" hidden="1"/>
    <cellStyle name="Followed Hyperlink" xfId="7566" builtinId="9" hidden="1"/>
    <cellStyle name="Followed Hyperlink" xfId="7568" builtinId="9" hidden="1"/>
    <cellStyle name="Followed Hyperlink" xfId="7570" builtinId="9" hidden="1"/>
    <cellStyle name="Followed Hyperlink" xfId="7572" builtinId="9" hidden="1"/>
    <cellStyle name="Followed Hyperlink" xfId="7574" builtinId="9" hidden="1"/>
    <cellStyle name="Followed Hyperlink" xfId="7576" builtinId="9" hidden="1"/>
    <cellStyle name="Followed Hyperlink" xfId="7578" builtinId="9" hidden="1"/>
    <cellStyle name="Followed Hyperlink" xfId="7580" builtinId="9" hidden="1"/>
    <cellStyle name="Followed Hyperlink" xfId="7582" builtinId="9" hidden="1"/>
    <cellStyle name="Followed Hyperlink" xfId="7584" builtinId="9" hidden="1"/>
    <cellStyle name="Followed Hyperlink" xfId="7586" builtinId="9" hidden="1"/>
    <cellStyle name="Followed Hyperlink" xfId="7588" builtinId="9" hidden="1"/>
    <cellStyle name="Followed Hyperlink" xfId="7590" builtinId="9" hidden="1"/>
    <cellStyle name="Followed Hyperlink" xfId="7592" builtinId="9" hidden="1"/>
    <cellStyle name="Followed Hyperlink" xfId="7594" builtinId="9" hidden="1"/>
    <cellStyle name="Followed Hyperlink" xfId="7596" builtinId="9" hidden="1"/>
    <cellStyle name="Followed Hyperlink" xfId="7598" builtinId="9" hidden="1"/>
    <cellStyle name="Followed Hyperlink" xfId="7600" builtinId="9" hidden="1"/>
    <cellStyle name="Followed Hyperlink" xfId="7602" builtinId="9" hidden="1"/>
    <cellStyle name="Followed Hyperlink" xfId="7604" builtinId="9" hidden="1"/>
    <cellStyle name="Followed Hyperlink" xfId="7606" builtinId="9" hidden="1"/>
    <cellStyle name="Followed Hyperlink" xfId="7608" builtinId="9" hidden="1"/>
    <cellStyle name="Followed Hyperlink" xfId="7610" builtinId="9" hidden="1"/>
    <cellStyle name="Followed Hyperlink" xfId="7612" builtinId="9" hidden="1"/>
    <cellStyle name="Followed Hyperlink" xfId="7614" builtinId="9" hidden="1"/>
    <cellStyle name="Followed Hyperlink" xfId="7616" builtinId="9" hidden="1"/>
    <cellStyle name="Followed Hyperlink" xfId="7618" builtinId="9" hidden="1"/>
    <cellStyle name="Followed Hyperlink" xfId="7620" builtinId="9" hidden="1"/>
    <cellStyle name="Followed Hyperlink" xfId="7622" builtinId="9" hidden="1"/>
    <cellStyle name="Followed Hyperlink" xfId="7624" builtinId="9" hidden="1"/>
    <cellStyle name="Followed Hyperlink" xfId="7626" builtinId="9" hidden="1"/>
    <cellStyle name="Followed Hyperlink" xfId="7628" builtinId="9" hidden="1"/>
    <cellStyle name="Followed Hyperlink" xfId="7630" builtinId="9" hidden="1"/>
    <cellStyle name="Followed Hyperlink" xfId="7632" builtinId="9" hidden="1"/>
    <cellStyle name="Followed Hyperlink" xfId="7634" builtinId="9" hidden="1"/>
    <cellStyle name="Followed Hyperlink" xfId="7636" builtinId="9" hidden="1"/>
    <cellStyle name="Followed Hyperlink" xfId="7638" builtinId="9" hidden="1"/>
    <cellStyle name="Followed Hyperlink" xfId="7640" builtinId="9" hidden="1"/>
    <cellStyle name="Followed Hyperlink" xfId="7642" builtinId="9" hidden="1"/>
    <cellStyle name="Followed Hyperlink" xfId="7644" builtinId="9" hidden="1"/>
    <cellStyle name="Followed Hyperlink" xfId="7646" builtinId="9" hidden="1"/>
    <cellStyle name="Followed Hyperlink" xfId="7648" builtinId="9" hidden="1"/>
    <cellStyle name="Followed Hyperlink" xfId="7650" builtinId="9" hidden="1"/>
    <cellStyle name="Followed Hyperlink" xfId="7652" builtinId="9" hidden="1"/>
    <cellStyle name="Followed Hyperlink" xfId="7654" builtinId="9" hidden="1"/>
    <cellStyle name="Followed Hyperlink" xfId="7656" builtinId="9" hidden="1"/>
    <cellStyle name="Followed Hyperlink" xfId="7658" builtinId="9" hidden="1"/>
    <cellStyle name="Followed Hyperlink" xfId="7660" builtinId="9" hidden="1"/>
    <cellStyle name="Followed Hyperlink" xfId="7662" builtinId="9" hidden="1"/>
    <cellStyle name="Followed Hyperlink" xfId="7664" builtinId="9" hidden="1"/>
    <cellStyle name="Followed Hyperlink" xfId="7666" builtinId="9" hidden="1"/>
    <cellStyle name="Followed Hyperlink" xfId="7668" builtinId="9" hidden="1"/>
    <cellStyle name="Followed Hyperlink" xfId="7670" builtinId="9" hidden="1"/>
    <cellStyle name="Followed Hyperlink" xfId="7672" builtinId="9" hidden="1"/>
    <cellStyle name="Followed Hyperlink" xfId="7674" builtinId="9" hidden="1"/>
    <cellStyle name="Followed Hyperlink" xfId="7676" builtinId="9" hidden="1"/>
    <cellStyle name="Followed Hyperlink" xfId="7678" builtinId="9" hidden="1"/>
    <cellStyle name="Followed Hyperlink" xfId="7680" builtinId="9" hidden="1"/>
    <cellStyle name="Followed Hyperlink" xfId="7682" builtinId="9" hidden="1"/>
    <cellStyle name="Followed Hyperlink" xfId="7684" builtinId="9" hidden="1"/>
    <cellStyle name="Followed Hyperlink" xfId="7686" builtinId="9" hidden="1"/>
    <cellStyle name="Followed Hyperlink" xfId="7688" builtinId="9" hidden="1"/>
    <cellStyle name="Followed Hyperlink" xfId="7690" builtinId="9" hidden="1"/>
    <cellStyle name="Followed Hyperlink" xfId="7692" builtinId="9" hidden="1"/>
    <cellStyle name="Followed Hyperlink" xfId="7694" builtinId="9" hidden="1"/>
    <cellStyle name="Followed Hyperlink" xfId="7696" builtinId="9" hidden="1"/>
    <cellStyle name="Followed Hyperlink" xfId="7698" builtinId="9" hidden="1"/>
    <cellStyle name="Followed Hyperlink" xfId="7700" builtinId="9" hidden="1"/>
    <cellStyle name="Followed Hyperlink" xfId="7702" builtinId="9" hidden="1"/>
    <cellStyle name="Followed Hyperlink" xfId="7704" builtinId="9" hidden="1"/>
    <cellStyle name="Followed Hyperlink" xfId="7706" builtinId="9" hidden="1"/>
    <cellStyle name="Followed Hyperlink" xfId="7708" builtinId="9" hidden="1"/>
    <cellStyle name="Followed Hyperlink" xfId="7710" builtinId="9" hidden="1"/>
    <cellStyle name="Followed Hyperlink" xfId="7712" builtinId="9" hidden="1"/>
    <cellStyle name="Followed Hyperlink" xfId="7714" builtinId="9" hidden="1"/>
    <cellStyle name="Followed Hyperlink" xfId="7716" builtinId="9" hidden="1"/>
    <cellStyle name="Followed Hyperlink" xfId="7718" builtinId="9" hidden="1"/>
    <cellStyle name="Followed Hyperlink" xfId="7720" builtinId="9" hidden="1"/>
    <cellStyle name="Followed Hyperlink" xfId="7722" builtinId="9" hidden="1"/>
    <cellStyle name="Followed Hyperlink" xfId="7724" builtinId="9" hidden="1"/>
    <cellStyle name="Followed Hyperlink" xfId="7726" builtinId="9" hidden="1"/>
    <cellStyle name="Followed Hyperlink" xfId="7728" builtinId="9" hidden="1"/>
    <cellStyle name="Followed Hyperlink" xfId="7730" builtinId="9" hidden="1"/>
    <cellStyle name="Followed Hyperlink" xfId="7732" builtinId="9" hidden="1"/>
    <cellStyle name="Followed Hyperlink" xfId="7734" builtinId="9" hidden="1"/>
    <cellStyle name="Followed Hyperlink" xfId="7736" builtinId="9" hidden="1"/>
    <cellStyle name="Followed Hyperlink" xfId="7738" builtinId="9" hidden="1"/>
    <cellStyle name="Followed Hyperlink" xfId="7740" builtinId="9" hidden="1"/>
    <cellStyle name="Followed Hyperlink" xfId="7742" builtinId="9" hidden="1"/>
    <cellStyle name="Followed Hyperlink" xfId="7744" builtinId="9" hidden="1"/>
    <cellStyle name="Followed Hyperlink" xfId="7746" builtinId="9" hidden="1"/>
    <cellStyle name="Followed Hyperlink" xfId="7748" builtinId="9" hidden="1"/>
    <cellStyle name="Followed Hyperlink" xfId="7750" builtinId="9" hidden="1"/>
    <cellStyle name="Followed Hyperlink" xfId="7752" builtinId="9" hidden="1"/>
    <cellStyle name="Followed Hyperlink" xfId="7754" builtinId="9" hidden="1"/>
    <cellStyle name="Followed Hyperlink" xfId="7756" builtinId="9" hidden="1"/>
    <cellStyle name="Followed Hyperlink" xfId="7758" builtinId="9" hidden="1"/>
    <cellStyle name="Followed Hyperlink" xfId="7760" builtinId="9" hidden="1"/>
    <cellStyle name="Followed Hyperlink" xfId="7762" builtinId="9" hidden="1"/>
    <cellStyle name="Followed Hyperlink" xfId="7764" builtinId="9" hidden="1"/>
    <cellStyle name="Followed Hyperlink" xfId="7766" builtinId="9" hidden="1"/>
    <cellStyle name="Followed Hyperlink" xfId="7768" builtinId="9" hidden="1"/>
    <cellStyle name="Followed Hyperlink" xfId="7770" builtinId="9" hidden="1"/>
    <cellStyle name="Followed Hyperlink" xfId="7772" builtinId="9" hidden="1"/>
    <cellStyle name="Followed Hyperlink" xfId="7774" builtinId="9" hidden="1"/>
    <cellStyle name="Followed Hyperlink" xfId="7776" builtinId="9" hidden="1"/>
    <cellStyle name="Followed Hyperlink" xfId="7778" builtinId="9" hidden="1"/>
    <cellStyle name="Followed Hyperlink" xfId="7780" builtinId="9" hidden="1"/>
    <cellStyle name="Followed Hyperlink" xfId="7782" builtinId="9" hidden="1"/>
    <cellStyle name="Followed Hyperlink" xfId="7784" builtinId="9" hidden="1"/>
    <cellStyle name="Followed Hyperlink" xfId="7786" builtinId="9" hidden="1"/>
    <cellStyle name="Followed Hyperlink" xfId="7788" builtinId="9" hidden="1"/>
    <cellStyle name="Followed Hyperlink" xfId="7790" builtinId="9" hidden="1"/>
    <cellStyle name="Followed Hyperlink" xfId="7792" builtinId="9" hidden="1"/>
    <cellStyle name="Followed Hyperlink" xfId="7794" builtinId="9" hidden="1"/>
    <cellStyle name="Followed Hyperlink" xfId="7796" builtinId="9" hidden="1"/>
    <cellStyle name="Followed Hyperlink" xfId="7798" builtinId="9" hidden="1"/>
    <cellStyle name="Followed Hyperlink" xfId="7800" builtinId="9" hidden="1"/>
    <cellStyle name="Followed Hyperlink" xfId="7802" builtinId="9" hidden="1"/>
    <cellStyle name="Followed Hyperlink" xfId="7804" builtinId="9" hidden="1"/>
    <cellStyle name="Followed Hyperlink" xfId="7806" builtinId="9" hidden="1"/>
    <cellStyle name="Followed Hyperlink" xfId="7808" builtinId="9" hidden="1"/>
    <cellStyle name="Followed Hyperlink" xfId="7810" builtinId="9" hidden="1"/>
    <cellStyle name="Followed Hyperlink" xfId="7812" builtinId="9" hidden="1"/>
    <cellStyle name="Followed Hyperlink" xfId="7814" builtinId="9" hidden="1"/>
    <cellStyle name="Followed Hyperlink" xfId="7816" builtinId="9" hidden="1"/>
    <cellStyle name="Followed Hyperlink" xfId="7818" builtinId="9" hidden="1"/>
    <cellStyle name="Followed Hyperlink" xfId="7820" builtinId="9" hidden="1"/>
    <cellStyle name="Followed Hyperlink" xfId="7822" builtinId="9" hidden="1"/>
    <cellStyle name="Followed Hyperlink" xfId="7824" builtinId="9" hidden="1"/>
    <cellStyle name="Followed Hyperlink" xfId="7826" builtinId="9" hidden="1"/>
    <cellStyle name="Followed Hyperlink" xfId="7828" builtinId="9" hidden="1"/>
    <cellStyle name="Followed Hyperlink" xfId="7830" builtinId="9" hidden="1"/>
    <cellStyle name="Followed Hyperlink" xfId="7832" builtinId="9" hidden="1"/>
    <cellStyle name="Followed Hyperlink" xfId="7834" builtinId="9" hidden="1"/>
    <cellStyle name="Followed Hyperlink" xfId="7836" builtinId="9" hidden="1"/>
    <cellStyle name="Followed Hyperlink" xfId="7838" builtinId="9" hidden="1"/>
    <cellStyle name="Followed Hyperlink" xfId="7840" builtinId="9" hidden="1"/>
    <cellStyle name="Followed Hyperlink" xfId="7842" builtinId="9" hidden="1"/>
    <cellStyle name="Followed Hyperlink" xfId="7844" builtinId="9" hidden="1"/>
    <cellStyle name="Followed Hyperlink" xfId="7846" builtinId="9" hidden="1"/>
    <cellStyle name="Followed Hyperlink" xfId="7848" builtinId="9" hidden="1"/>
    <cellStyle name="Followed Hyperlink" xfId="7850" builtinId="9" hidden="1"/>
    <cellStyle name="Followed Hyperlink" xfId="7852" builtinId="9" hidden="1"/>
    <cellStyle name="Followed Hyperlink" xfId="7854" builtinId="9" hidden="1"/>
    <cellStyle name="Followed Hyperlink" xfId="7856" builtinId="9" hidden="1"/>
    <cellStyle name="Followed Hyperlink" xfId="7858" builtinId="9" hidden="1"/>
    <cellStyle name="Followed Hyperlink" xfId="7860" builtinId="9" hidden="1"/>
    <cellStyle name="Followed Hyperlink" xfId="7862" builtinId="9" hidden="1"/>
    <cellStyle name="Followed Hyperlink" xfId="7864" builtinId="9" hidden="1"/>
    <cellStyle name="Followed Hyperlink" xfId="7866" builtinId="9" hidden="1"/>
    <cellStyle name="Followed Hyperlink" xfId="7868" builtinId="9" hidden="1"/>
    <cellStyle name="Followed Hyperlink" xfId="7870" builtinId="9" hidden="1"/>
    <cellStyle name="Followed Hyperlink" xfId="7872" builtinId="9" hidden="1"/>
    <cellStyle name="Followed Hyperlink" xfId="7874" builtinId="9" hidden="1"/>
    <cellStyle name="Followed Hyperlink" xfId="7876" builtinId="9" hidden="1"/>
    <cellStyle name="Followed Hyperlink" xfId="7878" builtinId="9" hidden="1"/>
    <cellStyle name="Followed Hyperlink" xfId="7880" builtinId="9" hidden="1"/>
    <cellStyle name="Followed Hyperlink" xfId="7882" builtinId="9" hidden="1"/>
    <cellStyle name="Followed Hyperlink" xfId="7884" builtinId="9" hidden="1"/>
    <cellStyle name="Followed Hyperlink" xfId="7886" builtinId="9" hidden="1"/>
    <cellStyle name="Followed Hyperlink" xfId="7888" builtinId="9" hidden="1"/>
    <cellStyle name="Followed Hyperlink" xfId="7890" builtinId="9" hidden="1"/>
    <cellStyle name="Followed Hyperlink" xfId="7892" builtinId="9" hidden="1"/>
    <cellStyle name="Followed Hyperlink" xfId="7894" builtinId="9" hidden="1"/>
    <cellStyle name="Followed Hyperlink" xfId="7896" builtinId="9" hidden="1"/>
    <cellStyle name="Followed Hyperlink" xfId="7898" builtinId="9" hidden="1"/>
    <cellStyle name="Followed Hyperlink" xfId="7900" builtinId="9" hidden="1"/>
    <cellStyle name="Followed Hyperlink" xfId="7902" builtinId="9" hidden="1"/>
    <cellStyle name="Followed Hyperlink" xfId="7904" builtinId="9" hidden="1"/>
    <cellStyle name="Followed Hyperlink" xfId="7906" builtinId="9" hidden="1"/>
    <cellStyle name="Followed Hyperlink" xfId="7908" builtinId="9" hidden="1"/>
    <cellStyle name="Followed Hyperlink" xfId="7910" builtinId="9" hidden="1"/>
    <cellStyle name="Followed Hyperlink" xfId="7912" builtinId="9" hidden="1"/>
    <cellStyle name="Followed Hyperlink" xfId="7914" builtinId="9" hidden="1"/>
    <cellStyle name="Followed Hyperlink" xfId="7916" builtinId="9" hidden="1"/>
    <cellStyle name="Followed Hyperlink" xfId="7918" builtinId="9" hidden="1"/>
    <cellStyle name="Followed Hyperlink" xfId="7920" builtinId="9" hidden="1"/>
    <cellStyle name="Followed Hyperlink" xfId="7922" builtinId="9" hidden="1"/>
    <cellStyle name="Followed Hyperlink" xfId="7924" builtinId="9" hidden="1"/>
    <cellStyle name="Followed Hyperlink" xfId="7926" builtinId="9" hidden="1"/>
    <cellStyle name="Followed Hyperlink" xfId="7928" builtinId="9" hidden="1"/>
    <cellStyle name="Followed Hyperlink" xfId="7930" builtinId="9" hidden="1"/>
    <cellStyle name="Followed Hyperlink" xfId="7932" builtinId="9" hidden="1"/>
    <cellStyle name="Followed Hyperlink" xfId="7934" builtinId="9" hidden="1"/>
    <cellStyle name="Followed Hyperlink" xfId="7936" builtinId="9" hidden="1"/>
    <cellStyle name="Followed Hyperlink" xfId="7938" builtinId="9" hidden="1"/>
    <cellStyle name="Followed Hyperlink" xfId="7940" builtinId="9" hidden="1"/>
    <cellStyle name="Followed Hyperlink" xfId="7942" builtinId="9" hidden="1"/>
    <cellStyle name="Followed Hyperlink" xfId="7944" builtinId="9" hidden="1"/>
    <cellStyle name="Followed Hyperlink" xfId="7946" builtinId="9" hidden="1"/>
    <cellStyle name="Followed Hyperlink" xfId="7948" builtinId="9" hidden="1"/>
    <cellStyle name="Followed Hyperlink" xfId="7950" builtinId="9" hidden="1"/>
    <cellStyle name="Followed Hyperlink" xfId="7952" builtinId="9" hidden="1"/>
    <cellStyle name="Followed Hyperlink" xfId="7954" builtinId="9" hidden="1"/>
    <cellStyle name="Followed Hyperlink" xfId="7956" builtinId="9" hidden="1"/>
    <cellStyle name="Followed Hyperlink" xfId="7958" builtinId="9" hidden="1"/>
    <cellStyle name="Followed Hyperlink" xfId="7960" builtinId="9" hidden="1"/>
    <cellStyle name="Followed Hyperlink" xfId="7962" builtinId="9" hidden="1"/>
    <cellStyle name="Followed Hyperlink" xfId="7964" builtinId="9" hidden="1"/>
    <cellStyle name="Followed Hyperlink" xfId="7966" builtinId="9" hidden="1"/>
    <cellStyle name="Followed Hyperlink" xfId="7968" builtinId="9" hidden="1"/>
    <cellStyle name="Followed Hyperlink" xfId="7970" builtinId="9" hidden="1"/>
    <cellStyle name="Followed Hyperlink" xfId="7972" builtinId="9" hidden="1"/>
    <cellStyle name="Followed Hyperlink" xfId="7974" builtinId="9" hidden="1"/>
    <cellStyle name="Followed Hyperlink" xfId="7976" builtinId="9" hidden="1"/>
    <cellStyle name="Followed Hyperlink" xfId="7978" builtinId="9" hidden="1"/>
    <cellStyle name="Followed Hyperlink" xfId="7980" builtinId="9" hidden="1"/>
    <cellStyle name="Followed Hyperlink" xfId="7982" builtinId="9" hidden="1"/>
    <cellStyle name="Followed Hyperlink" xfId="7984" builtinId="9" hidden="1"/>
    <cellStyle name="Followed Hyperlink" xfId="7986" builtinId="9" hidden="1"/>
    <cellStyle name="Followed Hyperlink" xfId="7988" builtinId="9" hidden="1"/>
    <cellStyle name="Followed Hyperlink" xfId="7990" builtinId="9" hidden="1"/>
    <cellStyle name="Followed Hyperlink" xfId="7992" builtinId="9" hidden="1"/>
    <cellStyle name="Followed Hyperlink" xfId="7994" builtinId="9" hidden="1"/>
    <cellStyle name="Followed Hyperlink" xfId="7996" builtinId="9" hidden="1"/>
    <cellStyle name="Followed Hyperlink" xfId="7998" builtinId="9" hidden="1"/>
    <cellStyle name="Followed Hyperlink" xfId="8000" builtinId="9" hidden="1"/>
    <cellStyle name="Followed Hyperlink" xfId="8002" builtinId="9" hidden="1"/>
    <cellStyle name="Followed Hyperlink" xfId="8004" builtinId="9" hidden="1"/>
    <cellStyle name="Followed Hyperlink" xfId="8006" builtinId="9" hidden="1"/>
    <cellStyle name="Followed Hyperlink" xfId="8008" builtinId="9" hidden="1"/>
    <cellStyle name="Followed Hyperlink" xfId="8010" builtinId="9" hidden="1"/>
    <cellStyle name="Followed Hyperlink" xfId="8012" builtinId="9" hidden="1"/>
    <cellStyle name="Followed Hyperlink" xfId="8014" builtinId="9" hidden="1"/>
    <cellStyle name="Followed Hyperlink" xfId="8016" builtinId="9" hidden="1"/>
    <cellStyle name="Followed Hyperlink" xfId="8018" builtinId="9" hidden="1"/>
    <cellStyle name="Followed Hyperlink" xfId="8020" builtinId="9" hidden="1"/>
    <cellStyle name="Followed Hyperlink" xfId="8022" builtinId="9" hidden="1"/>
    <cellStyle name="Followed Hyperlink" xfId="8024" builtinId="9" hidden="1"/>
    <cellStyle name="Followed Hyperlink" xfId="8026" builtinId="9" hidden="1"/>
    <cellStyle name="Followed Hyperlink" xfId="8028" builtinId="9" hidden="1"/>
    <cellStyle name="Followed Hyperlink" xfId="8030" builtinId="9" hidden="1"/>
    <cellStyle name="Followed Hyperlink" xfId="8032" builtinId="9" hidden="1"/>
    <cellStyle name="Followed Hyperlink" xfId="8034" builtinId="9" hidden="1"/>
    <cellStyle name="Followed Hyperlink" xfId="8036" builtinId="9" hidden="1"/>
    <cellStyle name="Followed Hyperlink" xfId="8038" builtinId="9" hidden="1"/>
    <cellStyle name="Followed Hyperlink" xfId="8040" builtinId="9" hidden="1"/>
    <cellStyle name="Followed Hyperlink" xfId="8042" builtinId="9" hidden="1"/>
    <cellStyle name="Followed Hyperlink" xfId="8044" builtinId="9" hidden="1"/>
    <cellStyle name="Followed Hyperlink" xfId="8046" builtinId="9" hidden="1"/>
    <cellStyle name="Followed Hyperlink" xfId="8048" builtinId="9" hidden="1"/>
    <cellStyle name="Followed Hyperlink" xfId="8050" builtinId="9" hidden="1"/>
    <cellStyle name="Followed Hyperlink" xfId="8052" builtinId="9" hidden="1"/>
    <cellStyle name="Followed Hyperlink" xfId="8054" builtinId="9" hidden="1"/>
    <cellStyle name="Followed Hyperlink" xfId="8056" builtinId="9" hidden="1"/>
    <cellStyle name="Followed Hyperlink" xfId="8058" builtinId="9" hidden="1"/>
    <cellStyle name="Followed Hyperlink" xfId="8060" builtinId="9" hidden="1"/>
    <cellStyle name="Followed Hyperlink" xfId="8062" builtinId="9" hidden="1"/>
    <cellStyle name="Followed Hyperlink" xfId="8064" builtinId="9" hidden="1"/>
    <cellStyle name="Followed Hyperlink" xfId="8066" builtinId="9" hidden="1"/>
    <cellStyle name="Followed Hyperlink" xfId="8068" builtinId="9" hidden="1"/>
    <cellStyle name="Followed Hyperlink" xfId="8070" builtinId="9" hidden="1"/>
    <cellStyle name="Followed Hyperlink" xfId="8072" builtinId="9" hidden="1"/>
    <cellStyle name="Followed Hyperlink" xfId="8074" builtinId="9" hidden="1"/>
    <cellStyle name="Followed Hyperlink" xfId="8076" builtinId="9" hidden="1"/>
    <cellStyle name="Followed Hyperlink" xfId="8078" builtinId="9" hidden="1"/>
    <cellStyle name="Followed Hyperlink" xfId="8080" builtinId="9" hidden="1"/>
    <cellStyle name="Followed Hyperlink" xfId="8082" builtinId="9" hidden="1"/>
    <cellStyle name="Followed Hyperlink" xfId="8084" builtinId="9" hidden="1"/>
    <cellStyle name="Followed Hyperlink" xfId="8086" builtinId="9" hidden="1"/>
    <cellStyle name="Followed Hyperlink" xfId="8088" builtinId="9" hidden="1"/>
    <cellStyle name="Followed Hyperlink" xfId="8090" builtinId="9" hidden="1"/>
    <cellStyle name="Followed Hyperlink" xfId="8092" builtinId="9" hidden="1"/>
    <cellStyle name="Followed Hyperlink" xfId="8094" builtinId="9" hidden="1"/>
    <cellStyle name="Followed Hyperlink" xfId="8096" builtinId="9" hidden="1"/>
    <cellStyle name="Followed Hyperlink" xfId="8098" builtinId="9" hidden="1"/>
    <cellStyle name="Followed Hyperlink" xfId="8100" builtinId="9" hidden="1"/>
    <cellStyle name="Followed Hyperlink" xfId="8102" builtinId="9" hidden="1"/>
    <cellStyle name="Followed Hyperlink" xfId="8104" builtinId="9" hidden="1"/>
    <cellStyle name="Followed Hyperlink" xfId="8106" builtinId="9" hidden="1"/>
    <cellStyle name="Followed Hyperlink" xfId="8108" builtinId="9" hidden="1"/>
    <cellStyle name="Followed Hyperlink" xfId="8110" builtinId="9" hidden="1"/>
    <cellStyle name="Followed Hyperlink" xfId="8112" builtinId="9" hidden="1"/>
    <cellStyle name="Followed Hyperlink" xfId="8114" builtinId="9" hidden="1"/>
    <cellStyle name="Followed Hyperlink" xfId="8116" builtinId="9" hidden="1"/>
    <cellStyle name="Followed Hyperlink" xfId="8118" builtinId="9" hidden="1"/>
    <cellStyle name="Followed Hyperlink" xfId="8120" builtinId="9" hidden="1"/>
    <cellStyle name="Followed Hyperlink" xfId="8122" builtinId="9" hidden="1"/>
    <cellStyle name="Followed Hyperlink" xfId="8124" builtinId="9" hidden="1"/>
    <cellStyle name="Followed Hyperlink" xfId="8126" builtinId="9" hidden="1"/>
    <cellStyle name="Followed Hyperlink" xfId="8128" builtinId="9" hidden="1"/>
    <cellStyle name="Followed Hyperlink" xfId="8130" builtinId="9" hidden="1"/>
    <cellStyle name="Followed Hyperlink" xfId="8132" builtinId="9" hidden="1"/>
    <cellStyle name="Followed Hyperlink" xfId="8134" builtinId="9" hidden="1"/>
    <cellStyle name="Followed Hyperlink" xfId="8136" builtinId="9" hidden="1"/>
    <cellStyle name="Followed Hyperlink" xfId="8138" builtinId="9" hidden="1"/>
    <cellStyle name="Followed Hyperlink" xfId="8140" builtinId="9" hidden="1"/>
    <cellStyle name="Followed Hyperlink" xfId="8142" builtinId="9" hidden="1"/>
    <cellStyle name="Followed Hyperlink" xfId="8144" builtinId="9" hidden="1"/>
    <cellStyle name="Followed Hyperlink" xfId="8146" builtinId="9" hidden="1"/>
    <cellStyle name="Followed Hyperlink" xfId="8148" builtinId="9" hidden="1"/>
    <cellStyle name="Followed Hyperlink" xfId="8150" builtinId="9" hidden="1"/>
    <cellStyle name="Followed Hyperlink" xfId="8152" builtinId="9" hidden="1"/>
    <cellStyle name="Followed Hyperlink" xfId="8154" builtinId="9" hidden="1"/>
    <cellStyle name="Followed Hyperlink" xfId="8156" builtinId="9" hidden="1"/>
    <cellStyle name="Followed Hyperlink" xfId="8158" builtinId="9" hidden="1"/>
    <cellStyle name="Followed Hyperlink" xfId="8160" builtinId="9" hidden="1"/>
    <cellStyle name="Followed Hyperlink" xfId="8162" builtinId="9" hidden="1"/>
    <cellStyle name="Followed Hyperlink" xfId="8164" builtinId="9" hidden="1"/>
    <cellStyle name="Followed Hyperlink" xfId="8166" builtinId="9" hidden="1"/>
    <cellStyle name="Followed Hyperlink" xfId="8168" builtinId="9" hidden="1"/>
    <cellStyle name="Followed Hyperlink" xfId="8170" builtinId="9" hidden="1"/>
    <cellStyle name="Followed Hyperlink" xfId="8172" builtinId="9" hidden="1"/>
    <cellStyle name="Followed Hyperlink" xfId="8174" builtinId="9" hidden="1"/>
    <cellStyle name="Followed Hyperlink" xfId="8176" builtinId="9" hidden="1"/>
    <cellStyle name="Followed Hyperlink" xfId="8178" builtinId="9" hidden="1"/>
    <cellStyle name="Followed Hyperlink" xfId="8180" builtinId="9" hidden="1"/>
    <cellStyle name="Followed Hyperlink" xfId="8182" builtinId="9" hidden="1"/>
    <cellStyle name="Followed Hyperlink" xfId="8184" builtinId="9" hidden="1"/>
    <cellStyle name="Followed Hyperlink" xfId="8186" builtinId="9" hidden="1"/>
    <cellStyle name="Followed Hyperlink" xfId="8188" builtinId="9" hidden="1"/>
    <cellStyle name="Followed Hyperlink" xfId="8190" builtinId="9" hidden="1"/>
    <cellStyle name="Followed Hyperlink" xfId="8192" builtinId="9" hidden="1"/>
    <cellStyle name="Followed Hyperlink" xfId="8194" builtinId="9" hidden="1"/>
    <cellStyle name="Followed Hyperlink" xfId="8196" builtinId="9" hidden="1"/>
    <cellStyle name="Followed Hyperlink" xfId="8198" builtinId="9" hidden="1"/>
    <cellStyle name="Followed Hyperlink" xfId="8200" builtinId="9" hidden="1"/>
    <cellStyle name="Followed Hyperlink" xfId="8202" builtinId="9" hidden="1"/>
    <cellStyle name="Followed Hyperlink" xfId="8204" builtinId="9" hidden="1"/>
    <cellStyle name="Followed Hyperlink" xfId="8206" builtinId="9" hidden="1"/>
    <cellStyle name="Followed Hyperlink" xfId="8208" builtinId="9" hidden="1"/>
    <cellStyle name="Followed Hyperlink" xfId="8210" builtinId="9" hidden="1"/>
    <cellStyle name="Followed Hyperlink" xfId="8212" builtinId="9" hidden="1"/>
    <cellStyle name="Followed Hyperlink" xfId="8214" builtinId="9" hidden="1"/>
    <cellStyle name="Followed Hyperlink" xfId="8216" builtinId="9" hidden="1"/>
    <cellStyle name="Followed Hyperlink" xfId="8218" builtinId="9" hidden="1"/>
    <cellStyle name="Followed Hyperlink" xfId="8220" builtinId="9" hidden="1"/>
    <cellStyle name="Followed Hyperlink" xfId="8222" builtinId="9" hidden="1"/>
    <cellStyle name="Followed Hyperlink" xfId="8224" builtinId="9" hidden="1"/>
    <cellStyle name="Followed Hyperlink" xfId="8226" builtinId="9" hidden="1"/>
    <cellStyle name="Followed Hyperlink" xfId="8228" builtinId="9" hidden="1"/>
    <cellStyle name="Followed Hyperlink" xfId="8230" builtinId="9" hidden="1"/>
    <cellStyle name="Followed Hyperlink" xfId="8232" builtinId="9" hidden="1"/>
    <cellStyle name="Followed Hyperlink" xfId="8234" builtinId="9" hidden="1"/>
    <cellStyle name="Followed Hyperlink" xfId="8236" builtinId="9" hidden="1"/>
    <cellStyle name="Followed Hyperlink" xfId="8238" builtinId="9" hidden="1"/>
    <cellStyle name="Followed Hyperlink" xfId="8240" builtinId="9" hidden="1"/>
    <cellStyle name="Followed Hyperlink" xfId="8242" builtinId="9" hidden="1"/>
    <cellStyle name="Followed Hyperlink" xfId="8244" builtinId="9" hidden="1"/>
    <cellStyle name="Followed Hyperlink" xfId="8246" builtinId="9" hidden="1"/>
    <cellStyle name="Followed Hyperlink" xfId="8248" builtinId="9" hidden="1"/>
    <cellStyle name="Followed Hyperlink" xfId="8250" builtinId="9" hidden="1"/>
    <cellStyle name="Followed Hyperlink" xfId="8252" builtinId="9" hidden="1"/>
    <cellStyle name="Followed Hyperlink" xfId="8254" builtinId="9" hidden="1"/>
    <cellStyle name="Followed Hyperlink" xfId="8256" builtinId="9" hidden="1"/>
    <cellStyle name="Followed Hyperlink" xfId="8258" builtinId="9" hidden="1"/>
    <cellStyle name="Followed Hyperlink" xfId="8260" builtinId="9" hidden="1"/>
    <cellStyle name="Followed Hyperlink" xfId="8262" builtinId="9" hidden="1"/>
    <cellStyle name="Followed Hyperlink" xfId="8264" builtinId="9" hidden="1"/>
    <cellStyle name="Followed Hyperlink" xfId="8266" builtinId="9" hidden="1"/>
    <cellStyle name="Followed Hyperlink" xfId="8268" builtinId="9" hidden="1"/>
    <cellStyle name="Followed Hyperlink" xfId="8270" builtinId="9" hidden="1"/>
    <cellStyle name="Followed Hyperlink" xfId="8272" builtinId="9" hidden="1"/>
    <cellStyle name="Followed Hyperlink" xfId="8274" builtinId="9" hidden="1"/>
    <cellStyle name="Followed Hyperlink" xfId="8276" builtinId="9" hidden="1"/>
    <cellStyle name="Followed Hyperlink" xfId="8278" builtinId="9" hidden="1"/>
    <cellStyle name="Followed Hyperlink" xfId="8280" builtinId="9" hidden="1"/>
    <cellStyle name="Followed Hyperlink" xfId="8282" builtinId="9" hidden="1"/>
    <cellStyle name="Followed Hyperlink" xfId="8284" builtinId="9" hidden="1"/>
    <cellStyle name="Followed Hyperlink" xfId="8286" builtinId="9" hidden="1"/>
    <cellStyle name="Followed Hyperlink" xfId="8288" builtinId="9" hidden="1"/>
    <cellStyle name="Followed Hyperlink" xfId="8290" builtinId="9" hidden="1"/>
    <cellStyle name="Followed Hyperlink" xfId="8292" builtinId="9" hidden="1"/>
    <cellStyle name="Followed Hyperlink" xfId="8294" builtinId="9" hidden="1"/>
    <cellStyle name="Followed Hyperlink" xfId="8296" builtinId="9" hidden="1"/>
    <cellStyle name="Followed Hyperlink" xfId="8298" builtinId="9" hidden="1"/>
    <cellStyle name="Followed Hyperlink" xfId="8300" builtinId="9" hidden="1"/>
    <cellStyle name="Followed Hyperlink" xfId="8302" builtinId="9" hidden="1"/>
    <cellStyle name="Followed Hyperlink" xfId="8304" builtinId="9" hidden="1"/>
    <cellStyle name="Followed Hyperlink" xfId="8306" builtinId="9" hidden="1"/>
    <cellStyle name="Followed Hyperlink" xfId="8308" builtinId="9" hidden="1"/>
    <cellStyle name="Followed Hyperlink" xfId="8310" builtinId="9" hidden="1"/>
    <cellStyle name="Followed Hyperlink" xfId="8312" builtinId="9" hidden="1"/>
    <cellStyle name="Followed Hyperlink" xfId="8314" builtinId="9" hidden="1"/>
    <cellStyle name="Followed Hyperlink" xfId="8316" builtinId="9" hidden="1"/>
    <cellStyle name="Followed Hyperlink" xfId="8318" builtinId="9" hidden="1"/>
    <cellStyle name="Followed Hyperlink" xfId="8320" builtinId="9" hidden="1"/>
    <cellStyle name="Followed Hyperlink" xfId="8322" builtinId="9" hidden="1"/>
    <cellStyle name="Followed Hyperlink" xfId="8324" builtinId="9" hidden="1"/>
    <cellStyle name="Followed Hyperlink" xfId="8326" builtinId="9" hidden="1"/>
    <cellStyle name="Followed Hyperlink" xfId="8328" builtinId="9" hidden="1"/>
    <cellStyle name="Followed Hyperlink" xfId="8330" builtinId="9" hidden="1"/>
    <cellStyle name="Followed Hyperlink" xfId="8332" builtinId="9" hidden="1"/>
    <cellStyle name="Followed Hyperlink" xfId="8334" builtinId="9" hidden="1"/>
    <cellStyle name="Followed Hyperlink" xfId="8336" builtinId="9" hidden="1"/>
    <cellStyle name="Followed Hyperlink" xfId="8338" builtinId="9" hidden="1"/>
    <cellStyle name="Followed Hyperlink" xfId="8340" builtinId="9" hidden="1"/>
    <cellStyle name="Followed Hyperlink" xfId="8342" builtinId="9" hidden="1"/>
    <cellStyle name="Followed Hyperlink" xfId="8344" builtinId="9" hidden="1"/>
    <cellStyle name="Followed Hyperlink" xfId="8346" builtinId="9" hidden="1"/>
    <cellStyle name="Followed Hyperlink" xfId="8348" builtinId="9" hidden="1"/>
    <cellStyle name="Followed Hyperlink" xfId="8350" builtinId="9" hidden="1"/>
    <cellStyle name="Followed Hyperlink" xfId="8352" builtinId="9" hidden="1"/>
    <cellStyle name="Followed Hyperlink" xfId="8354" builtinId="9" hidden="1"/>
    <cellStyle name="Followed Hyperlink" xfId="8356" builtinId="9" hidden="1"/>
    <cellStyle name="Followed Hyperlink" xfId="8358" builtinId="9" hidden="1"/>
    <cellStyle name="Followed Hyperlink" xfId="8360" builtinId="9" hidden="1"/>
    <cellStyle name="Followed Hyperlink" xfId="8362" builtinId="9" hidden="1"/>
    <cellStyle name="Followed Hyperlink" xfId="8364" builtinId="9" hidden="1"/>
    <cellStyle name="Followed Hyperlink" xfId="8366" builtinId="9" hidden="1"/>
    <cellStyle name="Followed Hyperlink" xfId="8368" builtinId="9" hidden="1"/>
    <cellStyle name="Followed Hyperlink" xfId="8370" builtinId="9" hidden="1"/>
    <cellStyle name="Followed Hyperlink" xfId="8372" builtinId="9" hidden="1"/>
    <cellStyle name="Followed Hyperlink" xfId="8374" builtinId="9" hidden="1"/>
    <cellStyle name="Followed Hyperlink" xfId="8376" builtinId="9" hidden="1"/>
    <cellStyle name="Followed Hyperlink" xfId="8378" builtinId="9" hidden="1"/>
    <cellStyle name="Followed Hyperlink" xfId="8380" builtinId="9" hidden="1"/>
    <cellStyle name="Followed Hyperlink" xfId="8382" builtinId="9" hidden="1"/>
    <cellStyle name="Followed Hyperlink" xfId="8384" builtinId="9" hidden="1"/>
    <cellStyle name="Followed Hyperlink" xfId="8386" builtinId="9" hidden="1"/>
    <cellStyle name="Followed Hyperlink" xfId="8388" builtinId="9" hidden="1"/>
    <cellStyle name="Followed Hyperlink" xfId="8390" builtinId="9" hidden="1"/>
    <cellStyle name="Followed Hyperlink" xfId="8392" builtinId="9" hidden="1"/>
    <cellStyle name="Followed Hyperlink" xfId="8394" builtinId="9" hidden="1"/>
    <cellStyle name="Followed Hyperlink" xfId="8396" builtinId="9" hidden="1"/>
    <cellStyle name="Followed Hyperlink" xfId="8398" builtinId="9" hidden="1"/>
    <cellStyle name="Followed Hyperlink" xfId="8400" builtinId="9" hidden="1"/>
    <cellStyle name="Followed Hyperlink" xfId="8402" builtinId="9" hidden="1"/>
    <cellStyle name="Followed Hyperlink" xfId="8404" builtinId="9" hidden="1"/>
    <cellStyle name="Followed Hyperlink" xfId="8406" builtinId="9" hidden="1"/>
    <cellStyle name="Followed Hyperlink" xfId="8408" builtinId="9" hidden="1"/>
    <cellStyle name="Followed Hyperlink" xfId="8410" builtinId="9" hidden="1"/>
    <cellStyle name="Followed Hyperlink" xfId="8412" builtinId="9" hidden="1"/>
    <cellStyle name="Followed Hyperlink" xfId="8414" builtinId="9" hidden="1"/>
    <cellStyle name="Followed Hyperlink" xfId="8416" builtinId="9" hidden="1"/>
    <cellStyle name="Followed Hyperlink" xfId="8418" builtinId="9" hidden="1"/>
    <cellStyle name="Followed Hyperlink" xfId="8420" builtinId="9" hidden="1"/>
    <cellStyle name="Followed Hyperlink" xfId="8422" builtinId="9" hidden="1"/>
    <cellStyle name="Followed Hyperlink" xfId="8424" builtinId="9" hidden="1"/>
    <cellStyle name="Followed Hyperlink" xfId="8426" builtinId="9" hidden="1"/>
    <cellStyle name="Followed Hyperlink" xfId="8428" builtinId="9" hidden="1"/>
    <cellStyle name="Followed Hyperlink" xfId="8430" builtinId="9" hidden="1"/>
    <cellStyle name="Followed Hyperlink" xfId="8432" builtinId="9" hidden="1"/>
    <cellStyle name="Followed Hyperlink" xfId="8434" builtinId="9" hidden="1"/>
    <cellStyle name="Followed Hyperlink" xfId="8436" builtinId="9" hidden="1"/>
    <cellStyle name="Followed Hyperlink" xfId="8438" builtinId="9" hidden="1"/>
    <cellStyle name="Followed Hyperlink" xfId="8440" builtinId="9" hidden="1"/>
    <cellStyle name="Followed Hyperlink" xfId="8442" builtinId="9" hidden="1"/>
    <cellStyle name="Followed Hyperlink" xfId="8444" builtinId="9" hidden="1"/>
    <cellStyle name="Followed Hyperlink" xfId="8446" builtinId="9" hidden="1"/>
    <cellStyle name="Followed Hyperlink" xfId="8448" builtinId="9" hidden="1"/>
    <cellStyle name="Followed Hyperlink" xfId="8450" builtinId="9" hidden="1"/>
    <cellStyle name="Followed Hyperlink" xfId="8452" builtinId="9" hidden="1"/>
    <cellStyle name="Followed Hyperlink" xfId="8454" builtinId="9" hidden="1"/>
    <cellStyle name="Followed Hyperlink" xfId="8456" builtinId="9" hidden="1"/>
    <cellStyle name="Followed Hyperlink" xfId="8458" builtinId="9" hidden="1"/>
    <cellStyle name="Followed Hyperlink" xfId="8460" builtinId="9" hidden="1"/>
    <cellStyle name="Followed Hyperlink" xfId="8462" builtinId="9" hidden="1"/>
    <cellStyle name="Followed Hyperlink" xfId="8464" builtinId="9" hidden="1"/>
    <cellStyle name="Followed Hyperlink" xfId="8466" builtinId="9" hidden="1"/>
    <cellStyle name="Followed Hyperlink" xfId="8468" builtinId="9" hidden="1"/>
    <cellStyle name="Followed Hyperlink" xfId="8470" builtinId="9" hidden="1"/>
    <cellStyle name="Followed Hyperlink" xfId="8472" builtinId="9" hidden="1"/>
    <cellStyle name="Followed Hyperlink" xfId="8474" builtinId="9" hidden="1"/>
    <cellStyle name="Followed Hyperlink" xfId="8476" builtinId="9" hidden="1"/>
    <cellStyle name="Followed Hyperlink" xfId="8478" builtinId="9" hidden="1"/>
    <cellStyle name="Followed Hyperlink" xfId="8480" builtinId="9" hidden="1"/>
    <cellStyle name="Followed Hyperlink" xfId="8482" builtinId="9" hidden="1"/>
    <cellStyle name="Followed Hyperlink" xfId="8484" builtinId="9" hidden="1"/>
    <cellStyle name="Followed Hyperlink" xfId="8486" builtinId="9" hidden="1"/>
    <cellStyle name="Followed Hyperlink" xfId="8488" builtinId="9" hidden="1"/>
    <cellStyle name="Followed Hyperlink" xfId="8490" builtinId="9" hidden="1"/>
    <cellStyle name="Followed Hyperlink" xfId="8492" builtinId="9" hidden="1"/>
    <cellStyle name="Followed Hyperlink" xfId="8494" builtinId="9" hidden="1"/>
    <cellStyle name="Followed Hyperlink" xfId="8496" builtinId="9" hidden="1"/>
    <cellStyle name="Followed Hyperlink" xfId="8498" builtinId="9" hidden="1"/>
    <cellStyle name="Followed Hyperlink" xfId="8500" builtinId="9" hidden="1"/>
    <cellStyle name="Followed Hyperlink" xfId="8502" builtinId="9" hidden="1"/>
    <cellStyle name="Followed Hyperlink" xfId="8504" builtinId="9" hidden="1"/>
    <cellStyle name="Followed Hyperlink" xfId="8506" builtinId="9" hidden="1"/>
    <cellStyle name="Followed Hyperlink" xfId="8508" builtinId="9" hidden="1"/>
    <cellStyle name="Followed Hyperlink" xfId="8510" builtinId="9" hidden="1"/>
    <cellStyle name="Followed Hyperlink" xfId="8512" builtinId="9" hidden="1"/>
    <cellStyle name="Followed Hyperlink" xfId="8514" builtinId="9" hidden="1"/>
    <cellStyle name="Followed Hyperlink" xfId="8516" builtinId="9" hidden="1"/>
    <cellStyle name="Followed Hyperlink" xfId="8518" builtinId="9" hidden="1"/>
    <cellStyle name="Followed Hyperlink" xfId="8520" builtinId="9" hidden="1"/>
    <cellStyle name="Followed Hyperlink" xfId="8522" builtinId="9" hidden="1"/>
    <cellStyle name="Followed Hyperlink" xfId="8524" builtinId="9" hidden="1"/>
    <cellStyle name="Followed Hyperlink" xfId="8526" builtinId="9" hidden="1"/>
    <cellStyle name="Followed Hyperlink" xfId="8528" builtinId="9" hidden="1"/>
    <cellStyle name="Followed Hyperlink" xfId="8530" builtinId="9" hidden="1"/>
    <cellStyle name="Followed Hyperlink" xfId="8532" builtinId="9" hidden="1"/>
    <cellStyle name="Followed Hyperlink" xfId="8534" builtinId="9" hidden="1"/>
    <cellStyle name="Followed Hyperlink" xfId="8536" builtinId="9" hidden="1"/>
    <cellStyle name="Followed Hyperlink" xfId="8538" builtinId="9" hidden="1"/>
    <cellStyle name="Followed Hyperlink" xfId="8540" builtinId="9" hidden="1"/>
    <cellStyle name="Followed Hyperlink" xfId="8542" builtinId="9" hidden="1"/>
    <cellStyle name="Followed Hyperlink" xfId="8544" builtinId="9" hidden="1"/>
    <cellStyle name="Followed Hyperlink" xfId="8546" builtinId="9" hidden="1"/>
    <cellStyle name="Followed Hyperlink" xfId="8548" builtinId="9" hidden="1"/>
    <cellStyle name="Followed Hyperlink" xfId="8550" builtinId="9" hidden="1"/>
    <cellStyle name="Followed Hyperlink" xfId="8552" builtinId="9" hidden="1"/>
    <cellStyle name="Followed Hyperlink" xfId="8554" builtinId="9" hidden="1"/>
    <cellStyle name="Followed Hyperlink" xfId="8556" builtinId="9" hidden="1"/>
    <cellStyle name="Followed Hyperlink" xfId="8558" builtinId="9" hidden="1"/>
    <cellStyle name="Followed Hyperlink" xfId="8560" builtinId="9" hidden="1"/>
    <cellStyle name="Followed Hyperlink" xfId="8562" builtinId="9" hidden="1"/>
    <cellStyle name="Followed Hyperlink" xfId="8564" builtinId="9" hidden="1"/>
    <cellStyle name="Followed Hyperlink" xfId="8566" builtinId="9" hidden="1"/>
    <cellStyle name="Followed Hyperlink" xfId="8568" builtinId="9" hidden="1"/>
    <cellStyle name="Followed Hyperlink" xfId="8570" builtinId="9" hidden="1"/>
    <cellStyle name="Followed Hyperlink" xfId="8572" builtinId="9" hidden="1"/>
    <cellStyle name="Followed Hyperlink" xfId="8574" builtinId="9" hidden="1"/>
    <cellStyle name="Followed Hyperlink" xfId="8576" builtinId="9" hidden="1"/>
    <cellStyle name="Followed Hyperlink" xfId="8578" builtinId="9" hidden="1"/>
    <cellStyle name="Followed Hyperlink" xfId="8580" builtinId="9" hidden="1"/>
    <cellStyle name="Followed Hyperlink" xfId="8582" builtinId="9" hidden="1"/>
    <cellStyle name="Followed Hyperlink" xfId="8584" builtinId="9" hidden="1"/>
    <cellStyle name="Followed Hyperlink" xfId="8586" builtinId="9" hidden="1"/>
    <cellStyle name="Followed Hyperlink" xfId="8588" builtinId="9" hidden="1"/>
    <cellStyle name="Followed Hyperlink" xfId="8590" builtinId="9" hidden="1"/>
    <cellStyle name="Followed Hyperlink" xfId="8592" builtinId="9" hidden="1"/>
    <cellStyle name="Followed Hyperlink" xfId="8594" builtinId="9" hidden="1"/>
    <cellStyle name="Followed Hyperlink" xfId="8596" builtinId="9" hidden="1"/>
    <cellStyle name="Followed Hyperlink" xfId="8598" builtinId="9" hidden="1"/>
    <cellStyle name="Followed Hyperlink" xfId="8600" builtinId="9" hidden="1"/>
    <cellStyle name="Followed Hyperlink" xfId="8602" builtinId="9" hidden="1"/>
    <cellStyle name="Followed Hyperlink" xfId="8604" builtinId="9" hidden="1"/>
    <cellStyle name="Followed Hyperlink" xfId="8606" builtinId="9" hidden="1"/>
    <cellStyle name="Followed Hyperlink" xfId="8608" builtinId="9" hidden="1"/>
    <cellStyle name="Followed Hyperlink" xfId="8610" builtinId="9" hidden="1"/>
    <cellStyle name="Followed Hyperlink" xfId="8612" builtinId="9" hidden="1"/>
    <cellStyle name="Followed Hyperlink" xfId="8614" builtinId="9" hidden="1"/>
    <cellStyle name="Followed Hyperlink" xfId="8616" builtinId="9" hidden="1"/>
    <cellStyle name="Followed Hyperlink" xfId="8618" builtinId="9" hidden="1"/>
    <cellStyle name="Followed Hyperlink" xfId="8620" builtinId="9" hidden="1"/>
    <cellStyle name="Followed Hyperlink" xfId="8622" builtinId="9" hidden="1"/>
    <cellStyle name="Followed Hyperlink" xfId="8624" builtinId="9" hidden="1"/>
    <cellStyle name="Followed Hyperlink" xfId="8626" builtinId="9" hidden="1"/>
    <cellStyle name="Followed Hyperlink" xfId="8628" builtinId="9" hidden="1"/>
    <cellStyle name="Followed Hyperlink" xfId="8630" builtinId="9" hidden="1"/>
    <cellStyle name="Followed Hyperlink" xfId="8632" builtinId="9" hidden="1"/>
    <cellStyle name="Followed Hyperlink" xfId="8634" builtinId="9" hidden="1"/>
    <cellStyle name="Followed Hyperlink" xfId="8636" builtinId="9" hidden="1"/>
    <cellStyle name="Followed Hyperlink" xfId="8638" builtinId="9" hidden="1"/>
    <cellStyle name="Followed Hyperlink" xfId="8640" builtinId="9" hidden="1"/>
    <cellStyle name="Followed Hyperlink" xfId="8642" builtinId="9" hidden="1"/>
    <cellStyle name="Followed Hyperlink" xfId="8644" builtinId="9" hidden="1"/>
    <cellStyle name="Followed Hyperlink" xfId="8646" builtinId="9" hidden="1"/>
    <cellStyle name="Followed Hyperlink" xfId="8648" builtinId="9" hidden="1"/>
    <cellStyle name="Followed Hyperlink" xfId="8650" builtinId="9" hidden="1"/>
    <cellStyle name="Followed Hyperlink" xfId="8652" builtinId="9" hidden="1"/>
    <cellStyle name="Followed Hyperlink" xfId="8654" builtinId="9" hidden="1"/>
    <cellStyle name="Followed Hyperlink" xfId="8656" builtinId="9" hidden="1"/>
    <cellStyle name="Followed Hyperlink" xfId="8658" builtinId="9" hidden="1"/>
    <cellStyle name="Followed Hyperlink" xfId="8660" builtinId="9" hidden="1"/>
    <cellStyle name="Followed Hyperlink" xfId="8662" builtinId="9" hidden="1"/>
    <cellStyle name="Followed Hyperlink" xfId="8664" builtinId="9" hidden="1"/>
    <cellStyle name="Followed Hyperlink" xfId="8666" builtinId="9" hidden="1"/>
    <cellStyle name="Followed Hyperlink" xfId="8668" builtinId="9" hidden="1"/>
    <cellStyle name="Followed Hyperlink" xfId="8670" builtinId="9" hidden="1"/>
    <cellStyle name="Followed Hyperlink" xfId="8672" builtinId="9" hidden="1"/>
    <cellStyle name="Followed Hyperlink" xfId="8674" builtinId="9" hidden="1"/>
    <cellStyle name="Followed Hyperlink" xfId="8676" builtinId="9" hidden="1"/>
    <cellStyle name="Followed Hyperlink" xfId="8678" builtinId="9" hidden="1"/>
    <cellStyle name="Followed Hyperlink" xfId="8680" builtinId="9" hidden="1"/>
    <cellStyle name="Followed Hyperlink" xfId="8682" builtinId="9" hidden="1"/>
    <cellStyle name="Followed Hyperlink" xfId="8684" builtinId="9" hidden="1"/>
    <cellStyle name="Followed Hyperlink" xfId="8686" builtinId="9" hidden="1"/>
    <cellStyle name="Followed Hyperlink" xfId="8688" builtinId="9" hidden="1"/>
    <cellStyle name="Followed Hyperlink" xfId="8690" builtinId="9" hidden="1"/>
    <cellStyle name="Followed Hyperlink" xfId="8692" builtinId="9" hidden="1"/>
    <cellStyle name="Followed Hyperlink" xfId="8694" builtinId="9" hidden="1"/>
    <cellStyle name="Followed Hyperlink" xfId="8696" builtinId="9" hidden="1"/>
    <cellStyle name="Followed Hyperlink" xfId="8698" builtinId="9" hidden="1"/>
    <cellStyle name="Followed Hyperlink" xfId="8700" builtinId="9" hidden="1"/>
    <cellStyle name="Followed Hyperlink" xfId="8702" builtinId="9" hidden="1"/>
    <cellStyle name="Followed Hyperlink" xfId="8704" builtinId="9" hidden="1"/>
    <cellStyle name="Followed Hyperlink" xfId="8706" builtinId="9" hidden="1"/>
    <cellStyle name="Followed Hyperlink" xfId="8708" builtinId="9" hidden="1"/>
    <cellStyle name="Followed Hyperlink" xfId="8710" builtinId="9" hidden="1"/>
    <cellStyle name="Followed Hyperlink" xfId="8712" builtinId="9" hidden="1"/>
    <cellStyle name="Followed Hyperlink" xfId="8714" builtinId="9" hidden="1"/>
    <cellStyle name="Followed Hyperlink" xfId="8716" builtinId="9" hidden="1"/>
    <cellStyle name="Followed Hyperlink" xfId="8718" builtinId="9" hidden="1"/>
    <cellStyle name="Followed Hyperlink" xfId="8720" builtinId="9" hidden="1"/>
    <cellStyle name="Followed Hyperlink" xfId="8722" builtinId="9" hidden="1"/>
    <cellStyle name="Followed Hyperlink" xfId="8724" builtinId="9" hidden="1"/>
    <cellStyle name="Followed Hyperlink" xfId="8726" builtinId="9" hidden="1"/>
    <cellStyle name="Followed Hyperlink" xfId="8728" builtinId="9" hidden="1"/>
    <cellStyle name="Followed Hyperlink" xfId="8730" builtinId="9" hidden="1"/>
    <cellStyle name="Followed Hyperlink" xfId="8732" builtinId="9" hidden="1"/>
    <cellStyle name="Followed Hyperlink" xfId="8734" builtinId="9" hidden="1"/>
    <cellStyle name="Followed Hyperlink" xfId="8736" builtinId="9" hidden="1"/>
    <cellStyle name="Followed Hyperlink" xfId="8738" builtinId="9" hidden="1"/>
    <cellStyle name="Followed Hyperlink" xfId="8740" builtinId="9" hidden="1"/>
    <cellStyle name="Followed Hyperlink" xfId="8742" builtinId="9" hidden="1"/>
    <cellStyle name="Followed Hyperlink" xfId="8744" builtinId="9" hidden="1"/>
    <cellStyle name="Followed Hyperlink" xfId="8746" builtinId="9" hidden="1"/>
    <cellStyle name="Followed Hyperlink" xfId="8748" builtinId="9" hidden="1"/>
    <cellStyle name="Followed Hyperlink" xfId="8750" builtinId="9" hidden="1"/>
    <cellStyle name="Followed Hyperlink" xfId="8752" builtinId="9" hidden="1"/>
    <cellStyle name="Followed Hyperlink" xfId="8754" builtinId="9" hidden="1"/>
    <cellStyle name="Followed Hyperlink" xfId="8756" builtinId="9" hidden="1"/>
    <cellStyle name="Followed Hyperlink" xfId="8758" builtinId="9" hidden="1"/>
    <cellStyle name="Followed Hyperlink" xfId="8760" builtinId="9" hidden="1"/>
    <cellStyle name="Followed Hyperlink" xfId="8762" builtinId="9" hidden="1"/>
    <cellStyle name="Followed Hyperlink" xfId="8764" builtinId="9" hidden="1"/>
    <cellStyle name="Followed Hyperlink" xfId="8766" builtinId="9" hidden="1"/>
    <cellStyle name="Followed Hyperlink" xfId="8768" builtinId="9" hidden="1"/>
    <cellStyle name="Followed Hyperlink" xfId="8770" builtinId="9" hidden="1"/>
    <cellStyle name="Followed Hyperlink" xfId="8772" builtinId="9" hidden="1"/>
    <cellStyle name="Followed Hyperlink" xfId="8774" builtinId="9" hidden="1"/>
    <cellStyle name="Followed Hyperlink" xfId="8776" builtinId="9" hidden="1"/>
    <cellStyle name="Followed Hyperlink" xfId="8778" builtinId="9" hidden="1"/>
    <cellStyle name="Followed Hyperlink" xfId="8780" builtinId="9" hidden="1"/>
    <cellStyle name="Followed Hyperlink" xfId="8782" builtinId="9" hidden="1"/>
    <cellStyle name="Followed Hyperlink" xfId="8784" builtinId="9" hidden="1"/>
    <cellStyle name="Followed Hyperlink" xfId="8786" builtinId="9" hidden="1"/>
    <cellStyle name="Followed Hyperlink" xfId="8788" builtinId="9" hidden="1"/>
    <cellStyle name="Followed Hyperlink" xfId="8790" builtinId="9" hidden="1"/>
    <cellStyle name="Followed Hyperlink" xfId="8792" builtinId="9" hidden="1"/>
    <cellStyle name="Followed Hyperlink" xfId="8794" builtinId="9" hidden="1"/>
    <cellStyle name="Followed Hyperlink" xfId="8796" builtinId="9" hidden="1"/>
    <cellStyle name="Followed Hyperlink" xfId="8798" builtinId="9" hidden="1"/>
    <cellStyle name="Followed Hyperlink" xfId="8800" builtinId="9" hidden="1"/>
    <cellStyle name="Followed Hyperlink" xfId="8802" builtinId="9" hidden="1"/>
    <cellStyle name="Followed Hyperlink" xfId="8804" builtinId="9" hidden="1"/>
    <cellStyle name="Followed Hyperlink" xfId="8806" builtinId="9" hidden="1"/>
    <cellStyle name="Followed Hyperlink" xfId="8808" builtinId="9" hidden="1"/>
    <cellStyle name="Followed Hyperlink" xfId="8810" builtinId="9" hidden="1"/>
    <cellStyle name="Followed Hyperlink" xfId="8812" builtinId="9" hidden="1"/>
    <cellStyle name="Followed Hyperlink" xfId="8814" builtinId="9" hidden="1"/>
    <cellStyle name="Followed Hyperlink" xfId="8816" builtinId="9" hidden="1"/>
    <cellStyle name="Followed Hyperlink" xfId="8818" builtinId="9" hidden="1"/>
    <cellStyle name="Followed Hyperlink" xfId="8820" builtinId="9" hidden="1"/>
    <cellStyle name="Followed Hyperlink" xfId="8822" builtinId="9" hidden="1"/>
    <cellStyle name="Followed Hyperlink" xfId="8824" builtinId="9" hidden="1"/>
    <cellStyle name="Followed Hyperlink" xfId="8826" builtinId="9" hidden="1"/>
    <cellStyle name="Followed Hyperlink" xfId="8828" builtinId="9" hidden="1"/>
    <cellStyle name="Followed Hyperlink" xfId="8830" builtinId="9" hidden="1"/>
    <cellStyle name="Followed Hyperlink" xfId="8832" builtinId="9" hidden="1"/>
    <cellStyle name="Followed Hyperlink" xfId="8834" builtinId="9" hidden="1"/>
    <cellStyle name="Followed Hyperlink" xfId="8836" builtinId="9" hidden="1"/>
    <cellStyle name="Followed Hyperlink" xfId="8838" builtinId="9" hidden="1"/>
    <cellStyle name="Followed Hyperlink" xfId="8840" builtinId="9" hidden="1"/>
    <cellStyle name="Followed Hyperlink" xfId="8842" builtinId="9" hidden="1"/>
    <cellStyle name="Followed Hyperlink" xfId="8844" builtinId="9" hidden="1"/>
    <cellStyle name="Followed Hyperlink" xfId="8846" builtinId="9" hidden="1"/>
    <cellStyle name="Followed Hyperlink" xfId="8848" builtinId="9" hidden="1"/>
    <cellStyle name="Followed Hyperlink" xfId="8850" builtinId="9" hidden="1"/>
    <cellStyle name="Followed Hyperlink" xfId="8852" builtinId="9" hidden="1"/>
    <cellStyle name="Followed Hyperlink" xfId="8854" builtinId="9" hidden="1"/>
    <cellStyle name="Followed Hyperlink" xfId="8856" builtinId="9" hidden="1"/>
    <cellStyle name="Followed Hyperlink" xfId="8858" builtinId="9" hidden="1"/>
    <cellStyle name="Followed Hyperlink" xfId="8860" builtinId="9" hidden="1"/>
    <cellStyle name="Followed Hyperlink" xfId="8862" builtinId="9" hidden="1"/>
    <cellStyle name="Followed Hyperlink" xfId="8864" builtinId="9" hidden="1"/>
    <cellStyle name="Followed Hyperlink" xfId="8866" builtinId="9" hidden="1"/>
    <cellStyle name="Followed Hyperlink" xfId="8868" builtinId="9" hidden="1"/>
    <cellStyle name="Followed Hyperlink" xfId="8870" builtinId="9" hidden="1"/>
    <cellStyle name="Followed Hyperlink" xfId="8872" builtinId="9" hidden="1"/>
    <cellStyle name="Followed Hyperlink" xfId="8874" builtinId="9" hidden="1"/>
    <cellStyle name="Followed Hyperlink" xfId="8876" builtinId="9" hidden="1"/>
    <cellStyle name="Followed Hyperlink" xfId="8878" builtinId="9" hidden="1"/>
    <cellStyle name="Followed Hyperlink" xfId="8880" builtinId="9" hidden="1"/>
    <cellStyle name="Followed Hyperlink" xfId="8882" builtinId="9" hidden="1"/>
    <cellStyle name="Followed Hyperlink" xfId="8884" builtinId="9" hidden="1"/>
    <cellStyle name="Followed Hyperlink" xfId="8886" builtinId="9" hidden="1"/>
    <cellStyle name="Followed Hyperlink" xfId="8888" builtinId="9" hidden="1"/>
    <cellStyle name="Followed Hyperlink" xfId="8890" builtinId="9" hidden="1"/>
    <cellStyle name="Followed Hyperlink" xfId="8892" builtinId="9" hidden="1"/>
    <cellStyle name="Followed Hyperlink" xfId="8894" builtinId="9" hidden="1"/>
    <cellStyle name="Followed Hyperlink" xfId="8896" builtinId="9" hidden="1"/>
    <cellStyle name="Followed Hyperlink" xfId="8898" builtinId="9" hidden="1"/>
    <cellStyle name="Followed Hyperlink" xfId="8900" builtinId="9" hidden="1"/>
    <cellStyle name="Followed Hyperlink" xfId="8902" builtinId="9" hidden="1"/>
    <cellStyle name="Followed Hyperlink" xfId="8904" builtinId="9" hidden="1"/>
    <cellStyle name="Followed Hyperlink" xfId="8906" builtinId="9" hidden="1"/>
    <cellStyle name="Followed Hyperlink" xfId="8908" builtinId="9" hidden="1"/>
    <cellStyle name="Followed Hyperlink" xfId="8910" builtinId="9" hidden="1"/>
    <cellStyle name="Followed Hyperlink" xfId="8912" builtinId="9" hidden="1"/>
    <cellStyle name="Followed Hyperlink" xfId="8914" builtinId="9" hidden="1"/>
    <cellStyle name="Followed Hyperlink" xfId="8916" builtinId="9" hidden="1"/>
    <cellStyle name="Followed Hyperlink" xfId="8918" builtinId="9" hidden="1"/>
    <cellStyle name="Followed Hyperlink" xfId="8920" builtinId="9" hidden="1"/>
    <cellStyle name="Followed Hyperlink" xfId="8922" builtinId="9" hidden="1"/>
    <cellStyle name="Followed Hyperlink" xfId="8924" builtinId="9" hidden="1"/>
    <cellStyle name="Followed Hyperlink" xfId="8926" builtinId="9" hidden="1"/>
    <cellStyle name="Followed Hyperlink" xfId="8928" builtinId="9" hidden="1"/>
    <cellStyle name="Followed Hyperlink" xfId="8930" builtinId="9" hidden="1"/>
    <cellStyle name="Followed Hyperlink" xfId="8932" builtinId="9" hidden="1"/>
    <cellStyle name="Followed Hyperlink" xfId="8934" builtinId="9" hidden="1"/>
    <cellStyle name="Followed Hyperlink" xfId="8936" builtinId="9" hidden="1"/>
    <cellStyle name="Followed Hyperlink" xfId="8938" builtinId="9" hidden="1"/>
    <cellStyle name="Followed Hyperlink" xfId="8940" builtinId="9" hidden="1"/>
    <cellStyle name="Followed Hyperlink" xfId="8942" builtinId="9" hidden="1"/>
    <cellStyle name="Followed Hyperlink" xfId="8944" builtinId="9" hidden="1"/>
    <cellStyle name="Followed Hyperlink" xfId="8946" builtinId="9" hidden="1"/>
    <cellStyle name="Followed Hyperlink" xfId="8948" builtinId="9" hidden="1"/>
    <cellStyle name="Followed Hyperlink" xfId="8950" builtinId="9" hidden="1"/>
    <cellStyle name="Followed Hyperlink" xfId="8952" builtinId="9" hidden="1"/>
    <cellStyle name="Followed Hyperlink" xfId="8954" builtinId="9" hidden="1"/>
    <cellStyle name="Followed Hyperlink" xfId="8956" builtinId="9" hidden="1"/>
    <cellStyle name="Followed Hyperlink" xfId="8958" builtinId="9" hidden="1"/>
    <cellStyle name="Followed Hyperlink" xfId="8960" builtinId="9" hidden="1"/>
    <cellStyle name="Followed Hyperlink" xfId="8962" builtinId="9" hidden="1"/>
    <cellStyle name="Followed Hyperlink" xfId="8964" builtinId="9" hidden="1"/>
    <cellStyle name="Followed Hyperlink" xfId="8966" builtinId="9" hidden="1"/>
    <cellStyle name="Followed Hyperlink" xfId="8968" builtinId="9" hidden="1"/>
    <cellStyle name="Followed Hyperlink" xfId="8970" builtinId="9" hidden="1"/>
    <cellStyle name="Followed Hyperlink" xfId="8972" builtinId="9" hidden="1"/>
    <cellStyle name="Followed Hyperlink" xfId="8974" builtinId="9" hidden="1"/>
    <cellStyle name="Followed Hyperlink" xfId="8976" builtinId="9" hidden="1"/>
    <cellStyle name="Followed Hyperlink" xfId="8978" builtinId="9" hidden="1"/>
    <cellStyle name="Followed Hyperlink" xfId="8980" builtinId="9" hidden="1"/>
    <cellStyle name="Followed Hyperlink" xfId="8982" builtinId="9" hidden="1"/>
    <cellStyle name="Followed Hyperlink" xfId="8984" builtinId="9" hidden="1"/>
    <cellStyle name="Followed Hyperlink" xfId="8986" builtinId="9" hidden="1"/>
    <cellStyle name="Followed Hyperlink" xfId="8988" builtinId="9" hidden="1"/>
    <cellStyle name="Followed Hyperlink" xfId="8990" builtinId="9" hidden="1"/>
    <cellStyle name="Followed Hyperlink" xfId="8992" builtinId="9" hidden="1"/>
    <cellStyle name="Followed Hyperlink" xfId="8994" builtinId="9" hidden="1"/>
    <cellStyle name="Followed Hyperlink" xfId="8996" builtinId="9" hidden="1"/>
    <cellStyle name="Followed Hyperlink" xfId="8998" builtinId="9" hidden="1"/>
    <cellStyle name="Followed Hyperlink" xfId="9000" builtinId="9" hidden="1"/>
    <cellStyle name="Followed Hyperlink" xfId="9002" builtinId="9" hidden="1"/>
    <cellStyle name="Followed Hyperlink" xfId="9004" builtinId="9" hidden="1"/>
    <cellStyle name="Followed Hyperlink" xfId="9006" builtinId="9" hidden="1"/>
    <cellStyle name="Followed Hyperlink" xfId="9008" builtinId="9" hidden="1"/>
    <cellStyle name="Followed Hyperlink" xfId="9010" builtinId="9" hidden="1"/>
    <cellStyle name="Followed Hyperlink" xfId="9012" builtinId="9" hidden="1"/>
    <cellStyle name="Followed Hyperlink" xfId="9014" builtinId="9" hidden="1"/>
    <cellStyle name="Followed Hyperlink" xfId="9016" builtinId="9" hidden="1"/>
    <cellStyle name="Followed Hyperlink" xfId="9018" builtinId="9" hidden="1"/>
    <cellStyle name="Followed Hyperlink" xfId="9020" builtinId="9" hidden="1"/>
    <cellStyle name="Followed Hyperlink" xfId="9022" builtinId="9" hidden="1"/>
    <cellStyle name="Followed Hyperlink" xfId="9024" builtinId="9" hidden="1"/>
    <cellStyle name="Followed Hyperlink" xfId="9026" builtinId="9" hidden="1"/>
    <cellStyle name="Followed Hyperlink" xfId="9028" builtinId="9" hidden="1"/>
    <cellStyle name="Followed Hyperlink" xfId="9030" builtinId="9" hidden="1"/>
    <cellStyle name="Followed Hyperlink" xfId="9032" builtinId="9" hidden="1"/>
    <cellStyle name="Followed Hyperlink" xfId="9034" builtinId="9" hidden="1"/>
    <cellStyle name="Followed Hyperlink" xfId="9036" builtinId="9" hidden="1"/>
    <cellStyle name="Followed Hyperlink" xfId="9038" builtinId="9" hidden="1"/>
    <cellStyle name="Followed Hyperlink" xfId="9040" builtinId="9" hidden="1"/>
    <cellStyle name="Followed Hyperlink" xfId="9042" builtinId="9" hidden="1"/>
    <cellStyle name="Followed Hyperlink" xfId="9044" builtinId="9" hidden="1"/>
    <cellStyle name="Followed Hyperlink" xfId="9046" builtinId="9" hidden="1"/>
    <cellStyle name="Followed Hyperlink" xfId="9048" builtinId="9" hidden="1"/>
    <cellStyle name="Followed Hyperlink" xfId="9050" builtinId="9" hidden="1"/>
    <cellStyle name="Followed Hyperlink" xfId="9052" builtinId="9" hidden="1"/>
    <cellStyle name="Followed Hyperlink" xfId="9054" builtinId="9" hidden="1"/>
    <cellStyle name="Followed Hyperlink" xfId="9056" builtinId="9" hidden="1"/>
    <cellStyle name="Followed Hyperlink" xfId="9058" builtinId="9" hidden="1"/>
    <cellStyle name="Followed Hyperlink" xfId="9060" builtinId="9" hidden="1"/>
    <cellStyle name="Followed Hyperlink" xfId="9062" builtinId="9" hidden="1"/>
    <cellStyle name="Followed Hyperlink" xfId="9064" builtinId="9" hidden="1"/>
    <cellStyle name="Followed Hyperlink" xfId="9066" builtinId="9" hidden="1"/>
    <cellStyle name="Followed Hyperlink" xfId="9068" builtinId="9" hidden="1"/>
    <cellStyle name="Followed Hyperlink" xfId="9070" builtinId="9" hidden="1"/>
    <cellStyle name="Followed Hyperlink" xfId="9072" builtinId="9" hidden="1"/>
    <cellStyle name="Followed Hyperlink" xfId="9074" builtinId="9" hidden="1"/>
    <cellStyle name="Followed Hyperlink" xfId="9076" builtinId="9" hidden="1"/>
    <cellStyle name="Followed Hyperlink" xfId="9078" builtinId="9" hidden="1"/>
    <cellStyle name="Followed Hyperlink" xfId="9080" builtinId="9" hidden="1"/>
    <cellStyle name="Followed Hyperlink" xfId="9082" builtinId="9" hidden="1"/>
    <cellStyle name="Followed Hyperlink" xfId="9084" builtinId="9" hidden="1"/>
    <cellStyle name="Followed Hyperlink" xfId="9086" builtinId="9" hidden="1"/>
    <cellStyle name="Followed Hyperlink" xfId="9088" builtinId="9" hidden="1"/>
    <cellStyle name="Followed Hyperlink" xfId="9090" builtinId="9" hidden="1"/>
    <cellStyle name="Followed Hyperlink" xfId="9092" builtinId="9" hidden="1"/>
    <cellStyle name="Followed Hyperlink" xfId="9094" builtinId="9" hidden="1"/>
    <cellStyle name="Followed Hyperlink" xfId="9096" builtinId="9" hidden="1"/>
    <cellStyle name="Followed Hyperlink" xfId="9098" builtinId="9" hidden="1"/>
    <cellStyle name="Followed Hyperlink" xfId="9100" builtinId="9" hidden="1"/>
    <cellStyle name="Followed Hyperlink" xfId="9102" builtinId="9" hidden="1"/>
    <cellStyle name="Followed Hyperlink" xfId="9104" builtinId="9" hidden="1"/>
    <cellStyle name="Followed Hyperlink" xfId="9106" builtinId="9" hidden="1"/>
    <cellStyle name="Followed Hyperlink" xfId="9108" builtinId="9" hidden="1"/>
    <cellStyle name="Followed Hyperlink" xfId="9110" builtinId="9" hidden="1"/>
    <cellStyle name="Followed Hyperlink" xfId="9112" builtinId="9" hidden="1"/>
    <cellStyle name="Followed Hyperlink" xfId="9114" builtinId="9" hidden="1"/>
    <cellStyle name="Followed Hyperlink" xfId="9116" builtinId="9" hidden="1"/>
    <cellStyle name="Followed Hyperlink" xfId="9118" builtinId="9" hidden="1"/>
    <cellStyle name="Followed Hyperlink" xfId="9120" builtinId="9" hidden="1"/>
    <cellStyle name="Followed Hyperlink" xfId="9122" builtinId="9" hidden="1"/>
    <cellStyle name="Followed Hyperlink" xfId="9124" builtinId="9" hidden="1"/>
    <cellStyle name="Followed Hyperlink" xfId="9126" builtinId="9" hidden="1"/>
    <cellStyle name="Followed Hyperlink" xfId="9128" builtinId="9" hidden="1"/>
    <cellStyle name="Followed Hyperlink" xfId="9130" builtinId="9" hidden="1"/>
    <cellStyle name="Followed Hyperlink" xfId="9132" builtinId="9" hidden="1"/>
    <cellStyle name="Followed Hyperlink" xfId="9134" builtinId="9" hidden="1"/>
    <cellStyle name="Followed Hyperlink" xfId="9136" builtinId="9" hidden="1"/>
    <cellStyle name="Followed Hyperlink" xfId="9138" builtinId="9" hidden="1"/>
    <cellStyle name="Followed Hyperlink" xfId="9140" builtinId="9" hidden="1"/>
    <cellStyle name="Followed Hyperlink" xfId="9142" builtinId="9" hidden="1"/>
    <cellStyle name="Followed Hyperlink" xfId="9144" builtinId="9" hidden="1"/>
    <cellStyle name="Followed Hyperlink" xfId="9146" builtinId="9" hidden="1"/>
    <cellStyle name="Followed Hyperlink" xfId="9148" builtinId="9" hidden="1"/>
    <cellStyle name="Followed Hyperlink" xfId="9150" builtinId="9" hidden="1"/>
    <cellStyle name="Followed Hyperlink" xfId="9152" builtinId="9" hidden="1"/>
    <cellStyle name="Followed Hyperlink" xfId="9154" builtinId="9" hidden="1"/>
    <cellStyle name="Followed Hyperlink" xfId="9156" builtinId="9" hidden="1"/>
    <cellStyle name="Followed Hyperlink" xfId="9158" builtinId="9" hidden="1"/>
    <cellStyle name="Followed Hyperlink" xfId="9160" builtinId="9" hidden="1"/>
    <cellStyle name="Followed Hyperlink" xfId="9162" builtinId="9" hidden="1"/>
    <cellStyle name="Followed Hyperlink" xfId="9164" builtinId="9" hidden="1"/>
    <cellStyle name="Followed Hyperlink" xfId="9166" builtinId="9" hidden="1"/>
    <cellStyle name="Followed Hyperlink" xfId="9168" builtinId="9" hidden="1"/>
    <cellStyle name="Followed Hyperlink" xfId="9170" builtinId="9" hidden="1"/>
    <cellStyle name="Followed Hyperlink" xfId="9172" builtinId="9" hidden="1"/>
    <cellStyle name="Followed Hyperlink" xfId="9174" builtinId="9" hidden="1"/>
    <cellStyle name="Followed Hyperlink" xfId="9176" builtinId="9" hidden="1"/>
    <cellStyle name="Followed Hyperlink" xfId="9178" builtinId="9" hidden="1"/>
    <cellStyle name="Followed Hyperlink" xfId="9180" builtinId="9" hidden="1"/>
    <cellStyle name="Followed Hyperlink" xfId="9182" builtinId="9" hidden="1"/>
    <cellStyle name="Followed Hyperlink" xfId="9184" builtinId="9" hidden="1"/>
    <cellStyle name="Followed Hyperlink" xfId="9186" builtinId="9" hidden="1"/>
    <cellStyle name="Followed Hyperlink" xfId="9188" builtinId="9" hidden="1"/>
    <cellStyle name="Followed Hyperlink" xfId="9190" builtinId="9" hidden="1"/>
    <cellStyle name="Followed Hyperlink" xfId="9192" builtinId="9" hidden="1"/>
    <cellStyle name="Followed Hyperlink" xfId="9194" builtinId="9" hidden="1"/>
    <cellStyle name="Followed Hyperlink" xfId="9196" builtinId="9" hidden="1"/>
    <cellStyle name="Followed Hyperlink" xfId="9198" builtinId="9" hidden="1"/>
    <cellStyle name="Followed Hyperlink" xfId="9200" builtinId="9" hidden="1"/>
    <cellStyle name="Followed Hyperlink" xfId="9202" builtinId="9" hidden="1"/>
    <cellStyle name="Followed Hyperlink" xfId="9204" builtinId="9" hidden="1"/>
    <cellStyle name="Followed Hyperlink" xfId="9206" builtinId="9" hidden="1"/>
    <cellStyle name="Followed Hyperlink" xfId="9208" builtinId="9" hidden="1"/>
    <cellStyle name="Followed Hyperlink" xfId="9210" builtinId="9" hidden="1"/>
    <cellStyle name="Followed Hyperlink" xfId="9212" builtinId="9" hidden="1"/>
    <cellStyle name="Followed Hyperlink" xfId="9214" builtinId="9" hidden="1"/>
    <cellStyle name="Followed Hyperlink" xfId="9216" builtinId="9" hidden="1"/>
    <cellStyle name="Followed Hyperlink" xfId="9218" builtinId="9" hidden="1"/>
    <cellStyle name="Followed Hyperlink" xfId="9220" builtinId="9" hidden="1"/>
    <cellStyle name="Followed Hyperlink" xfId="9222" builtinId="9" hidden="1"/>
    <cellStyle name="Followed Hyperlink" xfId="9224" builtinId="9" hidden="1"/>
    <cellStyle name="Followed Hyperlink" xfId="9226" builtinId="9" hidden="1"/>
    <cellStyle name="Followed Hyperlink" xfId="9228" builtinId="9" hidden="1"/>
    <cellStyle name="Followed Hyperlink" xfId="9230" builtinId="9" hidden="1"/>
    <cellStyle name="Followed Hyperlink" xfId="9232" builtinId="9" hidden="1"/>
    <cellStyle name="Followed Hyperlink" xfId="9234" builtinId="9" hidden="1"/>
    <cellStyle name="Followed Hyperlink" xfId="9236" builtinId="9" hidden="1"/>
    <cellStyle name="Followed Hyperlink" xfId="9238" builtinId="9" hidden="1"/>
    <cellStyle name="Followed Hyperlink" xfId="9240" builtinId="9" hidden="1"/>
    <cellStyle name="Followed Hyperlink" xfId="9242" builtinId="9" hidden="1"/>
    <cellStyle name="Followed Hyperlink" xfId="9244" builtinId="9" hidden="1"/>
    <cellStyle name="Followed Hyperlink" xfId="9246" builtinId="9" hidden="1"/>
    <cellStyle name="Followed Hyperlink" xfId="9248" builtinId="9" hidden="1"/>
    <cellStyle name="Followed Hyperlink" xfId="9250" builtinId="9" hidden="1"/>
    <cellStyle name="Followed Hyperlink" xfId="9252" builtinId="9" hidden="1"/>
    <cellStyle name="Followed Hyperlink" xfId="9254" builtinId="9" hidden="1"/>
    <cellStyle name="Followed Hyperlink" xfId="9256" builtinId="9" hidden="1"/>
    <cellStyle name="Followed Hyperlink" xfId="9258" builtinId="9" hidden="1"/>
    <cellStyle name="Followed Hyperlink" xfId="9260" builtinId="9" hidden="1"/>
    <cellStyle name="Followed Hyperlink" xfId="9262" builtinId="9" hidden="1"/>
    <cellStyle name="Followed Hyperlink" xfId="9264" builtinId="9" hidden="1"/>
    <cellStyle name="Followed Hyperlink" xfId="9266" builtinId="9" hidden="1"/>
    <cellStyle name="Followed Hyperlink" xfId="9268" builtinId="9" hidden="1"/>
    <cellStyle name="Followed Hyperlink" xfId="9270" builtinId="9" hidden="1"/>
    <cellStyle name="Followed Hyperlink" xfId="9272" builtinId="9" hidden="1"/>
    <cellStyle name="Followed Hyperlink" xfId="9274" builtinId="9" hidden="1"/>
    <cellStyle name="Followed Hyperlink" xfId="9276" builtinId="9" hidden="1"/>
    <cellStyle name="Followed Hyperlink" xfId="9278" builtinId="9" hidden="1"/>
    <cellStyle name="Followed Hyperlink" xfId="9280" builtinId="9" hidden="1"/>
    <cellStyle name="Followed Hyperlink" xfId="9282" builtinId="9" hidden="1"/>
    <cellStyle name="Followed Hyperlink" xfId="9284" builtinId="9" hidden="1"/>
    <cellStyle name="Followed Hyperlink" xfId="9286" builtinId="9" hidden="1"/>
    <cellStyle name="Followed Hyperlink" xfId="9288" builtinId="9" hidden="1"/>
    <cellStyle name="Followed Hyperlink" xfId="9290" builtinId="9" hidden="1"/>
    <cellStyle name="Followed Hyperlink" xfId="9292" builtinId="9" hidden="1"/>
    <cellStyle name="Followed Hyperlink" xfId="9294" builtinId="9" hidden="1"/>
    <cellStyle name="Followed Hyperlink" xfId="9296" builtinId="9" hidden="1"/>
    <cellStyle name="Followed Hyperlink" xfId="9298" builtinId="9" hidden="1"/>
    <cellStyle name="Followed Hyperlink" xfId="9300" builtinId="9" hidden="1"/>
    <cellStyle name="Followed Hyperlink" xfId="9302" builtinId="9" hidden="1"/>
    <cellStyle name="Followed Hyperlink" xfId="9304" builtinId="9" hidden="1"/>
    <cellStyle name="Followed Hyperlink" xfId="9306" builtinId="9" hidden="1"/>
    <cellStyle name="Followed Hyperlink" xfId="9308" builtinId="9" hidden="1"/>
    <cellStyle name="Followed Hyperlink" xfId="9310" builtinId="9" hidden="1"/>
    <cellStyle name="Followed Hyperlink" xfId="9312" builtinId="9" hidden="1"/>
    <cellStyle name="Followed Hyperlink" xfId="9314" builtinId="9" hidden="1"/>
    <cellStyle name="Followed Hyperlink" xfId="9316" builtinId="9" hidden="1"/>
    <cellStyle name="Followed Hyperlink" xfId="9318" builtinId="9" hidden="1"/>
    <cellStyle name="Followed Hyperlink" xfId="9320" builtinId="9" hidden="1"/>
    <cellStyle name="Followed Hyperlink" xfId="9322" builtinId="9" hidden="1"/>
    <cellStyle name="Followed Hyperlink" xfId="9324" builtinId="9" hidden="1"/>
    <cellStyle name="Followed Hyperlink" xfId="9326" builtinId="9" hidden="1"/>
    <cellStyle name="Followed Hyperlink" xfId="9328" builtinId="9" hidden="1"/>
    <cellStyle name="Followed Hyperlink" xfId="9330" builtinId="9" hidden="1"/>
    <cellStyle name="Followed Hyperlink" xfId="9332" builtinId="9" hidden="1"/>
    <cellStyle name="Followed Hyperlink" xfId="9334" builtinId="9" hidden="1"/>
    <cellStyle name="Followed Hyperlink" xfId="9336" builtinId="9" hidden="1"/>
    <cellStyle name="Followed Hyperlink" xfId="9338" builtinId="9" hidden="1"/>
    <cellStyle name="Followed Hyperlink" xfId="9340" builtinId="9" hidden="1"/>
    <cellStyle name="Followed Hyperlink" xfId="9342" builtinId="9" hidden="1"/>
    <cellStyle name="Followed Hyperlink" xfId="9344" builtinId="9" hidden="1"/>
    <cellStyle name="Followed Hyperlink" xfId="9346" builtinId="9" hidden="1"/>
    <cellStyle name="Followed Hyperlink" xfId="9348" builtinId="9" hidden="1"/>
    <cellStyle name="Followed Hyperlink" xfId="9350" builtinId="9" hidden="1"/>
    <cellStyle name="Followed Hyperlink" xfId="9352" builtinId="9" hidden="1"/>
    <cellStyle name="Followed Hyperlink" xfId="9354" builtinId="9" hidden="1"/>
    <cellStyle name="Followed Hyperlink" xfId="9356" builtinId="9" hidden="1"/>
    <cellStyle name="Followed Hyperlink" xfId="9358" builtinId="9" hidden="1"/>
    <cellStyle name="Followed Hyperlink" xfId="9360" builtinId="9" hidden="1"/>
    <cellStyle name="Followed Hyperlink" xfId="9362" builtinId="9" hidden="1"/>
    <cellStyle name="Followed Hyperlink" xfId="9364" builtinId="9" hidden="1"/>
    <cellStyle name="Followed Hyperlink" xfId="9366" builtinId="9" hidden="1"/>
    <cellStyle name="Followed Hyperlink" xfId="9368" builtinId="9" hidden="1"/>
    <cellStyle name="Followed Hyperlink" xfId="9370" builtinId="9" hidden="1"/>
    <cellStyle name="Followed Hyperlink" xfId="9372" builtinId="9" hidden="1"/>
    <cellStyle name="Followed Hyperlink" xfId="9374" builtinId="9" hidden="1"/>
    <cellStyle name="Followed Hyperlink" xfId="9376" builtinId="9" hidden="1"/>
    <cellStyle name="Followed Hyperlink" xfId="9378" builtinId="9" hidden="1"/>
    <cellStyle name="Followed Hyperlink" xfId="9380" builtinId="9" hidden="1"/>
    <cellStyle name="Followed Hyperlink" xfId="9382" builtinId="9" hidden="1"/>
    <cellStyle name="Followed Hyperlink" xfId="9384" builtinId="9" hidden="1"/>
    <cellStyle name="Followed Hyperlink" xfId="9386" builtinId="9" hidden="1"/>
    <cellStyle name="Followed Hyperlink" xfId="9388" builtinId="9" hidden="1"/>
    <cellStyle name="Followed Hyperlink" xfId="9390" builtinId="9" hidden="1"/>
    <cellStyle name="Followed Hyperlink" xfId="9392" builtinId="9" hidden="1"/>
    <cellStyle name="Followed Hyperlink" xfId="9394" builtinId="9" hidden="1"/>
    <cellStyle name="Followed Hyperlink" xfId="9396" builtinId="9" hidden="1"/>
    <cellStyle name="Followed Hyperlink" xfId="9398" builtinId="9" hidden="1"/>
    <cellStyle name="Followed Hyperlink" xfId="9400" builtinId="9" hidden="1"/>
    <cellStyle name="Followed Hyperlink" xfId="9402" builtinId="9" hidden="1"/>
    <cellStyle name="Followed Hyperlink" xfId="9404" builtinId="9" hidden="1"/>
    <cellStyle name="Followed Hyperlink" xfId="9406" builtinId="9" hidden="1"/>
    <cellStyle name="Followed Hyperlink" xfId="9408" builtinId="9" hidden="1"/>
    <cellStyle name="Followed Hyperlink" xfId="9410" builtinId="9" hidden="1"/>
    <cellStyle name="Followed Hyperlink" xfId="9412" builtinId="9" hidden="1"/>
    <cellStyle name="Followed Hyperlink" xfId="9414" builtinId="9" hidden="1"/>
    <cellStyle name="Followed Hyperlink" xfId="9416" builtinId="9" hidden="1"/>
    <cellStyle name="Followed Hyperlink" xfId="9418" builtinId="9" hidden="1"/>
    <cellStyle name="Followed Hyperlink" xfId="9420" builtinId="9" hidden="1"/>
    <cellStyle name="Followed Hyperlink" xfId="9422" builtinId="9" hidden="1"/>
    <cellStyle name="Followed Hyperlink" xfId="9424" builtinId="9" hidden="1"/>
    <cellStyle name="Followed Hyperlink" xfId="9426" builtinId="9" hidden="1"/>
    <cellStyle name="Followed Hyperlink" xfId="9428" builtinId="9" hidden="1"/>
    <cellStyle name="Followed Hyperlink" xfId="9430" builtinId="9" hidden="1"/>
    <cellStyle name="Followed Hyperlink" xfId="9432" builtinId="9" hidden="1"/>
    <cellStyle name="Followed Hyperlink" xfId="9434" builtinId="9" hidden="1"/>
    <cellStyle name="Followed Hyperlink" xfId="9436" builtinId="9" hidden="1"/>
    <cellStyle name="Followed Hyperlink" xfId="9438" builtinId="9" hidden="1"/>
    <cellStyle name="Followed Hyperlink" xfId="9440" builtinId="9" hidden="1"/>
    <cellStyle name="Followed Hyperlink" xfId="9442" builtinId="9" hidden="1"/>
    <cellStyle name="Followed Hyperlink" xfId="9444" builtinId="9" hidden="1"/>
    <cellStyle name="Followed Hyperlink" xfId="9446" builtinId="9" hidden="1"/>
    <cellStyle name="Followed Hyperlink" xfId="9448" builtinId="9" hidden="1"/>
    <cellStyle name="Followed Hyperlink" xfId="9450" builtinId="9" hidden="1"/>
    <cellStyle name="Followed Hyperlink" xfId="9452" builtinId="9" hidden="1"/>
    <cellStyle name="Followed Hyperlink" xfId="9454" builtinId="9" hidden="1"/>
    <cellStyle name="Followed Hyperlink" xfId="9456" builtinId="9" hidden="1"/>
    <cellStyle name="Followed Hyperlink" xfId="9458" builtinId="9" hidden="1"/>
    <cellStyle name="Followed Hyperlink" xfId="9460" builtinId="9" hidden="1"/>
    <cellStyle name="Followed Hyperlink" xfId="9462" builtinId="9" hidden="1"/>
    <cellStyle name="Followed Hyperlink" xfId="9464" builtinId="9" hidden="1"/>
    <cellStyle name="Followed Hyperlink" xfId="9466" builtinId="9" hidden="1"/>
    <cellStyle name="Followed Hyperlink" xfId="9468" builtinId="9" hidden="1"/>
    <cellStyle name="Followed Hyperlink" xfId="9470" builtinId="9" hidden="1"/>
    <cellStyle name="Followed Hyperlink" xfId="9472" builtinId="9" hidden="1"/>
    <cellStyle name="Followed Hyperlink" xfId="9474" builtinId="9" hidden="1"/>
    <cellStyle name="Followed Hyperlink" xfId="9476" builtinId="9" hidden="1"/>
    <cellStyle name="Followed Hyperlink" xfId="9478" builtinId="9" hidden="1"/>
    <cellStyle name="Followed Hyperlink" xfId="9480" builtinId="9" hidden="1"/>
    <cellStyle name="Followed Hyperlink" xfId="9482" builtinId="9" hidden="1"/>
    <cellStyle name="Followed Hyperlink" xfId="9484" builtinId="9" hidden="1"/>
    <cellStyle name="Followed Hyperlink" xfId="9486" builtinId="9" hidden="1"/>
    <cellStyle name="Followed Hyperlink" xfId="9488" builtinId="9" hidden="1"/>
    <cellStyle name="Followed Hyperlink" xfId="9490" builtinId="9" hidden="1"/>
    <cellStyle name="Followed Hyperlink" xfId="9492" builtinId="9" hidden="1"/>
    <cellStyle name="Followed Hyperlink" xfId="9494" builtinId="9" hidden="1"/>
    <cellStyle name="Followed Hyperlink" xfId="9496" builtinId="9" hidden="1"/>
    <cellStyle name="Followed Hyperlink" xfId="9498" builtinId="9" hidden="1"/>
    <cellStyle name="Followed Hyperlink" xfId="9500" builtinId="9" hidden="1"/>
    <cellStyle name="Followed Hyperlink" xfId="9502" builtinId="9" hidden="1"/>
    <cellStyle name="Followed Hyperlink" xfId="9504" builtinId="9" hidden="1"/>
    <cellStyle name="Followed Hyperlink" xfId="9506" builtinId="9" hidden="1"/>
    <cellStyle name="Followed Hyperlink" xfId="9508" builtinId="9" hidden="1"/>
    <cellStyle name="Followed Hyperlink" xfId="9510" builtinId="9" hidden="1"/>
    <cellStyle name="Followed Hyperlink" xfId="9512" builtinId="9" hidden="1"/>
    <cellStyle name="Followed Hyperlink" xfId="9514" builtinId="9" hidden="1"/>
    <cellStyle name="Followed Hyperlink" xfId="9516" builtinId="9" hidden="1"/>
    <cellStyle name="Followed Hyperlink" xfId="9518" builtinId="9" hidden="1"/>
    <cellStyle name="Followed Hyperlink" xfId="9520" builtinId="9" hidden="1"/>
    <cellStyle name="Followed Hyperlink" xfId="9522" builtinId="9" hidden="1"/>
    <cellStyle name="Followed Hyperlink" xfId="9524" builtinId="9" hidden="1"/>
    <cellStyle name="Followed Hyperlink" xfId="9526" builtinId="9" hidden="1"/>
    <cellStyle name="Followed Hyperlink" xfId="9528" builtinId="9" hidden="1"/>
    <cellStyle name="Followed Hyperlink" xfId="9530" builtinId="9" hidden="1"/>
    <cellStyle name="Followed Hyperlink" xfId="9532" builtinId="9" hidden="1"/>
    <cellStyle name="Followed Hyperlink" xfId="9534" builtinId="9" hidden="1"/>
    <cellStyle name="Followed Hyperlink" xfId="9536" builtinId="9" hidden="1"/>
    <cellStyle name="Followed Hyperlink" xfId="9538" builtinId="9" hidden="1"/>
    <cellStyle name="Followed Hyperlink" xfId="9540" builtinId="9" hidden="1"/>
    <cellStyle name="Followed Hyperlink" xfId="9542" builtinId="9" hidden="1"/>
    <cellStyle name="Followed Hyperlink" xfId="9544" builtinId="9" hidden="1"/>
    <cellStyle name="Followed Hyperlink" xfId="9546" builtinId="9" hidden="1"/>
    <cellStyle name="Followed Hyperlink" xfId="9548" builtinId="9" hidden="1"/>
    <cellStyle name="Followed Hyperlink" xfId="9550" builtinId="9" hidden="1"/>
    <cellStyle name="Followed Hyperlink" xfId="9552" builtinId="9" hidden="1"/>
    <cellStyle name="Followed Hyperlink" xfId="9554" builtinId="9" hidden="1"/>
    <cellStyle name="Followed Hyperlink" xfId="9556" builtinId="9" hidden="1"/>
    <cellStyle name="Followed Hyperlink" xfId="9558" builtinId="9" hidden="1"/>
    <cellStyle name="Followed Hyperlink" xfId="9560" builtinId="9" hidden="1"/>
    <cellStyle name="Followed Hyperlink" xfId="9562" builtinId="9" hidden="1"/>
    <cellStyle name="Followed Hyperlink" xfId="9564" builtinId="9" hidden="1"/>
    <cellStyle name="Followed Hyperlink" xfId="9566" builtinId="9" hidden="1"/>
    <cellStyle name="Followed Hyperlink" xfId="9568" builtinId="9" hidden="1"/>
    <cellStyle name="Followed Hyperlink" xfId="9570" builtinId="9" hidden="1"/>
    <cellStyle name="Followed Hyperlink" xfId="9572" builtinId="9" hidden="1"/>
    <cellStyle name="Followed Hyperlink" xfId="9574" builtinId="9" hidden="1"/>
    <cellStyle name="Followed Hyperlink" xfId="9576" builtinId="9" hidden="1"/>
    <cellStyle name="Followed Hyperlink" xfId="9578" builtinId="9" hidden="1"/>
    <cellStyle name="Followed Hyperlink" xfId="9580" builtinId="9" hidden="1"/>
    <cellStyle name="Followed Hyperlink" xfId="9582" builtinId="9" hidden="1"/>
    <cellStyle name="Followed Hyperlink" xfId="9584" builtinId="9" hidden="1"/>
    <cellStyle name="Followed Hyperlink" xfId="9586" builtinId="9" hidden="1"/>
    <cellStyle name="Followed Hyperlink" xfId="9588" builtinId="9" hidden="1"/>
    <cellStyle name="Followed Hyperlink" xfId="9590" builtinId="9" hidden="1"/>
    <cellStyle name="Followed Hyperlink" xfId="9592" builtinId="9" hidden="1"/>
    <cellStyle name="Followed Hyperlink" xfId="9594" builtinId="9" hidden="1"/>
    <cellStyle name="Followed Hyperlink" xfId="9596" builtinId="9" hidden="1"/>
    <cellStyle name="Followed Hyperlink" xfId="9598" builtinId="9" hidden="1"/>
    <cellStyle name="Followed Hyperlink" xfId="9600" builtinId="9" hidden="1"/>
    <cellStyle name="Followed Hyperlink" xfId="9602" builtinId="9" hidden="1"/>
    <cellStyle name="Followed Hyperlink" xfId="9604" builtinId="9" hidden="1"/>
    <cellStyle name="Followed Hyperlink" xfId="9606" builtinId="9" hidden="1"/>
    <cellStyle name="Followed Hyperlink" xfId="9608" builtinId="9" hidden="1"/>
    <cellStyle name="Followed Hyperlink" xfId="9610" builtinId="9" hidden="1"/>
    <cellStyle name="Followed Hyperlink" xfId="9612" builtinId="9" hidden="1"/>
    <cellStyle name="Followed Hyperlink" xfId="9614" builtinId="9" hidden="1"/>
    <cellStyle name="Followed Hyperlink" xfId="9616" builtinId="9" hidden="1"/>
    <cellStyle name="Followed Hyperlink" xfId="9618" builtinId="9" hidden="1"/>
    <cellStyle name="Followed Hyperlink" xfId="9620" builtinId="9" hidden="1"/>
    <cellStyle name="Followed Hyperlink" xfId="9622" builtinId="9" hidden="1"/>
    <cellStyle name="Followed Hyperlink" xfId="9624" builtinId="9" hidden="1"/>
    <cellStyle name="Followed Hyperlink" xfId="9626" builtinId="9" hidden="1"/>
    <cellStyle name="Followed Hyperlink" xfId="9628" builtinId="9" hidden="1"/>
    <cellStyle name="Followed Hyperlink" xfId="9630" builtinId="9" hidden="1"/>
    <cellStyle name="Followed Hyperlink" xfId="9632" builtinId="9" hidden="1"/>
    <cellStyle name="Followed Hyperlink" xfId="9634" builtinId="9" hidden="1"/>
    <cellStyle name="Followed Hyperlink" xfId="9636" builtinId="9" hidden="1"/>
    <cellStyle name="Followed Hyperlink" xfId="9638" builtinId="9" hidden="1"/>
    <cellStyle name="Followed Hyperlink" xfId="9640" builtinId="9" hidden="1"/>
    <cellStyle name="Followed Hyperlink" xfId="9642" builtinId="9" hidden="1"/>
    <cellStyle name="Followed Hyperlink" xfId="9644" builtinId="9" hidden="1"/>
    <cellStyle name="Followed Hyperlink" xfId="9646" builtinId="9" hidden="1"/>
    <cellStyle name="Followed Hyperlink" xfId="9648" builtinId="9" hidden="1"/>
    <cellStyle name="Followed Hyperlink" xfId="9650" builtinId="9" hidden="1"/>
    <cellStyle name="Followed Hyperlink" xfId="9652" builtinId="9" hidden="1"/>
    <cellStyle name="Followed Hyperlink" xfId="9654" builtinId="9" hidden="1"/>
    <cellStyle name="Followed Hyperlink" xfId="9656" builtinId="9" hidden="1"/>
    <cellStyle name="Followed Hyperlink" xfId="9658" builtinId="9" hidden="1"/>
    <cellStyle name="Followed Hyperlink" xfId="9660" builtinId="9" hidden="1"/>
    <cellStyle name="Followed Hyperlink" xfId="9662" builtinId="9" hidden="1"/>
    <cellStyle name="Followed Hyperlink" xfId="9664" builtinId="9" hidden="1"/>
    <cellStyle name="Followed Hyperlink" xfId="9666" builtinId="9" hidden="1"/>
    <cellStyle name="Followed Hyperlink" xfId="9668" builtinId="9" hidden="1"/>
    <cellStyle name="Followed Hyperlink" xfId="9670" builtinId="9" hidden="1"/>
    <cellStyle name="Followed Hyperlink" xfId="9672" builtinId="9" hidden="1"/>
    <cellStyle name="Followed Hyperlink" xfId="9674" builtinId="9" hidden="1"/>
    <cellStyle name="Followed Hyperlink" xfId="9676" builtinId="9" hidden="1"/>
    <cellStyle name="Followed Hyperlink" xfId="9678" builtinId="9" hidden="1"/>
    <cellStyle name="Followed Hyperlink" xfId="9680" builtinId="9" hidden="1"/>
    <cellStyle name="Followed Hyperlink" xfId="9682" builtinId="9" hidden="1"/>
    <cellStyle name="Followed Hyperlink" xfId="9684" builtinId="9" hidden="1"/>
    <cellStyle name="Followed Hyperlink" xfId="9686" builtinId="9" hidden="1"/>
    <cellStyle name="Followed Hyperlink" xfId="9688" builtinId="9" hidden="1"/>
    <cellStyle name="Followed Hyperlink" xfId="9690" builtinId="9" hidden="1"/>
    <cellStyle name="Followed Hyperlink" xfId="9692" builtinId="9" hidden="1"/>
    <cellStyle name="Followed Hyperlink" xfId="9694" builtinId="9" hidden="1"/>
    <cellStyle name="Followed Hyperlink" xfId="9696" builtinId="9" hidden="1"/>
    <cellStyle name="Followed Hyperlink" xfId="9698" builtinId="9" hidden="1"/>
    <cellStyle name="Followed Hyperlink" xfId="9700" builtinId="9" hidden="1"/>
    <cellStyle name="Followed Hyperlink" xfId="9702" builtinId="9" hidden="1"/>
    <cellStyle name="Followed Hyperlink" xfId="9704" builtinId="9" hidden="1"/>
    <cellStyle name="Followed Hyperlink" xfId="9706" builtinId="9" hidden="1"/>
    <cellStyle name="Followed Hyperlink" xfId="9708" builtinId="9" hidden="1"/>
    <cellStyle name="Followed Hyperlink" xfId="9710" builtinId="9" hidden="1"/>
    <cellStyle name="Followed Hyperlink" xfId="9712" builtinId="9" hidden="1"/>
    <cellStyle name="Followed Hyperlink" xfId="9714" builtinId="9" hidden="1"/>
    <cellStyle name="Followed Hyperlink" xfId="9716" builtinId="9" hidden="1"/>
    <cellStyle name="Followed Hyperlink" xfId="9718" builtinId="9" hidden="1"/>
    <cellStyle name="Followed Hyperlink" xfId="9720" builtinId="9" hidden="1"/>
    <cellStyle name="Followed Hyperlink" xfId="9722" builtinId="9" hidden="1"/>
    <cellStyle name="Followed Hyperlink" xfId="9724" builtinId="9" hidden="1"/>
    <cellStyle name="Followed Hyperlink" xfId="9726" builtinId="9" hidden="1"/>
    <cellStyle name="Followed Hyperlink" xfId="9728" builtinId="9" hidden="1"/>
    <cellStyle name="Followed Hyperlink" xfId="9730" builtinId="9" hidden="1"/>
    <cellStyle name="Followed Hyperlink" xfId="9732" builtinId="9" hidden="1"/>
    <cellStyle name="Followed Hyperlink" xfId="9734" builtinId="9" hidden="1"/>
    <cellStyle name="Followed Hyperlink" xfId="9736" builtinId="9" hidden="1"/>
    <cellStyle name="Followed Hyperlink" xfId="9738" builtinId="9" hidden="1"/>
    <cellStyle name="Followed Hyperlink" xfId="9740" builtinId="9" hidden="1"/>
    <cellStyle name="Followed Hyperlink" xfId="9742" builtinId="9" hidden="1"/>
    <cellStyle name="Followed Hyperlink" xfId="9744" builtinId="9" hidden="1"/>
    <cellStyle name="Followed Hyperlink" xfId="9746" builtinId="9" hidden="1"/>
    <cellStyle name="Followed Hyperlink" xfId="9748" builtinId="9" hidden="1"/>
    <cellStyle name="Followed Hyperlink" xfId="9750" builtinId="9" hidden="1"/>
    <cellStyle name="Followed Hyperlink" xfId="9752" builtinId="9" hidden="1"/>
    <cellStyle name="Followed Hyperlink" xfId="9754" builtinId="9" hidden="1"/>
    <cellStyle name="Followed Hyperlink" xfId="9756" builtinId="9" hidden="1"/>
    <cellStyle name="Followed Hyperlink" xfId="9758" builtinId="9" hidden="1"/>
    <cellStyle name="Followed Hyperlink" xfId="9760" builtinId="9" hidden="1"/>
    <cellStyle name="Followed Hyperlink" xfId="9762" builtinId="9" hidden="1"/>
    <cellStyle name="Followed Hyperlink" xfId="9764" builtinId="9" hidden="1"/>
    <cellStyle name="Followed Hyperlink" xfId="9766" builtinId="9" hidden="1"/>
    <cellStyle name="Followed Hyperlink" xfId="9768" builtinId="9" hidden="1"/>
    <cellStyle name="Followed Hyperlink" xfId="9770" builtinId="9" hidden="1"/>
    <cellStyle name="Followed Hyperlink" xfId="9772" builtinId="9" hidden="1"/>
    <cellStyle name="Followed Hyperlink" xfId="9774" builtinId="9" hidden="1"/>
    <cellStyle name="Followed Hyperlink" xfId="9776" builtinId="9" hidden="1"/>
    <cellStyle name="Followed Hyperlink" xfId="9778" builtinId="9" hidden="1"/>
    <cellStyle name="Followed Hyperlink" xfId="9780" builtinId="9" hidden="1"/>
    <cellStyle name="Followed Hyperlink" xfId="9782" builtinId="9" hidden="1"/>
    <cellStyle name="Followed Hyperlink" xfId="9784" builtinId="9" hidden="1"/>
    <cellStyle name="Followed Hyperlink" xfId="9786" builtinId="9" hidden="1"/>
    <cellStyle name="Followed Hyperlink" xfId="9788" builtinId="9" hidden="1"/>
    <cellStyle name="Followed Hyperlink" xfId="9790" builtinId="9" hidden="1"/>
    <cellStyle name="Followed Hyperlink" xfId="9792" builtinId="9" hidden="1"/>
    <cellStyle name="Followed Hyperlink" xfId="9794" builtinId="9" hidden="1"/>
    <cellStyle name="Followed Hyperlink" xfId="9796" builtinId="9" hidden="1"/>
    <cellStyle name="Followed Hyperlink" xfId="9798" builtinId="9" hidden="1"/>
    <cellStyle name="Followed Hyperlink" xfId="9800" builtinId="9" hidden="1"/>
    <cellStyle name="Followed Hyperlink" xfId="9802" builtinId="9" hidden="1"/>
    <cellStyle name="Followed Hyperlink" xfId="9804" builtinId="9" hidden="1"/>
    <cellStyle name="Followed Hyperlink" xfId="9806" builtinId="9" hidden="1"/>
    <cellStyle name="Followed Hyperlink" xfId="9808" builtinId="9" hidden="1"/>
    <cellStyle name="Followed Hyperlink" xfId="9810" builtinId="9" hidden="1"/>
    <cellStyle name="Followed Hyperlink" xfId="9812" builtinId="9" hidden="1"/>
    <cellStyle name="Followed Hyperlink" xfId="9814" builtinId="9" hidden="1"/>
    <cellStyle name="Followed Hyperlink" xfId="9816" builtinId="9" hidden="1"/>
    <cellStyle name="Followed Hyperlink" xfId="9818" builtinId="9" hidden="1"/>
    <cellStyle name="Followed Hyperlink" xfId="9820" builtinId="9" hidden="1"/>
    <cellStyle name="Followed Hyperlink" xfId="9822" builtinId="9" hidden="1"/>
    <cellStyle name="Followed Hyperlink" xfId="9824" builtinId="9" hidden="1"/>
    <cellStyle name="Followed Hyperlink" xfId="9826" builtinId="9" hidden="1"/>
    <cellStyle name="Followed Hyperlink" xfId="9828" builtinId="9" hidden="1"/>
    <cellStyle name="Followed Hyperlink" xfId="9830" builtinId="9" hidden="1"/>
    <cellStyle name="Followed Hyperlink" xfId="9832" builtinId="9" hidden="1"/>
    <cellStyle name="Followed Hyperlink" xfId="9834" builtinId="9" hidden="1"/>
    <cellStyle name="Followed Hyperlink" xfId="9836" builtinId="9" hidden="1"/>
    <cellStyle name="Followed Hyperlink" xfId="9838" builtinId="9" hidden="1"/>
    <cellStyle name="Followed Hyperlink" xfId="9840" builtinId="9" hidden="1"/>
    <cellStyle name="Followed Hyperlink" xfId="9842" builtinId="9" hidden="1"/>
    <cellStyle name="Followed Hyperlink" xfId="9844" builtinId="9" hidden="1"/>
    <cellStyle name="Followed Hyperlink" xfId="9846" builtinId="9" hidden="1"/>
    <cellStyle name="Followed Hyperlink" xfId="9848" builtinId="9" hidden="1"/>
    <cellStyle name="Followed Hyperlink" xfId="9850" builtinId="9" hidden="1"/>
    <cellStyle name="Followed Hyperlink" xfId="9852" builtinId="9" hidden="1"/>
    <cellStyle name="Followed Hyperlink" xfId="9854" builtinId="9" hidden="1"/>
    <cellStyle name="Followed Hyperlink" xfId="9856" builtinId="9" hidden="1"/>
    <cellStyle name="Followed Hyperlink" xfId="9858" builtinId="9" hidden="1"/>
    <cellStyle name="Followed Hyperlink" xfId="9860" builtinId="9" hidden="1"/>
    <cellStyle name="Followed Hyperlink" xfId="9862" builtinId="9" hidden="1"/>
    <cellStyle name="Followed Hyperlink" xfId="9864" builtinId="9" hidden="1"/>
    <cellStyle name="Followed Hyperlink" xfId="9866" builtinId="9" hidden="1"/>
    <cellStyle name="Followed Hyperlink" xfId="9868" builtinId="9" hidden="1"/>
    <cellStyle name="Followed Hyperlink" xfId="9870" builtinId="9" hidden="1"/>
    <cellStyle name="Followed Hyperlink" xfId="9872" builtinId="9" hidden="1"/>
    <cellStyle name="Followed Hyperlink" xfId="9874" builtinId="9" hidden="1"/>
    <cellStyle name="Followed Hyperlink" xfId="9876" builtinId="9" hidden="1"/>
    <cellStyle name="Followed Hyperlink" xfId="9878" builtinId="9" hidden="1"/>
    <cellStyle name="Followed Hyperlink" xfId="9880" builtinId="9" hidden="1"/>
    <cellStyle name="Followed Hyperlink" xfId="9882" builtinId="9" hidden="1"/>
    <cellStyle name="Followed Hyperlink" xfId="9884" builtinId="9" hidden="1"/>
    <cellStyle name="Followed Hyperlink" xfId="9886" builtinId="9" hidden="1"/>
    <cellStyle name="Followed Hyperlink" xfId="9888" builtinId="9" hidden="1"/>
    <cellStyle name="Followed Hyperlink" xfId="9890" builtinId="9" hidden="1"/>
    <cellStyle name="Followed Hyperlink" xfId="9892" builtinId="9" hidden="1"/>
    <cellStyle name="Followed Hyperlink" xfId="9894" builtinId="9" hidden="1"/>
    <cellStyle name="Followed Hyperlink" xfId="9896" builtinId="9" hidden="1"/>
    <cellStyle name="Followed Hyperlink" xfId="9898" builtinId="9" hidden="1"/>
    <cellStyle name="Followed Hyperlink" xfId="9900" builtinId="9" hidden="1"/>
    <cellStyle name="Followed Hyperlink" xfId="9902" builtinId="9" hidden="1"/>
    <cellStyle name="Followed Hyperlink" xfId="9904" builtinId="9" hidden="1"/>
    <cellStyle name="Followed Hyperlink" xfId="9906" builtinId="9" hidden="1"/>
    <cellStyle name="Followed Hyperlink" xfId="9908" builtinId="9" hidden="1"/>
    <cellStyle name="Followed Hyperlink" xfId="9910" builtinId="9" hidden="1"/>
    <cellStyle name="Followed Hyperlink" xfId="9912" builtinId="9" hidden="1"/>
    <cellStyle name="Followed Hyperlink" xfId="9914" builtinId="9" hidden="1"/>
    <cellStyle name="Followed Hyperlink" xfId="9916" builtinId="9" hidden="1"/>
    <cellStyle name="Followed Hyperlink" xfId="9918" builtinId="9" hidden="1"/>
    <cellStyle name="Followed Hyperlink" xfId="9920" builtinId="9" hidden="1"/>
    <cellStyle name="Followed Hyperlink" xfId="9922" builtinId="9" hidden="1"/>
    <cellStyle name="Followed Hyperlink" xfId="9924" builtinId="9" hidden="1"/>
    <cellStyle name="Followed Hyperlink" xfId="9926" builtinId="9" hidden="1"/>
    <cellStyle name="Followed Hyperlink" xfId="9928" builtinId="9" hidden="1"/>
    <cellStyle name="Followed Hyperlink" xfId="9930" builtinId="9" hidden="1"/>
    <cellStyle name="Followed Hyperlink" xfId="9932" builtinId="9" hidden="1"/>
    <cellStyle name="Followed Hyperlink" xfId="9934" builtinId="9" hidden="1"/>
    <cellStyle name="Followed Hyperlink" xfId="9936" builtinId="9" hidden="1"/>
    <cellStyle name="Followed Hyperlink" xfId="9938" builtinId="9" hidden="1"/>
    <cellStyle name="Followed Hyperlink" xfId="9940" builtinId="9" hidden="1"/>
    <cellStyle name="Followed Hyperlink" xfId="9942" builtinId="9" hidden="1"/>
    <cellStyle name="Followed Hyperlink" xfId="9944" builtinId="9" hidden="1"/>
    <cellStyle name="Followed Hyperlink" xfId="9946" builtinId="9" hidden="1"/>
    <cellStyle name="Followed Hyperlink" xfId="9948" builtinId="9" hidden="1"/>
    <cellStyle name="Followed Hyperlink" xfId="9950" builtinId="9" hidden="1"/>
    <cellStyle name="Followed Hyperlink" xfId="9952" builtinId="9" hidden="1"/>
    <cellStyle name="Followed Hyperlink" xfId="9954" builtinId="9" hidden="1"/>
    <cellStyle name="Followed Hyperlink" xfId="9956" builtinId="9" hidden="1"/>
    <cellStyle name="Followed Hyperlink" xfId="9958" builtinId="9" hidden="1"/>
    <cellStyle name="Followed Hyperlink" xfId="9960" builtinId="9" hidden="1"/>
    <cellStyle name="Followed Hyperlink" xfId="9962" builtinId="9" hidden="1"/>
    <cellStyle name="Followed Hyperlink" xfId="9964" builtinId="9" hidden="1"/>
    <cellStyle name="Followed Hyperlink" xfId="9966" builtinId="9" hidden="1"/>
    <cellStyle name="Followed Hyperlink" xfId="9968" builtinId="9" hidden="1"/>
    <cellStyle name="Followed Hyperlink" xfId="9970" builtinId="9" hidden="1"/>
    <cellStyle name="Followed Hyperlink" xfId="9972" builtinId="9" hidden="1"/>
    <cellStyle name="Followed Hyperlink" xfId="9974" builtinId="9" hidden="1"/>
    <cellStyle name="Followed Hyperlink" xfId="9976" builtinId="9" hidden="1"/>
    <cellStyle name="Followed Hyperlink" xfId="9978" builtinId="9" hidden="1"/>
    <cellStyle name="Followed Hyperlink" xfId="9980" builtinId="9" hidden="1"/>
    <cellStyle name="Followed Hyperlink" xfId="9982" builtinId="9" hidden="1"/>
    <cellStyle name="Followed Hyperlink" xfId="9984" builtinId="9" hidden="1"/>
    <cellStyle name="Followed Hyperlink" xfId="9986" builtinId="9" hidden="1"/>
    <cellStyle name="Followed Hyperlink" xfId="9988" builtinId="9" hidden="1"/>
    <cellStyle name="Followed Hyperlink" xfId="9990" builtinId="9" hidden="1"/>
    <cellStyle name="Followed Hyperlink" xfId="9992" builtinId="9" hidden="1"/>
    <cellStyle name="Followed Hyperlink" xfId="9994" builtinId="9" hidden="1"/>
    <cellStyle name="Followed Hyperlink" xfId="9996" builtinId="9" hidden="1"/>
    <cellStyle name="Followed Hyperlink" xfId="9998" builtinId="9" hidden="1"/>
    <cellStyle name="Followed Hyperlink" xfId="10000" builtinId="9" hidden="1"/>
    <cellStyle name="Followed Hyperlink" xfId="10002" builtinId="9" hidden="1"/>
    <cellStyle name="Followed Hyperlink" xfId="10004" builtinId="9" hidden="1"/>
    <cellStyle name="Followed Hyperlink" xfId="10006" builtinId="9" hidden="1"/>
    <cellStyle name="Followed Hyperlink" xfId="10008" builtinId="9" hidden="1"/>
    <cellStyle name="Followed Hyperlink" xfId="10010" builtinId="9" hidden="1"/>
    <cellStyle name="Followed Hyperlink" xfId="10012" builtinId="9" hidden="1"/>
    <cellStyle name="Followed Hyperlink" xfId="10014" builtinId="9" hidden="1"/>
    <cellStyle name="Followed Hyperlink" xfId="10016" builtinId="9" hidden="1"/>
    <cellStyle name="Followed Hyperlink" xfId="10018" builtinId="9" hidden="1"/>
    <cellStyle name="Followed Hyperlink" xfId="10020" builtinId="9" hidden="1"/>
    <cellStyle name="Followed Hyperlink" xfId="10022" builtinId="9" hidden="1"/>
    <cellStyle name="Followed Hyperlink" xfId="10024" builtinId="9" hidden="1"/>
    <cellStyle name="Followed Hyperlink" xfId="10026" builtinId="9" hidden="1"/>
    <cellStyle name="Followed Hyperlink" xfId="10028" builtinId="9" hidden="1"/>
    <cellStyle name="Followed Hyperlink" xfId="10030" builtinId="9" hidden="1"/>
    <cellStyle name="Followed Hyperlink" xfId="10032" builtinId="9" hidden="1"/>
    <cellStyle name="Followed Hyperlink" xfId="10034" builtinId="9" hidden="1"/>
    <cellStyle name="Followed Hyperlink" xfId="10036" builtinId="9" hidden="1"/>
    <cellStyle name="Followed Hyperlink" xfId="10038" builtinId="9" hidden="1"/>
    <cellStyle name="Followed Hyperlink" xfId="10040" builtinId="9" hidden="1"/>
    <cellStyle name="Followed Hyperlink" xfId="10042" builtinId="9" hidden="1"/>
    <cellStyle name="Followed Hyperlink" xfId="10044" builtinId="9" hidden="1"/>
    <cellStyle name="Followed Hyperlink" xfId="10046" builtinId="9" hidden="1"/>
    <cellStyle name="Followed Hyperlink" xfId="10048" builtinId="9" hidden="1"/>
    <cellStyle name="Followed Hyperlink" xfId="10050" builtinId="9" hidden="1"/>
    <cellStyle name="Followed Hyperlink" xfId="10052" builtinId="9" hidden="1"/>
    <cellStyle name="Followed Hyperlink" xfId="10054" builtinId="9" hidden="1"/>
    <cellStyle name="Followed Hyperlink" xfId="10056" builtinId="9" hidden="1"/>
    <cellStyle name="Followed Hyperlink" xfId="10058" builtinId="9" hidden="1"/>
    <cellStyle name="Followed Hyperlink" xfId="10060" builtinId="9" hidden="1"/>
    <cellStyle name="Followed Hyperlink" xfId="10062" builtinId="9" hidden="1"/>
    <cellStyle name="Followed Hyperlink" xfId="10064" builtinId="9" hidden="1"/>
    <cellStyle name="Followed Hyperlink" xfId="10066" builtinId="9" hidden="1"/>
    <cellStyle name="Followed Hyperlink" xfId="10068" builtinId="9" hidden="1"/>
    <cellStyle name="Followed Hyperlink" xfId="10070" builtinId="9" hidden="1"/>
    <cellStyle name="Followed Hyperlink" xfId="10072" builtinId="9" hidden="1"/>
    <cellStyle name="Followed Hyperlink" xfId="10074" builtinId="9" hidden="1"/>
    <cellStyle name="Followed Hyperlink" xfId="10076" builtinId="9" hidden="1"/>
    <cellStyle name="Followed Hyperlink" xfId="10078" builtinId="9" hidden="1"/>
    <cellStyle name="Followed Hyperlink" xfId="10080" builtinId="9" hidden="1"/>
    <cellStyle name="Followed Hyperlink" xfId="10082" builtinId="9" hidden="1"/>
    <cellStyle name="Followed Hyperlink" xfId="10084" builtinId="9" hidden="1"/>
    <cellStyle name="Followed Hyperlink" xfId="10086" builtinId="9" hidden="1"/>
    <cellStyle name="Followed Hyperlink" xfId="10088" builtinId="9" hidden="1"/>
    <cellStyle name="Followed Hyperlink" xfId="10090" builtinId="9" hidden="1"/>
    <cellStyle name="Followed Hyperlink" xfId="10092" builtinId="9" hidden="1"/>
    <cellStyle name="Followed Hyperlink" xfId="10094" builtinId="9" hidden="1"/>
    <cellStyle name="Followed Hyperlink" xfId="10096" builtinId="9" hidden="1"/>
    <cellStyle name="Followed Hyperlink" xfId="10098" builtinId="9" hidden="1"/>
    <cellStyle name="Followed Hyperlink" xfId="10100" builtinId="9" hidden="1"/>
    <cellStyle name="Followed Hyperlink" xfId="10102" builtinId="9" hidden="1"/>
    <cellStyle name="Followed Hyperlink" xfId="10104" builtinId="9" hidden="1"/>
    <cellStyle name="Followed Hyperlink" xfId="10106" builtinId="9" hidden="1"/>
    <cellStyle name="Followed Hyperlink" xfId="10108" builtinId="9" hidden="1"/>
    <cellStyle name="Followed Hyperlink" xfId="10110" builtinId="9" hidden="1"/>
    <cellStyle name="Followed Hyperlink" xfId="10112" builtinId="9" hidden="1"/>
    <cellStyle name="Followed Hyperlink" xfId="10114" builtinId="9" hidden="1"/>
    <cellStyle name="Followed Hyperlink" xfId="10116" builtinId="9" hidden="1"/>
    <cellStyle name="Followed Hyperlink" xfId="10118" builtinId="9" hidden="1"/>
    <cellStyle name="Followed Hyperlink" xfId="10120" builtinId="9" hidden="1"/>
    <cellStyle name="Followed Hyperlink" xfId="10122" builtinId="9" hidden="1"/>
    <cellStyle name="Followed Hyperlink" xfId="10124" builtinId="9" hidden="1"/>
    <cellStyle name="Followed Hyperlink" xfId="10126" builtinId="9" hidden="1"/>
    <cellStyle name="Followed Hyperlink" xfId="10128" builtinId="9" hidden="1"/>
    <cellStyle name="Followed Hyperlink" xfId="10130" builtinId="9" hidden="1"/>
    <cellStyle name="Followed Hyperlink" xfId="10132" builtinId="9" hidden="1"/>
    <cellStyle name="Followed Hyperlink" xfId="10134" builtinId="9" hidden="1"/>
    <cellStyle name="Followed Hyperlink" xfId="10136" builtinId="9" hidden="1"/>
    <cellStyle name="Followed Hyperlink" xfId="10138" builtinId="9" hidden="1"/>
    <cellStyle name="Followed Hyperlink" xfId="10140" builtinId="9" hidden="1"/>
    <cellStyle name="Followed Hyperlink" xfId="10142" builtinId="9" hidden="1"/>
    <cellStyle name="Followed Hyperlink" xfId="10144" builtinId="9" hidden="1"/>
    <cellStyle name="Followed Hyperlink" xfId="10146" builtinId="9" hidden="1"/>
    <cellStyle name="Followed Hyperlink" xfId="10148" builtinId="9" hidden="1"/>
    <cellStyle name="Followed Hyperlink" xfId="10150" builtinId="9" hidden="1"/>
    <cellStyle name="Followed Hyperlink" xfId="10152" builtinId="9" hidden="1"/>
    <cellStyle name="Followed Hyperlink" xfId="10154" builtinId="9" hidden="1"/>
    <cellStyle name="Followed Hyperlink" xfId="10156" builtinId="9" hidden="1"/>
    <cellStyle name="Followed Hyperlink" xfId="10158" builtinId="9" hidden="1"/>
    <cellStyle name="Followed Hyperlink" xfId="10160" builtinId="9" hidden="1"/>
    <cellStyle name="Followed Hyperlink" xfId="10162" builtinId="9" hidden="1"/>
    <cellStyle name="Followed Hyperlink" xfId="10164" builtinId="9" hidden="1"/>
    <cellStyle name="Followed Hyperlink" xfId="10166" builtinId="9" hidden="1"/>
    <cellStyle name="Followed Hyperlink" xfId="10168" builtinId="9" hidden="1"/>
    <cellStyle name="Followed Hyperlink" xfId="10170" builtinId="9" hidden="1"/>
    <cellStyle name="Followed Hyperlink" xfId="10172" builtinId="9" hidden="1"/>
    <cellStyle name="Followed Hyperlink" xfId="10174" builtinId="9" hidden="1"/>
    <cellStyle name="Followed Hyperlink" xfId="10176" builtinId="9" hidden="1"/>
    <cellStyle name="Followed Hyperlink" xfId="10178" builtinId="9" hidden="1"/>
    <cellStyle name="Followed Hyperlink" xfId="10180" builtinId="9" hidden="1"/>
    <cellStyle name="Followed Hyperlink" xfId="10182" builtinId="9" hidden="1"/>
    <cellStyle name="Followed Hyperlink" xfId="10184" builtinId="9" hidden="1"/>
    <cellStyle name="Followed Hyperlink" xfId="10186" builtinId="9" hidden="1"/>
    <cellStyle name="Followed Hyperlink" xfId="10188" builtinId="9" hidden="1"/>
    <cellStyle name="Followed Hyperlink" xfId="10190" builtinId="9" hidden="1"/>
    <cellStyle name="Followed Hyperlink" xfId="10192" builtinId="9" hidden="1"/>
    <cellStyle name="Followed Hyperlink" xfId="10194" builtinId="9" hidden="1"/>
    <cellStyle name="Followed Hyperlink" xfId="10196" builtinId="9" hidden="1"/>
    <cellStyle name="Followed Hyperlink" xfId="10198" builtinId="9" hidden="1"/>
    <cellStyle name="Followed Hyperlink" xfId="10200" builtinId="9" hidden="1"/>
    <cellStyle name="Followed Hyperlink" xfId="10202" builtinId="9" hidden="1"/>
    <cellStyle name="Followed Hyperlink" xfId="10204" builtinId="9" hidden="1"/>
    <cellStyle name="Followed Hyperlink" xfId="10206" builtinId="9" hidden="1"/>
    <cellStyle name="Followed Hyperlink" xfId="10208" builtinId="9" hidden="1"/>
    <cellStyle name="Followed Hyperlink" xfId="10210" builtinId="9" hidden="1"/>
    <cellStyle name="Followed Hyperlink" xfId="10212" builtinId="9" hidden="1"/>
    <cellStyle name="Followed Hyperlink" xfId="10214" builtinId="9" hidden="1"/>
    <cellStyle name="Followed Hyperlink" xfId="10216" builtinId="9" hidden="1"/>
    <cellStyle name="Followed Hyperlink" xfId="10218" builtinId="9" hidden="1"/>
    <cellStyle name="Followed Hyperlink" xfId="10220" builtinId="9" hidden="1"/>
    <cellStyle name="Followed Hyperlink" xfId="10222" builtinId="9" hidden="1"/>
    <cellStyle name="Followed Hyperlink" xfId="10224" builtinId="9" hidden="1"/>
    <cellStyle name="Followed Hyperlink" xfId="10226" builtinId="9" hidden="1"/>
    <cellStyle name="Followed Hyperlink" xfId="10228" builtinId="9" hidden="1"/>
    <cellStyle name="Followed Hyperlink" xfId="10230" builtinId="9" hidden="1"/>
    <cellStyle name="Followed Hyperlink" xfId="10232" builtinId="9" hidden="1"/>
    <cellStyle name="Followed Hyperlink" xfId="10234" builtinId="9" hidden="1"/>
    <cellStyle name="Followed Hyperlink" xfId="10236" builtinId="9" hidden="1"/>
    <cellStyle name="Followed Hyperlink" xfId="10238" builtinId="9" hidden="1"/>
    <cellStyle name="Followed Hyperlink" xfId="10240" builtinId="9" hidden="1"/>
    <cellStyle name="Followed Hyperlink" xfId="10242" builtinId="9" hidden="1"/>
    <cellStyle name="Followed Hyperlink" xfId="10244" builtinId="9" hidden="1"/>
    <cellStyle name="Followed Hyperlink" xfId="10246" builtinId="9" hidden="1"/>
    <cellStyle name="Followed Hyperlink" xfId="10248" builtinId="9" hidden="1"/>
    <cellStyle name="Followed Hyperlink" xfId="10250" builtinId="9" hidden="1"/>
    <cellStyle name="Followed Hyperlink" xfId="10252" builtinId="9" hidden="1"/>
    <cellStyle name="Followed Hyperlink" xfId="10254" builtinId="9" hidden="1"/>
    <cellStyle name="Followed Hyperlink" xfId="10256" builtinId="9" hidden="1"/>
    <cellStyle name="Followed Hyperlink" xfId="10258" builtinId="9" hidden="1"/>
    <cellStyle name="Followed Hyperlink" xfId="10260" builtinId="9" hidden="1"/>
    <cellStyle name="Followed Hyperlink" xfId="10262" builtinId="9" hidden="1"/>
    <cellStyle name="Followed Hyperlink" xfId="10264" builtinId="9" hidden="1"/>
    <cellStyle name="Followed Hyperlink" xfId="10266" builtinId="9" hidden="1"/>
    <cellStyle name="Followed Hyperlink" xfId="10268" builtinId="9" hidden="1"/>
    <cellStyle name="Followed Hyperlink" xfId="10270" builtinId="9" hidden="1"/>
    <cellStyle name="Followed Hyperlink" xfId="10272" builtinId="9" hidden="1"/>
    <cellStyle name="Followed Hyperlink" xfId="10274" builtinId="9" hidden="1"/>
    <cellStyle name="Followed Hyperlink" xfId="10276" builtinId="9" hidden="1"/>
    <cellStyle name="Followed Hyperlink" xfId="10278" builtinId="9" hidden="1"/>
    <cellStyle name="Followed Hyperlink" xfId="10280" builtinId="9" hidden="1"/>
    <cellStyle name="Followed Hyperlink" xfId="10282" builtinId="9" hidden="1"/>
    <cellStyle name="Followed Hyperlink" xfId="10284" builtinId="9" hidden="1"/>
    <cellStyle name="Followed Hyperlink" xfId="10286" builtinId="9" hidden="1"/>
    <cellStyle name="Followed Hyperlink" xfId="10288" builtinId="9" hidden="1"/>
    <cellStyle name="Followed Hyperlink" xfId="10290" builtinId="9" hidden="1"/>
    <cellStyle name="Followed Hyperlink" xfId="10292" builtinId="9" hidden="1"/>
    <cellStyle name="Followed Hyperlink" xfId="10294" builtinId="9" hidden="1"/>
    <cellStyle name="Followed Hyperlink" xfId="10296" builtinId="9" hidden="1"/>
    <cellStyle name="Followed Hyperlink" xfId="10298" builtinId="9" hidden="1"/>
    <cellStyle name="Followed Hyperlink" xfId="10300" builtinId="9" hidden="1"/>
    <cellStyle name="Followed Hyperlink" xfId="10302" builtinId="9" hidden="1"/>
    <cellStyle name="Followed Hyperlink" xfId="10304" builtinId="9" hidden="1"/>
    <cellStyle name="Followed Hyperlink" xfId="10306" builtinId="9" hidden="1"/>
    <cellStyle name="Followed Hyperlink" xfId="10308" builtinId="9" hidden="1"/>
    <cellStyle name="Followed Hyperlink" xfId="10310" builtinId="9" hidden="1"/>
    <cellStyle name="Followed Hyperlink" xfId="10312" builtinId="9" hidden="1"/>
    <cellStyle name="Followed Hyperlink" xfId="10314" builtinId="9" hidden="1"/>
    <cellStyle name="Followed Hyperlink" xfId="10316" builtinId="9" hidden="1"/>
    <cellStyle name="Followed Hyperlink" xfId="10318" builtinId="9" hidden="1"/>
    <cellStyle name="Followed Hyperlink" xfId="10320" builtinId="9" hidden="1"/>
    <cellStyle name="Followed Hyperlink" xfId="10322" builtinId="9" hidden="1"/>
    <cellStyle name="Followed Hyperlink" xfId="10324" builtinId="9" hidden="1"/>
    <cellStyle name="Followed Hyperlink" xfId="10326" builtinId="9" hidden="1"/>
    <cellStyle name="Followed Hyperlink" xfId="10328" builtinId="9" hidden="1"/>
    <cellStyle name="Followed Hyperlink" xfId="10330" builtinId="9" hidden="1"/>
    <cellStyle name="Followed Hyperlink" xfId="10332" builtinId="9" hidden="1"/>
    <cellStyle name="Followed Hyperlink" xfId="10334" builtinId="9" hidden="1"/>
    <cellStyle name="Followed Hyperlink" xfId="10336" builtinId="9" hidden="1"/>
    <cellStyle name="Followed Hyperlink" xfId="10338" builtinId="9" hidden="1"/>
    <cellStyle name="Followed Hyperlink" xfId="10340" builtinId="9" hidden="1"/>
    <cellStyle name="Followed Hyperlink" xfId="10342" builtinId="9" hidden="1"/>
    <cellStyle name="Followed Hyperlink" xfId="10344" builtinId="9" hidden="1"/>
    <cellStyle name="Followed Hyperlink" xfId="10346" builtinId="9" hidden="1"/>
    <cellStyle name="Followed Hyperlink" xfId="10348" builtinId="9" hidden="1"/>
    <cellStyle name="Followed Hyperlink" xfId="10350" builtinId="9" hidden="1"/>
    <cellStyle name="Followed Hyperlink" xfId="10352" builtinId="9" hidden="1"/>
    <cellStyle name="Followed Hyperlink" xfId="10354" builtinId="9" hidden="1"/>
    <cellStyle name="Followed Hyperlink" xfId="10356" builtinId="9" hidden="1"/>
    <cellStyle name="Followed Hyperlink" xfId="10358" builtinId="9" hidden="1"/>
    <cellStyle name="Followed Hyperlink" xfId="10360" builtinId="9" hidden="1"/>
    <cellStyle name="Followed Hyperlink" xfId="10362" builtinId="9" hidden="1"/>
    <cellStyle name="Followed Hyperlink" xfId="10364" builtinId="9" hidden="1"/>
    <cellStyle name="Followed Hyperlink" xfId="10366" builtinId="9" hidden="1"/>
    <cellStyle name="Followed Hyperlink" xfId="10368" builtinId="9" hidden="1"/>
    <cellStyle name="Followed Hyperlink" xfId="10370" builtinId="9" hidden="1"/>
    <cellStyle name="Followed Hyperlink" xfId="10372" builtinId="9" hidden="1"/>
    <cellStyle name="Followed Hyperlink" xfId="10374" builtinId="9" hidden="1"/>
    <cellStyle name="Followed Hyperlink" xfId="10376" builtinId="9" hidden="1"/>
    <cellStyle name="Followed Hyperlink" xfId="10378" builtinId="9" hidden="1"/>
    <cellStyle name="Followed Hyperlink" xfId="10380" builtinId="9" hidden="1"/>
    <cellStyle name="Followed Hyperlink" xfId="10382" builtinId="9" hidden="1"/>
    <cellStyle name="Followed Hyperlink" xfId="10384" builtinId="9" hidden="1"/>
    <cellStyle name="Followed Hyperlink" xfId="10386" builtinId="9" hidden="1"/>
    <cellStyle name="Followed Hyperlink" xfId="10388" builtinId="9" hidden="1"/>
    <cellStyle name="Followed Hyperlink" xfId="10390" builtinId="9" hidden="1"/>
    <cellStyle name="Followed Hyperlink" xfId="10392" builtinId="9" hidden="1"/>
    <cellStyle name="Followed Hyperlink" xfId="10394" builtinId="9" hidden="1"/>
    <cellStyle name="Followed Hyperlink" xfId="10396" builtinId="9" hidden="1"/>
    <cellStyle name="Followed Hyperlink" xfId="10398" builtinId="9" hidden="1"/>
    <cellStyle name="Followed Hyperlink" xfId="10400" builtinId="9" hidden="1"/>
    <cellStyle name="Followed Hyperlink" xfId="10402" builtinId="9" hidden="1"/>
    <cellStyle name="Followed Hyperlink" xfId="10404" builtinId="9" hidden="1"/>
    <cellStyle name="Followed Hyperlink" xfId="10406" builtinId="9" hidden="1"/>
    <cellStyle name="Followed Hyperlink" xfId="10408" builtinId="9" hidden="1"/>
    <cellStyle name="Followed Hyperlink" xfId="10410" builtinId="9" hidden="1"/>
    <cellStyle name="Followed Hyperlink" xfId="10412" builtinId="9" hidden="1"/>
    <cellStyle name="Followed Hyperlink" xfId="10414" builtinId="9" hidden="1"/>
    <cellStyle name="Followed Hyperlink" xfId="10416" builtinId="9" hidden="1"/>
    <cellStyle name="Followed Hyperlink" xfId="10418" builtinId="9" hidden="1"/>
    <cellStyle name="Followed Hyperlink" xfId="10420" builtinId="9" hidden="1"/>
    <cellStyle name="Followed Hyperlink" xfId="10422" builtinId="9" hidden="1"/>
    <cellStyle name="Followed Hyperlink" xfId="10424" builtinId="9" hidden="1"/>
    <cellStyle name="Followed Hyperlink" xfId="10426" builtinId="9" hidden="1"/>
    <cellStyle name="Followed Hyperlink" xfId="10428" builtinId="9" hidden="1"/>
    <cellStyle name="Followed Hyperlink" xfId="10430" builtinId="9" hidden="1"/>
    <cellStyle name="Followed Hyperlink" xfId="10432" builtinId="9" hidden="1"/>
    <cellStyle name="Followed Hyperlink" xfId="10434" builtinId="9" hidden="1"/>
    <cellStyle name="Followed Hyperlink" xfId="10436" builtinId="9" hidden="1"/>
    <cellStyle name="Followed Hyperlink" xfId="10438" builtinId="9" hidden="1"/>
    <cellStyle name="Followed Hyperlink" xfId="10440" builtinId="9" hidden="1"/>
    <cellStyle name="Followed Hyperlink" xfId="10442" builtinId="9" hidden="1"/>
    <cellStyle name="Followed Hyperlink" xfId="10444" builtinId="9" hidden="1"/>
    <cellStyle name="Followed Hyperlink" xfId="10446" builtinId="9" hidden="1"/>
    <cellStyle name="Followed Hyperlink" xfId="10448" builtinId="9" hidden="1"/>
    <cellStyle name="Followed Hyperlink" xfId="10450" builtinId="9" hidden="1"/>
    <cellStyle name="Followed Hyperlink" xfId="10452" builtinId="9" hidden="1"/>
    <cellStyle name="Followed Hyperlink" xfId="10454" builtinId="9" hidden="1"/>
    <cellStyle name="Followed Hyperlink" xfId="10456" builtinId="9" hidden="1"/>
    <cellStyle name="Followed Hyperlink" xfId="10458" builtinId="9" hidden="1"/>
    <cellStyle name="Followed Hyperlink" xfId="10460" builtinId="9" hidden="1"/>
    <cellStyle name="Followed Hyperlink" xfId="10462" builtinId="9" hidden="1"/>
    <cellStyle name="Followed Hyperlink" xfId="10464" builtinId="9" hidden="1"/>
    <cellStyle name="Followed Hyperlink" xfId="10466" builtinId="9" hidden="1"/>
    <cellStyle name="Followed Hyperlink" xfId="10468" builtinId="9" hidden="1"/>
    <cellStyle name="Followed Hyperlink" xfId="10470" builtinId="9" hidden="1"/>
    <cellStyle name="Followed Hyperlink" xfId="10472" builtinId="9" hidden="1"/>
    <cellStyle name="Followed Hyperlink" xfId="10474" builtinId="9" hidden="1"/>
    <cellStyle name="Followed Hyperlink" xfId="10476" builtinId="9" hidden="1"/>
    <cellStyle name="Followed Hyperlink" xfId="10478" builtinId="9" hidden="1"/>
    <cellStyle name="Followed Hyperlink" xfId="10480" builtinId="9" hidden="1"/>
    <cellStyle name="Followed Hyperlink" xfId="10482" builtinId="9" hidden="1"/>
    <cellStyle name="Followed Hyperlink" xfId="10484" builtinId="9" hidden="1"/>
    <cellStyle name="Followed Hyperlink" xfId="10486" builtinId="9" hidden="1"/>
    <cellStyle name="Followed Hyperlink" xfId="10488" builtinId="9" hidden="1"/>
    <cellStyle name="Followed Hyperlink" xfId="10490" builtinId="9" hidden="1"/>
    <cellStyle name="Followed Hyperlink" xfId="10492" builtinId="9" hidden="1"/>
    <cellStyle name="Followed Hyperlink" xfId="10494" builtinId="9" hidden="1"/>
    <cellStyle name="Followed Hyperlink" xfId="10496" builtinId="9" hidden="1"/>
    <cellStyle name="Followed Hyperlink" xfId="10498" builtinId="9" hidden="1"/>
    <cellStyle name="Followed Hyperlink" xfId="10500" builtinId="9" hidden="1"/>
    <cellStyle name="Followed Hyperlink" xfId="10502" builtinId="9" hidden="1"/>
    <cellStyle name="Followed Hyperlink" xfId="10504" builtinId="9" hidden="1"/>
    <cellStyle name="Followed Hyperlink" xfId="10506" builtinId="9" hidden="1"/>
    <cellStyle name="Followed Hyperlink" xfId="10508" builtinId="9" hidden="1"/>
    <cellStyle name="Followed Hyperlink" xfId="10510" builtinId="9" hidden="1"/>
    <cellStyle name="Followed Hyperlink" xfId="10512" builtinId="9" hidden="1"/>
    <cellStyle name="Followed Hyperlink" xfId="10514" builtinId="9" hidden="1"/>
    <cellStyle name="Followed Hyperlink" xfId="10516" builtinId="9" hidden="1"/>
    <cellStyle name="Followed Hyperlink" xfId="10518" builtinId="9" hidden="1"/>
    <cellStyle name="Followed Hyperlink" xfId="10520" builtinId="9" hidden="1"/>
    <cellStyle name="Followed Hyperlink" xfId="10522" builtinId="9" hidden="1"/>
    <cellStyle name="Followed Hyperlink" xfId="10524" builtinId="9" hidden="1"/>
    <cellStyle name="Followed Hyperlink" xfId="10526" builtinId="9" hidden="1"/>
    <cellStyle name="Followed Hyperlink" xfId="10528" builtinId="9" hidden="1"/>
    <cellStyle name="Followed Hyperlink" xfId="10530" builtinId="9" hidden="1"/>
    <cellStyle name="Followed Hyperlink" xfId="10532" builtinId="9" hidden="1"/>
    <cellStyle name="Followed Hyperlink" xfId="10534" builtinId="9" hidden="1"/>
    <cellStyle name="Followed Hyperlink" xfId="10536" builtinId="9" hidden="1"/>
    <cellStyle name="Followed Hyperlink" xfId="10538" builtinId="9" hidden="1"/>
    <cellStyle name="Followed Hyperlink" xfId="10540" builtinId="9" hidden="1"/>
    <cellStyle name="Followed Hyperlink" xfId="10542" builtinId="9" hidden="1"/>
    <cellStyle name="Followed Hyperlink" xfId="10544" builtinId="9" hidden="1"/>
    <cellStyle name="Followed Hyperlink" xfId="10546" builtinId="9" hidden="1"/>
    <cellStyle name="Followed Hyperlink" xfId="10548" builtinId="9" hidden="1"/>
    <cellStyle name="Followed Hyperlink" xfId="10550" builtinId="9" hidden="1"/>
    <cellStyle name="Followed Hyperlink" xfId="10552" builtinId="9" hidden="1"/>
    <cellStyle name="Followed Hyperlink" xfId="10554" builtinId="9" hidden="1"/>
    <cellStyle name="Followed Hyperlink" xfId="10556" builtinId="9" hidden="1"/>
    <cellStyle name="Followed Hyperlink" xfId="10558" builtinId="9" hidden="1"/>
    <cellStyle name="Followed Hyperlink" xfId="10560" builtinId="9" hidden="1"/>
    <cellStyle name="Followed Hyperlink" xfId="10562" builtinId="9" hidden="1"/>
    <cellStyle name="Followed Hyperlink" xfId="10564" builtinId="9" hidden="1"/>
    <cellStyle name="Followed Hyperlink" xfId="10566" builtinId="9" hidden="1"/>
    <cellStyle name="Followed Hyperlink" xfId="10568" builtinId="9" hidden="1"/>
    <cellStyle name="Followed Hyperlink" xfId="10570" builtinId="9" hidden="1"/>
    <cellStyle name="Followed Hyperlink" xfId="10572" builtinId="9" hidden="1"/>
    <cellStyle name="Followed Hyperlink" xfId="10574" builtinId="9" hidden="1"/>
    <cellStyle name="Followed Hyperlink" xfId="10576" builtinId="9" hidden="1"/>
    <cellStyle name="Followed Hyperlink" xfId="10578" builtinId="9" hidden="1"/>
    <cellStyle name="Followed Hyperlink" xfId="10580" builtinId="9" hidden="1"/>
    <cellStyle name="Followed Hyperlink" xfId="10582" builtinId="9" hidden="1"/>
    <cellStyle name="Followed Hyperlink" xfId="10584" builtinId="9" hidden="1"/>
    <cellStyle name="Followed Hyperlink" xfId="10586" builtinId="9" hidden="1"/>
    <cellStyle name="Followed Hyperlink" xfId="10588" builtinId="9" hidden="1"/>
    <cellStyle name="Followed Hyperlink" xfId="10590" builtinId="9" hidden="1"/>
    <cellStyle name="Followed Hyperlink" xfId="10592" builtinId="9" hidden="1"/>
    <cellStyle name="Followed Hyperlink" xfId="10594" builtinId="9" hidden="1"/>
    <cellStyle name="Followed Hyperlink" xfId="10596" builtinId="9" hidden="1"/>
    <cellStyle name="Followed Hyperlink" xfId="10598" builtinId="9" hidden="1"/>
    <cellStyle name="Followed Hyperlink" xfId="10600" builtinId="9" hidden="1"/>
    <cellStyle name="Followed Hyperlink" xfId="10602" builtinId="9" hidden="1"/>
    <cellStyle name="Followed Hyperlink" xfId="10604" builtinId="9" hidden="1"/>
    <cellStyle name="Followed Hyperlink" xfId="10606" builtinId="9" hidden="1"/>
    <cellStyle name="Followed Hyperlink" xfId="10608" builtinId="9" hidden="1"/>
    <cellStyle name="Followed Hyperlink" xfId="10610" builtinId="9" hidden="1"/>
    <cellStyle name="Followed Hyperlink" xfId="10612" builtinId="9" hidden="1"/>
    <cellStyle name="Followed Hyperlink" xfId="10614" builtinId="9" hidden="1"/>
    <cellStyle name="Followed Hyperlink" xfId="10616" builtinId="9" hidden="1"/>
    <cellStyle name="Followed Hyperlink" xfId="10618" builtinId="9" hidden="1"/>
    <cellStyle name="Followed Hyperlink" xfId="10620" builtinId="9" hidden="1"/>
    <cellStyle name="Followed Hyperlink" xfId="10622" builtinId="9" hidden="1"/>
    <cellStyle name="Followed Hyperlink" xfId="10624" builtinId="9" hidden="1"/>
    <cellStyle name="Followed Hyperlink" xfId="10626" builtinId="9" hidden="1"/>
    <cellStyle name="Followed Hyperlink" xfId="10628" builtinId="9" hidden="1"/>
    <cellStyle name="Followed Hyperlink" xfId="10630" builtinId="9" hidden="1"/>
    <cellStyle name="Followed Hyperlink" xfId="10632" builtinId="9" hidden="1"/>
    <cellStyle name="Followed Hyperlink" xfId="10634" builtinId="9" hidden="1"/>
    <cellStyle name="Followed Hyperlink" xfId="10636" builtinId="9" hidden="1"/>
    <cellStyle name="Followed Hyperlink" xfId="10638" builtinId="9" hidden="1"/>
    <cellStyle name="Followed Hyperlink" xfId="10640" builtinId="9" hidden="1"/>
    <cellStyle name="Followed Hyperlink" xfId="10642" builtinId="9" hidden="1"/>
    <cellStyle name="Followed Hyperlink" xfId="10644" builtinId="9" hidden="1"/>
    <cellStyle name="Followed Hyperlink" xfId="10646" builtinId="9" hidden="1"/>
    <cellStyle name="Followed Hyperlink" xfId="10648" builtinId="9" hidden="1"/>
    <cellStyle name="Followed Hyperlink" xfId="10650" builtinId="9" hidden="1"/>
    <cellStyle name="Followed Hyperlink" xfId="10652" builtinId="9" hidden="1"/>
    <cellStyle name="Followed Hyperlink" xfId="10654" builtinId="9" hidden="1"/>
    <cellStyle name="Followed Hyperlink" xfId="10656" builtinId="9" hidden="1"/>
    <cellStyle name="Followed Hyperlink" xfId="10658" builtinId="9" hidden="1"/>
    <cellStyle name="Followed Hyperlink" xfId="10660" builtinId="9" hidden="1"/>
    <cellStyle name="Followed Hyperlink" xfId="10662" builtinId="9" hidden="1"/>
    <cellStyle name="Followed Hyperlink" xfId="10664" builtinId="9" hidden="1"/>
    <cellStyle name="Followed Hyperlink" xfId="10666" builtinId="9" hidden="1"/>
    <cellStyle name="Followed Hyperlink" xfId="10668" builtinId="9" hidden="1"/>
    <cellStyle name="Followed Hyperlink" xfId="10670" builtinId="9" hidden="1"/>
    <cellStyle name="Followed Hyperlink" xfId="10672" builtinId="9" hidden="1"/>
    <cellStyle name="Followed Hyperlink" xfId="10674" builtinId="9" hidden="1"/>
    <cellStyle name="Followed Hyperlink" xfId="10676" builtinId="9" hidden="1"/>
    <cellStyle name="Followed Hyperlink" xfId="10678" builtinId="9" hidden="1"/>
    <cellStyle name="Followed Hyperlink" xfId="10680" builtinId="9" hidden="1"/>
    <cellStyle name="Followed Hyperlink" xfId="10682" builtinId="9" hidden="1"/>
    <cellStyle name="Followed Hyperlink" xfId="10684" builtinId="9" hidden="1"/>
    <cellStyle name="Followed Hyperlink" xfId="10686" builtinId="9" hidden="1"/>
    <cellStyle name="Followed Hyperlink" xfId="10688" builtinId="9" hidden="1"/>
    <cellStyle name="Followed Hyperlink" xfId="10690" builtinId="9" hidden="1"/>
    <cellStyle name="Followed Hyperlink" xfId="10692" builtinId="9" hidden="1"/>
    <cellStyle name="Followed Hyperlink" xfId="10694" builtinId="9" hidden="1"/>
    <cellStyle name="Followed Hyperlink" xfId="10696" builtinId="9" hidden="1"/>
    <cellStyle name="Followed Hyperlink" xfId="10698" builtinId="9" hidden="1"/>
    <cellStyle name="Followed Hyperlink" xfId="10700" builtinId="9" hidden="1"/>
    <cellStyle name="Followed Hyperlink" xfId="10702" builtinId="9" hidden="1"/>
    <cellStyle name="Followed Hyperlink" xfId="10704" builtinId="9" hidden="1"/>
    <cellStyle name="Followed Hyperlink" xfId="10706" builtinId="9" hidden="1"/>
    <cellStyle name="Followed Hyperlink" xfId="10708" builtinId="9" hidden="1"/>
    <cellStyle name="Followed Hyperlink" xfId="10710" builtinId="9" hidden="1"/>
    <cellStyle name="Followed Hyperlink" xfId="10712" builtinId="9" hidden="1"/>
    <cellStyle name="Followed Hyperlink" xfId="10714" builtinId="9" hidden="1"/>
    <cellStyle name="Followed Hyperlink" xfId="10716" builtinId="9" hidden="1"/>
    <cellStyle name="Followed Hyperlink" xfId="10718" builtinId="9" hidden="1"/>
    <cellStyle name="Followed Hyperlink" xfId="10720" builtinId="9" hidden="1"/>
    <cellStyle name="Followed Hyperlink" xfId="10722" builtinId="9" hidden="1"/>
    <cellStyle name="Followed Hyperlink" xfId="10724" builtinId="9" hidden="1"/>
    <cellStyle name="Followed Hyperlink" xfId="10726" builtinId="9" hidden="1"/>
    <cellStyle name="Followed Hyperlink" xfId="10728" builtinId="9" hidden="1"/>
    <cellStyle name="Followed Hyperlink" xfId="10730" builtinId="9" hidden="1"/>
    <cellStyle name="Followed Hyperlink" xfId="10732" builtinId="9" hidden="1"/>
    <cellStyle name="Followed Hyperlink" xfId="10734" builtinId="9" hidden="1"/>
    <cellStyle name="Followed Hyperlink" xfId="10736" builtinId="9" hidden="1"/>
    <cellStyle name="Followed Hyperlink" xfId="10738" builtinId="9" hidden="1"/>
    <cellStyle name="Followed Hyperlink" xfId="10740" builtinId="9" hidden="1"/>
    <cellStyle name="Followed Hyperlink" xfId="10742" builtinId="9" hidden="1"/>
    <cellStyle name="Followed Hyperlink" xfId="10744" builtinId="9" hidden="1"/>
    <cellStyle name="Followed Hyperlink" xfId="10746" builtinId="9" hidden="1"/>
    <cellStyle name="Followed Hyperlink" xfId="10748" builtinId="9" hidden="1"/>
    <cellStyle name="Followed Hyperlink" xfId="10750" builtinId="9" hidden="1"/>
    <cellStyle name="Followed Hyperlink" xfId="10752" builtinId="9" hidden="1"/>
    <cellStyle name="Followed Hyperlink" xfId="10754" builtinId="9" hidden="1"/>
    <cellStyle name="Followed Hyperlink" xfId="10756" builtinId="9" hidden="1"/>
    <cellStyle name="Followed Hyperlink" xfId="10758" builtinId="9" hidden="1"/>
    <cellStyle name="Followed Hyperlink" xfId="10760" builtinId="9" hidden="1"/>
    <cellStyle name="Followed Hyperlink" xfId="10762" builtinId="9" hidden="1"/>
    <cellStyle name="Followed Hyperlink" xfId="10764" builtinId="9" hidden="1"/>
    <cellStyle name="Followed Hyperlink" xfId="10766" builtinId="9" hidden="1"/>
    <cellStyle name="Followed Hyperlink" xfId="10768" builtinId="9" hidden="1"/>
    <cellStyle name="Followed Hyperlink" xfId="10770" builtinId="9" hidden="1"/>
    <cellStyle name="Followed Hyperlink" xfId="10772" builtinId="9" hidden="1"/>
    <cellStyle name="Followed Hyperlink" xfId="10774" builtinId="9" hidden="1"/>
    <cellStyle name="Followed Hyperlink" xfId="10776" builtinId="9" hidden="1"/>
    <cellStyle name="Followed Hyperlink" xfId="10778" builtinId="9" hidden="1"/>
    <cellStyle name="Followed Hyperlink" xfId="10780" builtinId="9" hidden="1"/>
    <cellStyle name="Followed Hyperlink" xfId="10782" builtinId="9" hidden="1"/>
    <cellStyle name="Followed Hyperlink" xfId="10784" builtinId="9" hidden="1"/>
    <cellStyle name="Followed Hyperlink" xfId="10786" builtinId="9" hidden="1"/>
    <cellStyle name="Followed Hyperlink" xfId="10788" builtinId="9" hidden="1"/>
    <cellStyle name="Followed Hyperlink" xfId="10790" builtinId="9" hidden="1"/>
    <cellStyle name="Followed Hyperlink" xfId="10792" builtinId="9" hidden="1"/>
    <cellStyle name="Followed Hyperlink" xfId="10794" builtinId="9" hidden="1"/>
    <cellStyle name="Followed Hyperlink" xfId="10796" builtinId="9" hidden="1"/>
    <cellStyle name="Followed Hyperlink" xfId="10798" builtinId="9" hidden="1"/>
    <cellStyle name="Followed Hyperlink" xfId="10800" builtinId="9" hidden="1"/>
    <cellStyle name="Followed Hyperlink" xfId="10802" builtinId="9" hidden="1"/>
    <cellStyle name="Followed Hyperlink" xfId="10804" builtinId="9" hidden="1"/>
    <cellStyle name="Followed Hyperlink" xfId="10806" builtinId="9" hidden="1"/>
    <cellStyle name="Followed Hyperlink" xfId="10808" builtinId="9" hidden="1"/>
    <cellStyle name="Followed Hyperlink" xfId="10810" builtinId="9" hidden="1"/>
    <cellStyle name="Followed Hyperlink" xfId="10812" builtinId="9" hidden="1"/>
    <cellStyle name="Followed Hyperlink" xfId="10814" builtinId="9" hidden="1"/>
    <cellStyle name="Followed Hyperlink" xfId="10816" builtinId="9" hidden="1"/>
    <cellStyle name="Followed Hyperlink" xfId="10818" builtinId="9" hidden="1"/>
    <cellStyle name="Followed Hyperlink" xfId="10820" builtinId="9" hidden="1"/>
    <cellStyle name="Followed Hyperlink" xfId="10822" builtinId="9" hidden="1"/>
    <cellStyle name="Followed Hyperlink" xfId="10824" builtinId="9" hidden="1"/>
    <cellStyle name="Followed Hyperlink" xfId="10826" builtinId="9" hidden="1"/>
    <cellStyle name="Followed Hyperlink" xfId="10828" builtinId="9" hidden="1"/>
    <cellStyle name="Followed Hyperlink" xfId="10830" builtinId="9" hidden="1"/>
    <cellStyle name="Followed Hyperlink" xfId="10832" builtinId="9" hidden="1"/>
    <cellStyle name="Followed Hyperlink" xfId="10834" builtinId="9" hidden="1"/>
    <cellStyle name="Followed Hyperlink" xfId="10836" builtinId="9" hidden="1"/>
    <cellStyle name="Followed Hyperlink" xfId="10838" builtinId="9" hidden="1"/>
    <cellStyle name="Followed Hyperlink" xfId="10840" builtinId="9" hidden="1"/>
    <cellStyle name="Followed Hyperlink" xfId="10842" builtinId="9" hidden="1"/>
    <cellStyle name="Followed Hyperlink" xfId="10844" builtinId="9" hidden="1"/>
    <cellStyle name="Followed Hyperlink" xfId="10846" builtinId="9" hidden="1"/>
    <cellStyle name="Followed Hyperlink" xfId="10848" builtinId="9" hidden="1"/>
    <cellStyle name="Followed Hyperlink" xfId="10850" builtinId="9" hidden="1"/>
    <cellStyle name="Followed Hyperlink" xfId="10852" builtinId="9" hidden="1"/>
    <cellStyle name="Followed Hyperlink" xfId="10854" builtinId="9" hidden="1"/>
    <cellStyle name="Followed Hyperlink" xfId="10856" builtinId="9" hidden="1"/>
    <cellStyle name="Followed Hyperlink" xfId="10858" builtinId="9" hidden="1"/>
    <cellStyle name="Followed Hyperlink" xfId="10860" builtinId="9" hidden="1"/>
    <cellStyle name="Followed Hyperlink" xfId="10862" builtinId="9" hidden="1"/>
    <cellStyle name="Followed Hyperlink" xfId="10864" builtinId="9" hidden="1"/>
    <cellStyle name="Followed Hyperlink" xfId="10866" builtinId="9" hidden="1"/>
    <cellStyle name="Followed Hyperlink" xfId="10868" builtinId="9" hidden="1"/>
    <cellStyle name="Followed Hyperlink" xfId="10870" builtinId="9" hidden="1"/>
    <cellStyle name="Followed Hyperlink" xfId="10872" builtinId="9" hidden="1"/>
    <cellStyle name="Followed Hyperlink" xfId="10874" builtinId="9" hidden="1"/>
    <cellStyle name="Followed Hyperlink" xfId="10876" builtinId="9" hidden="1"/>
    <cellStyle name="Followed Hyperlink" xfId="10878" builtinId="9" hidden="1"/>
    <cellStyle name="Followed Hyperlink" xfId="10880" builtinId="9" hidden="1"/>
    <cellStyle name="Followed Hyperlink" xfId="10882" builtinId="9" hidden="1"/>
    <cellStyle name="Followed Hyperlink" xfId="10884" builtinId="9" hidden="1"/>
    <cellStyle name="Followed Hyperlink" xfId="10886" builtinId="9" hidden="1"/>
    <cellStyle name="Followed Hyperlink" xfId="10888" builtinId="9" hidden="1"/>
    <cellStyle name="Followed Hyperlink" xfId="10890" builtinId="9" hidden="1"/>
    <cellStyle name="Followed Hyperlink" xfId="10892" builtinId="9" hidden="1"/>
    <cellStyle name="Followed Hyperlink" xfId="10894" builtinId="9" hidden="1"/>
    <cellStyle name="Followed Hyperlink" xfId="10896" builtinId="9" hidden="1"/>
    <cellStyle name="Followed Hyperlink" xfId="10898" builtinId="9" hidden="1"/>
    <cellStyle name="Followed Hyperlink" xfId="10900" builtinId="9" hidden="1"/>
    <cellStyle name="Followed Hyperlink" xfId="10902" builtinId="9" hidden="1"/>
    <cellStyle name="Followed Hyperlink" xfId="10904" builtinId="9" hidden="1"/>
    <cellStyle name="Followed Hyperlink" xfId="10906" builtinId="9" hidden="1"/>
    <cellStyle name="Followed Hyperlink" xfId="10908" builtinId="9" hidden="1"/>
    <cellStyle name="Followed Hyperlink" xfId="10910" builtinId="9" hidden="1"/>
    <cellStyle name="Followed Hyperlink" xfId="10912" builtinId="9" hidden="1"/>
    <cellStyle name="Followed Hyperlink" xfId="10914" builtinId="9" hidden="1"/>
    <cellStyle name="Followed Hyperlink" xfId="10916" builtinId="9" hidden="1"/>
    <cellStyle name="Followed Hyperlink" xfId="10918" builtinId="9" hidden="1"/>
    <cellStyle name="Followed Hyperlink" xfId="10920" builtinId="9" hidden="1"/>
    <cellStyle name="Followed Hyperlink" xfId="10922" builtinId="9" hidden="1"/>
    <cellStyle name="Followed Hyperlink" xfId="10924" builtinId="9" hidden="1"/>
    <cellStyle name="Followed Hyperlink" xfId="10926" builtinId="9" hidden="1"/>
    <cellStyle name="Followed Hyperlink" xfId="10928" builtinId="9" hidden="1"/>
    <cellStyle name="Followed Hyperlink" xfId="10930" builtinId="9" hidden="1"/>
    <cellStyle name="Followed Hyperlink" xfId="10932" builtinId="9" hidden="1"/>
    <cellStyle name="Followed Hyperlink" xfId="10934" builtinId="9" hidden="1"/>
    <cellStyle name="Followed Hyperlink" xfId="10936" builtinId="9" hidden="1"/>
    <cellStyle name="Followed Hyperlink" xfId="10938" builtinId="9" hidden="1"/>
    <cellStyle name="Followed Hyperlink" xfId="10940" builtinId="9" hidden="1"/>
    <cellStyle name="Followed Hyperlink" xfId="10942" builtinId="9" hidden="1"/>
    <cellStyle name="Followed Hyperlink" xfId="10944" builtinId="9" hidden="1"/>
    <cellStyle name="Followed Hyperlink" xfId="10946" builtinId="9" hidden="1"/>
    <cellStyle name="Followed Hyperlink" xfId="10948" builtinId="9" hidden="1"/>
    <cellStyle name="Followed Hyperlink" xfId="10950" builtinId="9" hidden="1"/>
    <cellStyle name="Followed Hyperlink" xfId="10952" builtinId="9" hidden="1"/>
    <cellStyle name="Followed Hyperlink" xfId="10954" builtinId="9" hidden="1"/>
    <cellStyle name="Followed Hyperlink" xfId="10956" builtinId="9" hidden="1"/>
    <cellStyle name="Followed Hyperlink" xfId="10958" builtinId="9" hidden="1"/>
    <cellStyle name="Followed Hyperlink" xfId="10960" builtinId="9" hidden="1"/>
    <cellStyle name="Followed Hyperlink" xfId="10962" builtinId="9" hidden="1"/>
    <cellStyle name="Followed Hyperlink" xfId="10964" builtinId="9" hidden="1"/>
    <cellStyle name="Followed Hyperlink" xfId="10966" builtinId="9" hidden="1"/>
    <cellStyle name="Followed Hyperlink" xfId="10968" builtinId="9" hidden="1"/>
    <cellStyle name="Followed Hyperlink" xfId="10970" builtinId="9" hidden="1"/>
    <cellStyle name="Followed Hyperlink" xfId="10972" builtinId="9" hidden="1"/>
    <cellStyle name="Followed Hyperlink" xfId="10974" builtinId="9" hidden="1"/>
    <cellStyle name="Followed Hyperlink" xfId="10976" builtinId="9" hidden="1"/>
    <cellStyle name="Followed Hyperlink" xfId="10978" builtinId="9" hidden="1"/>
    <cellStyle name="Followed Hyperlink" xfId="10980" builtinId="9" hidden="1"/>
    <cellStyle name="Followed Hyperlink" xfId="10982" builtinId="9" hidden="1"/>
    <cellStyle name="Followed Hyperlink" xfId="10984" builtinId="9" hidden="1"/>
    <cellStyle name="Followed Hyperlink" xfId="10986" builtinId="9" hidden="1"/>
    <cellStyle name="Followed Hyperlink" xfId="10988" builtinId="9" hidden="1"/>
    <cellStyle name="Followed Hyperlink" xfId="10990" builtinId="9" hidden="1"/>
    <cellStyle name="Followed Hyperlink" xfId="10992" builtinId="9" hidden="1"/>
    <cellStyle name="Followed Hyperlink" xfId="10994" builtinId="9" hidden="1"/>
    <cellStyle name="Followed Hyperlink" xfId="10996" builtinId="9" hidden="1"/>
    <cellStyle name="Followed Hyperlink" xfId="10998" builtinId="9" hidden="1"/>
    <cellStyle name="Followed Hyperlink" xfId="11000" builtinId="9" hidden="1"/>
    <cellStyle name="Followed Hyperlink" xfId="11002" builtinId="9" hidden="1"/>
    <cellStyle name="Followed Hyperlink" xfId="11004" builtinId="9" hidden="1"/>
    <cellStyle name="Followed Hyperlink" xfId="11006" builtinId="9" hidden="1"/>
    <cellStyle name="Followed Hyperlink" xfId="11008" builtinId="9" hidden="1"/>
    <cellStyle name="Followed Hyperlink" xfId="11010" builtinId="9" hidden="1"/>
    <cellStyle name="Followed Hyperlink" xfId="11012" builtinId="9" hidden="1"/>
    <cellStyle name="Followed Hyperlink" xfId="11014" builtinId="9" hidden="1"/>
    <cellStyle name="Followed Hyperlink" xfId="11016" builtinId="9" hidden="1"/>
    <cellStyle name="Followed Hyperlink" xfId="11018" builtinId="9" hidden="1"/>
    <cellStyle name="Followed Hyperlink" xfId="11020" builtinId="9" hidden="1"/>
    <cellStyle name="Followed Hyperlink" xfId="11022" builtinId="9" hidden="1"/>
    <cellStyle name="Followed Hyperlink" xfId="11024" builtinId="9" hidden="1"/>
    <cellStyle name="Followed Hyperlink" xfId="11026" builtinId="9" hidden="1"/>
    <cellStyle name="Followed Hyperlink" xfId="11028" builtinId="9" hidden="1"/>
    <cellStyle name="Followed Hyperlink" xfId="11030" builtinId="9" hidden="1"/>
    <cellStyle name="Followed Hyperlink" xfId="11032" builtinId="9" hidden="1"/>
    <cellStyle name="Followed Hyperlink" xfId="11034" builtinId="9" hidden="1"/>
    <cellStyle name="Followed Hyperlink" xfId="11036" builtinId="9" hidden="1"/>
    <cellStyle name="Followed Hyperlink" xfId="11038" builtinId="9" hidden="1"/>
    <cellStyle name="Followed Hyperlink" xfId="11040" builtinId="9" hidden="1"/>
    <cellStyle name="Followed Hyperlink" xfId="11042" builtinId="9" hidden="1"/>
    <cellStyle name="Followed Hyperlink" xfId="11044" builtinId="9" hidden="1"/>
    <cellStyle name="Followed Hyperlink" xfId="11046" builtinId="9" hidden="1"/>
    <cellStyle name="Followed Hyperlink" xfId="11048" builtinId="9" hidden="1"/>
    <cellStyle name="Followed Hyperlink" xfId="11050" builtinId="9" hidden="1"/>
    <cellStyle name="Followed Hyperlink" xfId="11052" builtinId="9" hidden="1"/>
    <cellStyle name="Followed Hyperlink" xfId="11054" builtinId="9" hidden="1"/>
    <cellStyle name="Followed Hyperlink" xfId="11056" builtinId="9" hidden="1"/>
    <cellStyle name="Followed Hyperlink" xfId="11058" builtinId="9" hidden="1"/>
    <cellStyle name="Followed Hyperlink" xfId="11060" builtinId="9" hidden="1"/>
    <cellStyle name="Followed Hyperlink" xfId="11062" builtinId="9" hidden="1"/>
    <cellStyle name="Followed Hyperlink" xfId="11064" builtinId="9" hidden="1"/>
    <cellStyle name="Followed Hyperlink" xfId="11066" builtinId="9" hidden="1"/>
    <cellStyle name="Followed Hyperlink" xfId="11068" builtinId="9" hidden="1"/>
    <cellStyle name="Followed Hyperlink" xfId="11070" builtinId="9" hidden="1"/>
    <cellStyle name="Followed Hyperlink" xfId="11072" builtinId="9" hidden="1"/>
    <cellStyle name="Followed Hyperlink" xfId="11074" builtinId="9" hidden="1"/>
    <cellStyle name="Followed Hyperlink" xfId="11076" builtinId="9" hidden="1"/>
    <cellStyle name="Followed Hyperlink" xfId="11078" builtinId="9" hidden="1"/>
    <cellStyle name="Followed Hyperlink" xfId="11080" builtinId="9" hidden="1"/>
    <cellStyle name="Followed Hyperlink" xfId="11082" builtinId="9" hidden="1"/>
    <cellStyle name="Followed Hyperlink" xfId="11084" builtinId="9" hidden="1"/>
    <cellStyle name="Followed Hyperlink" xfId="11086" builtinId="9" hidden="1"/>
    <cellStyle name="Followed Hyperlink" xfId="11088" builtinId="9" hidden="1"/>
    <cellStyle name="Followed Hyperlink" xfId="11090" builtinId="9" hidden="1"/>
    <cellStyle name="Followed Hyperlink" xfId="11092" builtinId="9" hidden="1"/>
    <cellStyle name="Followed Hyperlink" xfId="11094" builtinId="9" hidden="1"/>
    <cellStyle name="Followed Hyperlink" xfId="11096" builtinId="9" hidden="1"/>
    <cellStyle name="Followed Hyperlink" xfId="11098" builtinId="9" hidden="1"/>
    <cellStyle name="Followed Hyperlink" xfId="11100" builtinId="9" hidden="1"/>
    <cellStyle name="Followed Hyperlink" xfId="11102" builtinId="9" hidden="1"/>
    <cellStyle name="Followed Hyperlink" xfId="11104" builtinId="9" hidden="1"/>
    <cellStyle name="Followed Hyperlink" xfId="11106" builtinId="9" hidden="1"/>
    <cellStyle name="Followed Hyperlink" xfId="11108" builtinId="9" hidden="1"/>
    <cellStyle name="Followed Hyperlink" xfId="11110" builtinId="9" hidden="1"/>
    <cellStyle name="Followed Hyperlink" xfId="11112" builtinId="9" hidden="1"/>
    <cellStyle name="Followed Hyperlink" xfId="11114" builtinId="9" hidden="1"/>
    <cellStyle name="Followed Hyperlink" xfId="11116" builtinId="9" hidden="1"/>
    <cellStyle name="Followed Hyperlink" xfId="11118" builtinId="9" hidden="1"/>
    <cellStyle name="Followed Hyperlink" xfId="11120" builtinId="9" hidden="1"/>
    <cellStyle name="Followed Hyperlink" xfId="11122" builtinId="9" hidden="1"/>
    <cellStyle name="Followed Hyperlink" xfId="11124" builtinId="9" hidden="1"/>
    <cellStyle name="Followed Hyperlink" xfId="11126" builtinId="9" hidden="1"/>
    <cellStyle name="Followed Hyperlink" xfId="11128" builtinId="9" hidden="1"/>
    <cellStyle name="Followed Hyperlink" xfId="11130" builtinId="9" hidden="1"/>
    <cellStyle name="Followed Hyperlink" xfId="11132" builtinId="9" hidden="1"/>
    <cellStyle name="Followed Hyperlink" xfId="11134" builtinId="9" hidden="1"/>
    <cellStyle name="Followed Hyperlink" xfId="11136" builtinId="9" hidden="1"/>
    <cellStyle name="Followed Hyperlink" xfId="11138" builtinId="9" hidden="1"/>
    <cellStyle name="Followed Hyperlink" xfId="11140" builtinId="9" hidden="1"/>
    <cellStyle name="Followed Hyperlink" xfId="11142" builtinId="9" hidden="1"/>
    <cellStyle name="Followed Hyperlink" xfId="11144" builtinId="9" hidden="1"/>
    <cellStyle name="Followed Hyperlink" xfId="11146" builtinId="9" hidden="1"/>
    <cellStyle name="Followed Hyperlink" xfId="11148" builtinId="9" hidden="1"/>
    <cellStyle name="Followed Hyperlink" xfId="11150" builtinId="9" hidden="1"/>
    <cellStyle name="Followed Hyperlink" xfId="11152" builtinId="9" hidden="1"/>
    <cellStyle name="Followed Hyperlink" xfId="11154" builtinId="9" hidden="1"/>
    <cellStyle name="Followed Hyperlink" xfId="11156" builtinId="9" hidden="1"/>
    <cellStyle name="Followed Hyperlink" xfId="11158" builtinId="9" hidden="1"/>
    <cellStyle name="Followed Hyperlink" xfId="11160" builtinId="9" hidden="1"/>
    <cellStyle name="Followed Hyperlink" xfId="11162" builtinId="9" hidden="1"/>
    <cellStyle name="Followed Hyperlink" xfId="11164" builtinId="9" hidden="1"/>
    <cellStyle name="Followed Hyperlink" xfId="11166" builtinId="9" hidden="1"/>
    <cellStyle name="Followed Hyperlink" xfId="11168" builtinId="9" hidden="1"/>
    <cellStyle name="Followed Hyperlink" xfId="11170" builtinId="9" hidden="1"/>
    <cellStyle name="Followed Hyperlink" xfId="11172" builtinId="9" hidden="1"/>
    <cellStyle name="Followed Hyperlink" xfId="11174" builtinId="9" hidden="1"/>
    <cellStyle name="Followed Hyperlink" xfId="11176" builtinId="9" hidden="1"/>
    <cellStyle name="Followed Hyperlink" xfId="11178" builtinId="9" hidden="1"/>
    <cellStyle name="Followed Hyperlink" xfId="11180" builtinId="9" hidden="1"/>
    <cellStyle name="Followed Hyperlink" xfId="11182" builtinId="9" hidden="1"/>
    <cellStyle name="Followed Hyperlink" xfId="11184" builtinId="9" hidden="1"/>
    <cellStyle name="Followed Hyperlink" xfId="11186" builtinId="9" hidden="1"/>
    <cellStyle name="Followed Hyperlink" xfId="11188" builtinId="9" hidden="1"/>
    <cellStyle name="Followed Hyperlink" xfId="11190" builtinId="9" hidden="1"/>
    <cellStyle name="Followed Hyperlink" xfId="11192" builtinId="9" hidden="1"/>
    <cellStyle name="Followed Hyperlink" xfId="11194" builtinId="9" hidden="1"/>
    <cellStyle name="Followed Hyperlink" xfId="11196" builtinId="9" hidden="1"/>
    <cellStyle name="Followed Hyperlink" xfId="11198" builtinId="9" hidden="1"/>
    <cellStyle name="Followed Hyperlink" xfId="11200" builtinId="9" hidden="1"/>
    <cellStyle name="Followed Hyperlink" xfId="11202" builtinId="9" hidden="1"/>
    <cellStyle name="Followed Hyperlink" xfId="11204" builtinId="9" hidden="1"/>
    <cellStyle name="Followed Hyperlink" xfId="11206" builtinId="9" hidden="1"/>
    <cellStyle name="Followed Hyperlink" xfId="11208" builtinId="9" hidden="1"/>
    <cellStyle name="Followed Hyperlink" xfId="11210" builtinId="9" hidden="1"/>
    <cellStyle name="Followed Hyperlink" xfId="11212" builtinId="9" hidden="1"/>
    <cellStyle name="Followed Hyperlink" xfId="11214" builtinId="9" hidden="1"/>
    <cellStyle name="Followed Hyperlink" xfId="11216" builtinId="9" hidden="1"/>
    <cellStyle name="Followed Hyperlink" xfId="11218" builtinId="9" hidden="1"/>
    <cellStyle name="Followed Hyperlink" xfId="11220" builtinId="9" hidden="1"/>
    <cellStyle name="Followed Hyperlink" xfId="11222" builtinId="9" hidden="1"/>
    <cellStyle name="Followed Hyperlink" xfId="11224" builtinId="9" hidden="1"/>
    <cellStyle name="Followed Hyperlink" xfId="11226" builtinId="9" hidden="1"/>
    <cellStyle name="Followed Hyperlink" xfId="11228" builtinId="9" hidden="1"/>
    <cellStyle name="Followed Hyperlink" xfId="11230" builtinId="9" hidden="1"/>
    <cellStyle name="Followed Hyperlink" xfId="11232" builtinId="9" hidden="1"/>
    <cellStyle name="Followed Hyperlink" xfId="11234" builtinId="9" hidden="1"/>
    <cellStyle name="Followed Hyperlink" xfId="11236" builtinId="9" hidden="1"/>
    <cellStyle name="Followed Hyperlink" xfId="11238" builtinId="9" hidden="1"/>
    <cellStyle name="Followed Hyperlink" xfId="11240" builtinId="9" hidden="1"/>
    <cellStyle name="Followed Hyperlink" xfId="11242" builtinId="9" hidden="1"/>
    <cellStyle name="Followed Hyperlink" xfId="11244" builtinId="9" hidden="1"/>
    <cellStyle name="Followed Hyperlink" xfId="11246" builtinId="9" hidden="1"/>
    <cellStyle name="Followed Hyperlink" xfId="11248" builtinId="9" hidden="1"/>
    <cellStyle name="Followed Hyperlink" xfId="11250" builtinId="9" hidden="1"/>
    <cellStyle name="Followed Hyperlink" xfId="11252" builtinId="9" hidden="1"/>
    <cellStyle name="Followed Hyperlink" xfId="11254" builtinId="9" hidden="1"/>
    <cellStyle name="Followed Hyperlink" xfId="11256" builtinId="9" hidden="1"/>
    <cellStyle name="Followed Hyperlink" xfId="11258" builtinId="9" hidden="1"/>
    <cellStyle name="Followed Hyperlink" xfId="11260" builtinId="9" hidden="1"/>
    <cellStyle name="Followed Hyperlink" xfId="11262" builtinId="9" hidden="1"/>
    <cellStyle name="Followed Hyperlink" xfId="11264" builtinId="9" hidden="1"/>
    <cellStyle name="Followed Hyperlink" xfId="11266" builtinId="9" hidden="1"/>
    <cellStyle name="Followed Hyperlink" xfId="11268" builtinId="9" hidden="1"/>
    <cellStyle name="Followed Hyperlink" xfId="11270" builtinId="9" hidden="1"/>
    <cellStyle name="Followed Hyperlink" xfId="11272" builtinId="9" hidden="1"/>
    <cellStyle name="Followed Hyperlink" xfId="11274" builtinId="9" hidden="1"/>
    <cellStyle name="Followed Hyperlink" xfId="11276" builtinId="9" hidden="1"/>
    <cellStyle name="Followed Hyperlink" xfId="11278" builtinId="9" hidden="1"/>
    <cellStyle name="Followed Hyperlink" xfId="11280" builtinId="9" hidden="1"/>
    <cellStyle name="Followed Hyperlink" xfId="11282" builtinId="9" hidden="1"/>
    <cellStyle name="Followed Hyperlink" xfId="11284" builtinId="9" hidden="1"/>
    <cellStyle name="Followed Hyperlink" xfId="11286" builtinId="9" hidden="1"/>
    <cellStyle name="Followed Hyperlink" xfId="11288" builtinId="9" hidden="1"/>
    <cellStyle name="Followed Hyperlink" xfId="11290" builtinId="9" hidden="1"/>
    <cellStyle name="Followed Hyperlink" xfId="11292" builtinId="9" hidden="1"/>
    <cellStyle name="Followed Hyperlink" xfId="11294" builtinId="9" hidden="1"/>
    <cellStyle name="Followed Hyperlink" xfId="11296" builtinId="9" hidden="1"/>
    <cellStyle name="Followed Hyperlink" xfId="11298" builtinId="9" hidden="1"/>
    <cellStyle name="Followed Hyperlink" xfId="11300" builtinId="9" hidden="1"/>
    <cellStyle name="Followed Hyperlink" xfId="11302" builtinId="9" hidden="1"/>
    <cellStyle name="Followed Hyperlink" xfId="11304" builtinId="9" hidden="1"/>
    <cellStyle name="Followed Hyperlink" xfId="11306" builtinId="9" hidden="1"/>
    <cellStyle name="Followed Hyperlink" xfId="11308" builtinId="9" hidden="1"/>
    <cellStyle name="Followed Hyperlink" xfId="11310" builtinId="9" hidden="1"/>
    <cellStyle name="Followed Hyperlink" xfId="11312" builtinId="9" hidden="1"/>
    <cellStyle name="Followed Hyperlink" xfId="11314" builtinId="9" hidden="1"/>
    <cellStyle name="Followed Hyperlink" xfId="11316" builtinId="9" hidden="1"/>
    <cellStyle name="Followed Hyperlink" xfId="11318" builtinId="9" hidden="1"/>
    <cellStyle name="Followed Hyperlink" xfId="11320" builtinId="9" hidden="1"/>
    <cellStyle name="Followed Hyperlink" xfId="11322" builtinId="9" hidden="1"/>
    <cellStyle name="Followed Hyperlink" xfId="11324" builtinId="9" hidden="1"/>
    <cellStyle name="Followed Hyperlink" xfId="11326" builtinId="9" hidden="1"/>
    <cellStyle name="Followed Hyperlink" xfId="11328" builtinId="9" hidden="1"/>
    <cellStyle name="Followed Hyperlink" xfId="11330" builtinId="9" hidden="1"/>
    <cellStyle name="Followed Hyperlink" xfId="11332" builtinId="9" hidden="1"/>
    <cellStyle name="Followed Hyperlink" xfId="11334" builtinId="9" hidden="1"/>
    <cellStyle name="Followed Hyperlink" xfId="11336" builtinId="9" hidden="1"/>
    <cellStyle name="Followed Hyperlink" xfId="11338" builtinId="9" hidden="1"/>
    <cellStyle name="Followed Hyperlink" xfId="11340" builtinId="9" hidden="1"/>
    <cellStyle name="Followed Hyperlink" xfId="11342" builtinId="9" hidden="1"/>
    <cellStyle name="Followed Hyperlink" xfId="11344" builtinId="9" hidden="1"/>
    <cellStyle name="Followed Hyperlink" xfId="11346" builtinId="9" hidden="1"/>
    <cellStyle name="Followed Hyperlink" xfId="11348" builtinId="9" hidden="1"/>
    <cellStyle name="Followed Hyperlink" xfId="11350" builtinId="9" hidden="1"/>
    <cellStyle name="Followed Hyperlink" xfId="11352" builtinId="9" hidden="1"/>
    <cellStyle name="Followed Hyperlink" xfId="11354" builtinId="9" hidden="1"/>
    <cellStyle name="Followed Hyperlink" xfId="11356" builtinId="9" hidden="1"/>
    <cellStyle name="Followed Hyperlink" xfId="11358" builtinId="9" hidden="1"/>
    <cellStyle name="Followed Hyperlink" xfId="11360" builtinId="9" hidden="1"/>
    <cellStyle name="Followed Hyperlink" xfId="11362" builtinId="9" hidden="1"/>
    <cellStyle name="Followed Hyperlink" xfId="11364" builtinId="9" hidden="1"/>
    <cellStyle name="Followed Hyperlink" xfId="11366" builtinId="9" hidden="1"/>
    <cellStyle name="Followed Hyperlink" xfId="11368" builtinId="9" hidden="1"/>
    <cellStyle name="Followed Hyperlink" xfId="11370" builtinId="9" hidden="1"/>
    <cellStyle name="Followed Hyperlink" xfId="11372" builtinId="9" hidden="1"/>
    <cellStyle name="Followed Hyperlink" xfId="11374" builtinId="9" hidden="1"/>
    <cellStyle name="Followed Hyperlink" xfId="11376" builtinId="9" hidden="1"/>
    <cellStyle name="Followed Hyperlink" xfId="11378" builtinId="9" hidden="1"/>
    <cellStyle name="Followed Hyperlink" xfId="11380" builtinId="9" hidden="1"/>
    <cellStyle name="Followed Hyperlink" xfId="11382" builtinId="9" hidden="1"/>
    <cellStyle name="Followed Hyperlink" xfId="11384" builtinId="9" hidden="1"/>
    <cellStyle name="Followed Hyperlink" xfId="11386" builtinId="9" hidden="1"/>
    <cellStyle name="Followed Hyperlink" xfId="11388" builtinId="9" hidden="1"/>
    <cellStyle name="Followed Hyperlink" xfId="11390" builtinId="9" hidden="1"/>
    <cellStyle name="Followed Hyperlink" xfId="11392" builtinId="9" hidden="1"/>
    <cellStyle name="Followed Hyperlink" xfId="11394" builtinId="9" hidden="1"/>
    <cellStyle name="Followed Hyperlink" xfId="11396" builtinId="9" hidden="1"/>
    <cellStyle name="Followed Hyperlink" xfId="11398" builtinId="9" hidden="1"/>
    <cellStyle name="Followed Hyperlink" xfId="11400" builtinId="9" hidden="1"/>
    <cellStyle name="Followed Hyperlink" xfId="11402" builtinId="9" hidden="1"/>
    <cellStyle name="Followed Hyperlink" xfId="11404" builtinId="9" hidden="1"/>
    <cellStyle name="Followed Hyperlink" xfId="11406" builtinId="9" hidden="1"/>
    <cellStyle name="Followed Hyperlink" xfId="11408" builtinId="9" hidden="1"/>
    <cellStyle name="Followed Hyperlink" xfId="11410" builtinId="9" hidden="1"/>
    <cellStyle name="Followed Hyperlink" xfId="11412" builtinId="9" hidden="1"/>
    <cellStyle name="Followed Hyperlink" xfId="11414" builtinId="9" hidden="1"/>
    <cellStyle name="Followed Hyperlink" xfId="11416" builtinId="9" hidden="1"/>
    <cellStyle name="Followed Hyperlink" xfId="11418" builtinId="9" hidden="1"/>
    <cellStyle name="Followed Hyperlink" xfId="11420" builtinId="9" hidden="1"/>
    <cellStyle name="Followed Hyperlink" xfId="11422" builtinId="9" hidden="1"/>
    <cellStyle name="Followed Hyperlink" xfId="11424" builtinId="9" hidden="1"/>
    <cellStyle name="Followed Hyperlink" xfId="11426" builtinId="9" hidden="1"/>
    <cellStyle name="Followed Hyperlink" xfId="11428" builtinId="9" hidden="1"/>
    <cellStyle name="Followed Hyperlink" xfId="11430" builtinId="9" hidden="1"/>
    <cellStyle name="Followed Hyperlink" xfId="11432" builtinId="9" hidden="1"/>
    <cellStyle name="Followed Hyperlink" xfId="11434" builtinId="9" hidden="1"/>
    <cellStyle name="Followed Hyperlink" xfId="11436" builtinId="9" hidden="1"/>
    <cellStyle name="Followed Hyperlink" xfId="11438" builtinId="9" hidden="1"/>
    <cellStyle name="Followed Hyperlink" xfId="11440" builtinId="9" hidden="1"/>
    <cellStyle name="Followed Hyperlink" xfId="11442" builtinId="9" hidden="1"/>
    <cellStyle name="Followed Hyperlink" xfId="11444" builtinId="9" hidden="1"/>
    <cellStyle name="Followed Hyperlink" xfId="11446" builtinId="9" hidden="1"/>
    <cellStyle name="Followed Hyperlink" xfId="11448" builtinId="9" hidden="1"/>
    <cellStyle name="Followed Hyperlink" xfId="11450" builtinId="9" hidden="1"/>
    <cellStyle name="Followed Hyperlink" xfId="11452" builtinId="9" hidden="1"/>
    <cellStyle name="Followed Hyperlink" xfId="11454" builtinId="9" hidden="1"/>
    <cellStyle name="Followed Hyperlink" xfId="11456" builtinId="9" hidden="1"/>
    <cellStyle name="Followed Hyperlink" xfId="11458" builtinId="9" hidden="1"/>
    <cellStyle name="Followed Hyperlink" xfId="11460" builtinId="9" hidden="1"/>
    <cellStyle name="Followed Hyperlink" xfId="11462" builtinId="9" hidden="1"/>
    <cellStyle name="Followed Hyperlink" xfId="11464" builtinId="9" hidden="1"/>
    <cellStyle name="Followed Hyperlink" xfId="11466" builtinId="9" hidden="1"/>
    <cellStyle name="Followed Hyperlink" xfId="11468" builtinId="9" hidden="1"/>
    <cellStyle name="Followed Hyperlink" xfId="11470" builtinId="9" hidden="1"/>
    <cellStyle name="Followed Hyperlink" xfId="11472" builtinId="9" hidden="1"/>
    <cellStyle name="Followed Hyperlink" xfId="11474" builtinId="9" hidden="1"/>
    <cellStyle name="Followed Hyperlink" xfId="11476" builtinId="9" hidden="1"/>
    <cellStyle name="Followed Hyperlink" xfId="11478" builtinId="9" hidden="1"/>
    <cellStyle name="Followed Hyperlink" xfId="11480" builtinId="9" hidden="1"/>
    <cellStyle name="Followed Hyperlink" xfId="11482" builtinId="9" hidden="1"/>
    <cellStyle name="Followed Hyperlink" xfId="11484" builtinId="9" hidden="1"/>
    <cellStyle name="Followed Hyperlink" xfId="11486" builtinId="9" hidden="1"/>
    <cellStyle name="Followed Hyperlink" xfId="11488" builtinId="9" hidden="1"/>
    <cellStyle name="Followed Hyperlink" xfId="11490" builtinId="9" hidden="1"/>
    <cellStyle name="Followed Hyperlink" xfId="11492" builtinId="9" hidden="1"/>
    <cellStyle name="Followed Hyperlink" xfId="11494" builtinId="9" hidden="1"/>
    <cellStyle name="Followed Hyperlink" xfId="11496" builtinId="9" hidden="1"/>
    <cellStyle name="Followed Hyperlink" xfId="11498" builtinId="9" hidden="1"/>
    <cellStyle name="Followed Hyperlink" xfId="11500" builtinId="9" hidden="1"/>
    <cellStyle name="Followed Hyperlink" xfId="11502" builtinId="9" hidden="1"/>
    <cellStyle name="Followed Hyperlink" xfId="11504" builtinId="9" hidden="1"/>
    <cellStyle name="Followed Hyperlink" xfId="11506" builtinId="9" hidden="1"/>
    <cellStyle name="Followed Hyperlink" xfId="11508" builtinId="9" hidden="1"/>
    <cellStyle name="Followed Hyperlink" xfId="11510" builtinId="9" hidden="1"/>
    <cellStyle name="Followed Hyperlink" xfId="11512" builtinId="9" hidden="1"/>
    <cellStyle name="Followed Hyperlink" xfId="11514" builtinId="9" hidden="1"/>
    <cellStyle name="Followed Hyperlink" xfId="11516" builtinId="9" hidden="1"/>
    <cellStyle name="Followed Hyperlink" xfId="11518" builtinId="9" hidden="1"/>
    <cellStyle name="Followed Hyperlink" xfId="11520" builtinId="9" hidden="1"/>
    <cellStyle name="Followed Hyperlink" xfId="11522" builtinId="9" hidden="1"/>
    <cellStyle name="Followed Hyperlink" xfId="11524" builtinId="9" hidden="1"/>
    <cellStyle name="Followed Hyperlink" xfId="11526" builtinId="9" hidden="1"/>
    <cellStyle name="Followed Hyperlink" xfId="11528" builtinId="9" hidden="1"/>
    <cellStyle name="Followed Hyperlink" xfId="11530" builtinId="9" hidden="1"/>
    <cellStyle name="Followed Hyperlink" xfId="11532" builtinId="9" hidden="1"/>
    <cellStyle name="Followed Hyperlink" xfId="11534" builtinId="9" hidden="1"/>
    <cellStyle name="Followed Hyperlink" xfId="11536" builtinId="9" hidden="1"/>
    <cellStyle name="Followed Hyperlink" xfId="11538" builtinId="9" hidden="1"/>
    <cellStyle name="Followed Hyperlink" xfId="11540" builtinId="9" hidden="1"/>
    <cellStyle name="Followed Hyperlink" xfId="11542" builtinId="9" hidden="1"/>
    <cellStyle name="Followed Hyperlink" xfId="11544" builtinId="9" hidden="1"/>
    <cellStyle name="Followed Hyperlink" xfId="11546" builtinId="9" hidden="1"/>
    <cellStyle name="Followed Hyperlink" xfId="11548" builtinId="9" hidden="1"/>
    <cellStyle name="Followed Hyperlink" xfId="11550" builtinId="9" hidden="1"/>
    <cellStyle name="Followed Hyperlink" xfId="11552" builtinId="9" hidden="1"/>
    <cellStyle name="Followed Hyperlink" xfId="11554" builtinId="9" hidden="1"/>
    <cellStyle name="Followed Hyperlink" xfId="11556" builtinId="9" hidden="1"/>
    <cellStyle name="Followed Hyperlink" xfId="11558" builtinId="9" hidden="1"/>
    <cellStyle name="Followed Hyperlink" xfId="11560" builtinId="9" hidden="1"/>
    <cellStyle name="Followed Hyperlink" xfId="11562" builtinId="9" hidden="1"/>
    <cellStyle name="Followed Hyperlink" xfId="11564" builtinId="9" hidden="1"/>
    <cellStyle name="Followed Hyperlink" xfId="11566" builtinId="9" hidden="1"/>
    <cellStyle name="Followed Hyperlink" xfId="11568" builtinId="9" hidden="1"/>
    <cellStyle name="Followed Hyperlink" xfId="11570" builtinId="9" hidden="1"/>
    <cellStyle name="Followed Hyperlink" xfId="11572" builtinId="9" hidden="1"/>
    <cellStyle name="Followed Hyperlink" xfId="11574" builtinId="9" hidden="1"/>
    <cellStyle name="Followed Hyperlink" xfId="11576" builtinId="9" hidden="1"/>
    <cellStyle name="Followed Hyperlink" xfId="11578" builtinId="9" hidden="1"/>
    <cellStyle name="Followed Hyperlink" xfId="11580" builtinId="9" hidden="1"/>
    <cellStyle name="Followed Hyperlink" xfId="11582" builtinId="9" hidden="1"/>
    <cellStyle name="Followed Hyperlink" xfId="11584" builtinId="9" hidden="1"/>
    <cellStyle name="Followed Hyperlink" xfId="11586" builtinId="9" hidden="1"/>
    <cellStyle name="Followed Hyperlink" xfId="11588" builtinId="9" hidden="1"/>
    <cellStyle name="Followed Hyperlink" xfId="11590" builtinId="9" hidden="1"/>
    <cellStyle name="Followed Hyperlink" xfId="11592" builtinId="9" hidden="1"/>
    <cellStyle name="Followed Hyperlink" xfId="11594" builtinId="9" hidden="1"/>
    <cellStyle name="Followed Hyperlink" xfId="11596" builtinId="9" hidden="1"/>
    <cellStyle name="Followed Hyperlink" xfId="11598" builtinId="9" hidden="1"/>
    <cellStyle name="Followed Hyperlink" xfId="11600" builtinId="9" hidden="1"/>
    <cellStyle name="Followed Hyperlink" xfId="11602" builtinId="9" hidden="1"/>
    <cellStyle name="Followed Hyperlink" xfId="11604" builtinId="9" hidden="1"/>
    <cellStyle name="Followed Hyperlink" xfId="11606" builtinId="9" hidden="1"/>
    <cellStyle name="Followed Hyperlink" xfId="11608" builtinId="9" hidden="1"/>
    <cellStyle name="Followed Hyperlink" xfId="11610" builtinId="9" hidden="1"/>
    <cellStyle name="Followed Hyperlink" xfId="11612" builtinId="9" hidden="1"/>
    <cellStyle name="Followed Hyperlink" xfId="11614" builtinId="9" hidden="1"/>
    <cellStyle name="Followed Hyperlink" xfId="11616" builtinId="9" hidden="1"/>
    <cellStyle name="Followed Hyperlink" xfId="11618" builtinId="9" hidden="1"/>
    <cellStyle name="Followed Hyperlink" xfId="11620" builtinId="9" hidden="1"/>
    <cellStyle name="Followed Hyperlink" xfId="11622" builtinId="9" hidden="1"/>
    <cellStyle name="Followed Hyperlink" xfId="11624" builtinId="9" hidden="1"/>
    <cellStyle name="Followed Hyperlink" xfId="11626" builtinId="9" hidden="1"/>
    <cellStyle name="Followed Hyperlink" xfId="11628" builtinId="9" hidden="1"/>
    <cellStyle name="Followed Hyperlink" xfId="11630" builtinId="9" hidden="1"/>
    <cellStyle name="Followed Hyperlink" xfId="11632" builtinId="9" hidden="1"/>
    <cellStyle name="Followed Hyperlink" xfId="11634" builtinId="9" hidden="1"/>
    <cellStyle name="Followed Hyperlink" xfId="11636" builtinId="9" hidden="1"/>
    <cellStyle name="Followed Hyperlink" xfId="11638" builtinId="9" hidden="1"/>
    <cellStyle name="Followed Hyperlink" xfId="11640" builtinId="9" hidden="1"/>
    <cellStyle name="Followed Hyperlink" xfId="11642" builtinId="9" hidden="1"/>
    <cellStyle name="Followed Hyperlink" xfId="11644" builtinId="9" hidden="1"/>
    <cellStyle name="Followed Hyperlink" xfId="11646" builtinId="9" hidden="1"/>
    <cellStyle name="Followed Hyperlink" xfId="11648" builtinId="9" hidden="1"/>
    <cellStyle name="Followed Hyperlink" xfId="11650" builtinId="9" hidden="1"/>
    <cellStyle name="Followed Hyperlink" xfId="11652" builtinId="9" hidden="1"/>
    <cellStyle name="Followed Hyperlink" xfId="11654" builtinId="9" hidden="1"/>
    <cellStyle name="Followed Hyperlink" xfId="11656" builtinId="9" hidden="1"/>
    <cellStyle name="Followed Hyperlink" xfId="11658" builtinId="9" hidden="1"/>
    <cellStyle name="Followed Hyperlink" xfId="11660" builtinId="9" hidden="1"/>
    <cellStyle name="Followed Hyperlink" xfId="11662" builtinId="9" hidden="1"/>
    <cellStyle name="Followed Hyperlink" xfId="11664" builtinId="9" hidden="1"/>
    <cellStyle name="Followed Hyperlink" xfId="11666" builtinId="9" hidden="1"/>
    <cellStyle name="Followed Hyperlink" xfId="11668" builtinId="9" hidden="1"/>
    <cellStyle name="Followed Hyperlink" xfId="11670" builtinId="9" hidden="1"/>
    <cellStyle name="Followed Hyperlink" xfId="11672" builtinId="9" hidden="1"/>
    <cellStyle name="Followed Hyperlink" xfId="11674" builtinId="9" hidden="1"/>
    <cellStyle name="Followed Hyperlink" xfId="11676" builtinId="9" hidden="1"/>
    <cellStyle name="Followed Hyperlink" xfId="11678" builtinId="9" hidden="1"/>
    <cellStyle name="Followed Hyperlink" xfId="11680" builtinId="9" hidden="1"/>
    <cellStyle name="Followed Hyperlink" xfId="11682" builtinId="9" hidden="1"/>
    <cellStyle name="Followed Hyperlink" xfId="11684" builtinId="9" hidden="1"/>
    <cellStyle name="Followed Hyperlink" xfId="11686" builtinId="9" hidden="1"/>
    <cellStyle name="Followed Hyperlink" xfId="11688" builtinId="9" hidden="1"/>
    <cellStyle name="Followed Hyperlink" xfId="11690" builtinId="9" hidden="1"/>
    <cellStyle name="Followed Hyperlink" xfId="11692" builtinId="9" hidden="1"/>
    <cellStyle name="Followed Hyperlink" xfId="11694" builtinId="9" hidden="1"/>
    <cellStyle name="Followed Hyperlink" xfId="11696" builtinId="9" hidden="1"/>
    <cellStyle name="Followed Hyperlink" xfId="11698" builtinId="9" hidden="1"/>
    <cellStyle name="Followed Hyperlink" xfId="11700" builtinId="9" hidden="1"/>
    <cellStyle name="Followed Hyperlink" xfId="11702" builtinId="9" hidden="1"/>
    <cellStyle name="Followed Hyperlink" xfId="11704" builtinId="9" hidden="1"/>
    <cellStyle name="Followed Hyperlink" xfId="11706" builtinId="9" hidden="1"/>
    <cellStyle name="Followed Hyperlink" xfId="11708" builtinId="9" hidden="1"/>
    <cellStyle name="Followed Hyperlink" xfId="11710" builtinId="9" hidden="1"/>
    <cellStyle name="Followed Hyperlink" xfId="11712" builtinId="9" hidden="1"/>
    <cellStyle name="Followed Hyperlink" xfId="11714" builtinId="9" hidden="1"/>
    <cellStyle name="Followed Hyperlink" xfId="11716" builtinId="9" hidden="1"/>
    <cellStyle name="Followed Hyperlink" xfId="11718" builtinId="9" hidden="1"/>
    <cellStyle name="Followed Hyperlink" xfId="11720" builtinId="9" hidden="1"/>
    <cellStyle name="Followed Hyperlink" xfId="11722" builtinId="9" hidden="1"/>
    <cellStyle name="Followed Hyperlink" xfId="11724" builtinId="9" hidden="1"/>
    <cellStyle name="Followed Hyperlink" xfId="11726" builtinId="9" hidden="1"/>
    <cellStyle name="Followed Hyperlink" xfId="11728" builtinId="9" hidden="1"/>
    <cellStyle name="Followed Hyperlink" xfId="11730" builtinId="9" hidden="1"/>
    <cellStyle name="Followed Hyperlink" xfId="11732" builtinId="9" hidden="1"/>
    <cellStyle name="Followed Hyperlink" xfId="11734" builtinId="9" hidden="1"/>
    <cellStyle name="Followed Hyperlink" xfId="11736" builtinId="9" hidden="1"/>
    <cellStyle name="Followed Hyperlink" xfId="11738" builtinId="9" hidden="1"/>
    <cellStyle name="Followed Hyperlink" xfId="11740" builtinId="9" hidden="1"/>
    <cellStyle name="Followed Hyperlink" xfId="11742" builtinId="9" hidden="1"/>
    <cellStyle name="Followed Hyperlink" xfId="11744" builtinId="9" hidden="1"/>
    <cellStyle name="Followed Hyperlink" xfId="11746" builtinId="9" hidden="1"/>
    <cellStyle name="Followed Hyperlink" xfId="11748" builtinId="9" hidden="1"/>
    <cellStyle name="Followed Hyperlink" xfId="11750" builtinId="9" hidden="1"/>
    <cellStyle name="Followed Hyperlink" xfId="11752" builtinId="9" hidden="1"/>
    <cellStyle name="Followed Hyperlink" xfId="11754" builtinId="9" hidden="1"/>
    <cellStyle name="Followed Hyperlink" xfId="11756" builtinId="9" hidden="1"/>
    <cellStyle name="Followed Hyperlink" xfId="11758" builtinId="9" hidden="1"/>
    <cellStyle name="Followed Hyperlink" xfId="11760" builtinId="9" hidden="1"/>
    <cellStyle name="Followed Hyperlink" xfId="11762" builtinId="9" hidden="1"/>
    <cellStyle name="Followed Hyperlink" xfId="11764" builtinId="9" hidden="1"/>
    <cellStyle name="Followed Hyperlink" xfId="11766" builtinId="9" hidden="1"/>
    <cellStyle name="Followed Hyperlink" xfId="11768" builtinId="9" hidden="1"/>
    <cellStyle name="Followed Hyperlink" xfId="11770" builtinId="9" hidden="1"/>
    <cellStyle name="Followed Hyperlink" xfId="11772" builtinId="9" hidden="1"/>
    <cellStyle name="Followed Hyperlink" xfId="11774" builtinId="9" hidden="1"/>
    <cellStyle name="Followed Hyperlink" xfId="11776" builtinId="9" hidden="1"/>
    <cellStyle name="Followed Hyperlink" xfId="11778" builtinId="9" hidden="1"/>
    <cellStyle name="Followed Hyperlink" xfId="11780" builtinId="9" hidden="1"/>
    <cellStyle name="Followed Hyperlink" xfId="11782" builtinId="9" hidden="1"/>
    <cellStyle name="Followed Hyperlink" xfId="11784" builtinId="9" hidden="1"/>
    <cellStyle name="Followed Hyperlink" xfId="11786" builtinId="9" hidden="1"/>
    <cellStyle name="Followed Hyperlink" xfId="11788" builtinId="9" hidden="1"/>
    <cellStyle name="Followed Hyperlink" xfId="11790" builtinId="9" hidden="1"/>
    <cellStyle name="Followed Hyperlink" xfId="11792" builtinId="9" hidden="1"/>
    <cellStyle name="Followed Hyperlink" xfId="11794" builtinId="9" hidden="1"/>
    <cellStyle name="Followed Hyperlink" xfId="11796" builtinId="9" hidden="1"/>
    <cellStyle name="Followed Hyperlink" xfId="11798" builtinId="9" hidden="1"/>
    <cellStyle name="Followed Hyperlink" xfId="11800" builtinId="9" hidden="1"/>
    <cellStyle name="Followed Hyperlink" xfId="11802" builtinId="9" hidden="1"/>
    <cellStyle name="Followed Hyperlink" xfId="11804" builtinId="9" hidden="1"/>
    <cellStyle name="Followed Hyperlink" xfId="11806" builtinId="9" hidden="1"/>
    <cellStyle name="Followed Hyperlink" xfId="11808" builtinId="9" hidden="1"/>
    <cellStyle name="Followed Hyperlink" xfId="11810" builtinId="9" hidden="1"/>
    <cellStyle name="Followed Hyperlink" xfId="11812" builtinId="9" hidden="1"/>
    <cellStyle name="Followed Hyperlink" xfId="11814" builtinId="9" hidden="1"/>
    <cellStyle name="Followed Hyperlink" xfId="11816" builtinId="9" hidden="1"/>
    <cellStyle name="Followed Hyperlink" xfId="11818" builtinId="9" hidden="1"/>
    <cellStyle name="Followed Hyperlink" xfId="11820" builtinId="9" hidden="1"/>
    <cellStyle name="Followed Hyperlink" xfId="11822" builtinId="9" hidden="1"/>
    <cellStyle name="Followed Hyperlink" xfId="11824" builtinId="9" hidden="1"/>
    <cellStyle name="Followed Hyperlink" xfId="11826" builtinId="9" hidden="1"/>
    <cellStyle name="Followed Hyperlink" xfId="11828" builtinId="9" hidden="1"/>
    <cellStyle name="Followed Hyperlink" xfId="11830" builtinId="9" hidden="1"/>
    <cellStyle name="Followed Hyperlink" xfId="11832" builtinId="9" hidden="1"/>
    <cellStyle name="Followed Hyperlink" xfId="11834" builtinId="9" hidden="1"/>
    <cellStyle name="Followed Hyperlink" xfId="11836" builtinId="9" hidden="1"/>
    <cellStyle name="Followed Hyperlink" xfId="11838" builtinId="9" hidden="1"/>
    <cellStyle name="Followed Hyperlink" xfId="11840" builtinId="9" hidden="1"/>
    <cellStyle name="Followed Hyperlink" xfId="11842" builtinId="9" hidden="1"/>
    <cellStyle name="Followed Hyperlink" xfId="11844" builtinId="9" hidden="1"/>
    <cellStyle name="Followed Hyperlink" xfId="11846" builtinId="9" hidden="1"/>
    <cellStyle name="Followed Hyperlink" xfId="11848" builtinId="9" hidden="1"/>
    <cellStyle name="Followed Hyperlink" xfId="11850" builtinId="9" hidden="1"/>
    <cellStyle name="Followed Hyperlink" xfId="11852" builtinId="9" hidden="1"/>
    <cellStyle name="Followed Hyperlink" xfId="11854" builtinId="9" hidden="1"/>
    <cellStyle name="Followed Hyperlink" xfId="11856" builtinId="9" hidden="1"/>
    <cellStyle name="Followed Hyperlink" xfId="11858" builtinId="9" hidden="1"/>
    <cellStyle name="Followed Hyperlink" xfId="11860" builtinId="9" hidden="1"/>
    <cellStyle name="Followed Hyperlink" xfId="11862" builtinId="9" hidden="1"/>
    <cellStyle name="Followed Hyperlink" xfId="11864" builtinId="9" hidden="1"/>
    <cellStyle name="Followed Hyperlink" xfId="11866" builtinId="9" hidden="1"/>
    <cellStyle name="Followed Hyperlink" xfId="11868" builtinId="9" hidden="1"/>
    <cellStyle name="Followed Hyperlink" xfId="11870" builtinId="9" hidden="1"/>
    <cellStyle name="Followed Hyperlink" xfId="11872" builtinId="9" hidden="1"/>
    <cellStyle name="Followed Hyperlink" xfId="11874" builtinId="9" hidden="1"/>
    <cellStyle name="Followed Hyperlink" xfId="11876" builtinId="9" hidden="1"/>
    <cellStyle name="Followed Hyperlink" xfId="11878" builtinId="9" hidden="1"/>
    <cellStyle name="Followed Hyperlink" xfId="11880" builtinId="9" hidden="1"/>
    <cellStyle name="Followed Hyperlink" xfId="11882" builtinId="9" hidden="1"/>
    <cellStyle name="Followed Hyperlink" xfId="11884" builtinId="9" hidden="1"/>
    <cellStyle name="Followed Hyperlink" xfId="11886" builtinId="9" hidden="1"/>
    <cellStyle name="Followed Hyperlink" xfId="11888" builtinId="9" hidden="1"/>
    <cellStyle name="Followed Hyperlink" xfId="11890" builtinId="9" hidden="1"/>
    <cellStyle name="Followed Hyperlink" xfId="11892" builtinId="9" hidden="1"/>
    <cellStyle name="Followed Hyperlink" xfId="11894" builtinId="9" hidden="1"/>
    <cellStyle name="Followed Hyperlink" xfId="11896" builtinId="9" hidden="1"/>
    <cellStyle name="Followed Hyperlink" xfId="11898" builtinId="9" hidden="1"/>
    <cellStyle name="Followed Hyperlink" xfId="11900" builtinId="9" hidden="1"/>
    <cellStyle name="Followed Hyperlink" xfId="11902" builtinId="9" hidden="1"/>
    <cellStyle name="Followed Hyperlink" xfId="11904" builtinId="9" hidden="1"/>
    <cellStyle name="Followed Hyperlink" xfId="11906" builtinId="9" hidden="1"/>
    <cellStyle name="Followed Hyperlink" xfId="11908" builtinId="9" hidden="1"/>
    <cellStyle name="Followed Hyperlink" xfId="11910" builtinId="9" hidden="1"/>
    <cellStyle name="Followed Hyperlink" xfId="11912" builtinId="9" hidden="1"/>
    <cellStyle name="Followed Hyperlink" xfId="11914" builtinId="9" hidden="1"/>
    <cellStyle name="Followed Hyperlink" xfId="11916" builtinId="9" hidden="1"/>
    <cellStyle name="Followed Hyperlink" xfId="11918" builtinId="9" hidden="1"/>
    <cellStyle name="Followed Hyperlink" xfId="11920" builtinId="9" hidden="1"/>
    <cellStyle name="Followed Hyperlink" xfId="11922" builtinId="9" hidden="1"/>
    <cellStyle name="Followed Hyperlink" xfId="11924" builtinId="9" hidden="1"/>
    <cellStyle name="Followed Hyperlink" xfId="11926" builtinId="9" hidden="1"/>
    <cellStyle name="Followed Hyperlink" xfId="11928" builtinId="9" hidden="1"/>
    <cellStyle name="Followed Hyperlink" xfId="11930" builtinId="9" hidden="1"/>
    <cellStyle name="Followed Hyperlink" xfId="11932" builtinId="9" hidden="1"/>
    <cellStyle name="Followed Hyperlink" xfId="11934" builtinId="9" hidden="1"/>
    <cellStyle name="Followed Hyperlink" xfId="11936" builtinId="9" hidden="1"/>
    <cellStyle name="Followed Hyperlink" xfId="11938" builtinId="9" hidden="1"/>
    <cellStyle name="Followed Hyperlink" xfId="11940" builtinId="9" hidden="1"/>
    <cellStyle name="Followed Hyperlink" xfId="11942" builtinId="9" hidden="1"/>
    <cellStyle name="Followed Hyperlink" xfId="11944" builtinId="9" hidden="1"/>
    <cellStyle name="Followed Hyperlink" xfId="11946" builtinId="9" hidden="1"/>
    <cellStyle name="Followed Hyperlink" xfId="11948" builtinId="9" hidden="1"/>
    <cellStyle name="Followed Hyperlink" xfId="11950" builtinId="9" hidden="1"/>
    <cellStyle name="Followed Hyperlink" xfId="11952" builtinId="9" hidden="1"/>
    <cellStyle name="Followed Hyperlink" xfId="11954" builtinId="9" hidden="1"/>
    <cellStyle name="Followed Hyperlink" xfId="11956" builtinId="9" hidden="1"/>
    <cellStyle name="Followed Hyperlink" xfId="11958" builtinId="9" hidden="1"/>
    <cellStyle name="Followed Hyperlink" xfId="11960" builtinId="9" hidden="1"/>
    <cellStyle name="Followed Hyperlink" xfId="11962" builtinId="9" hidden="1"/>
    <cellStyle name="Followed Hyperlink" xfId="11964" builtinId="9" hidden="1"/>
    <cellStyle name="Followed Hyperlink" xfId="11966" builtinId="9" hidden="1"/>
    <cellStyle name="Followed Hyperlink" xfId="11968" builtinId="9" hidden="1"/>
    <cellStyle name="Followed Hyperlink" xfId="11970" builtinId="9" hidden="1"/>
    <cellStyle name="Followed Hyperlink" xfId="11972" builtinId="9" hidden="1"/>
    <cellStyle name="Followed Hyperlink" xfId="11974" builtinId="9" hidden="1"/>
    <cellStyle name="Followed Hyperlink" xfId="11976" builtinId="9" hidden="1"/>
    <cellStyle name="Followed Hyperlink" xfId="11978" builtinId="9" hidden="1"/>
    <cellStyle name="Followed Hyperlink" xfId="11980" builtinId="9" hidden="1"/>
    <cellStyle name="Followed Hyperlink" xfId="11982" builtinId="9" hidden="1"/>
    <cellStyle name="Followed Hyperlink" xfId="11984" builtinId="9" hidden="1"/>
    <cellStyle name="Followed Hyperlink" xfId="11986" builtinId="9" hidden="1"/>
    <cellStyle name="Followed Hyperlink" xfId="11988" builtinId="9" hidden="1"/>
    <cellStyle name="Followed Hyperlink" xfId="11990" builtinId="9" hidden="1"/>
    <cellStyle name="Followed Hyperlink" xfId="11992" builtinId="9" hidden="1"/>
    <cellStyle name="Followed Hyperlink" xfId="11994" builtinId="9" hidden="1"/>
    <cellStyle name="Followed Hyperlink" xfId="11996" builtinId="9" hidden="1"/>
    <cellStyle name="Followed Hyperlink" xfId="11998" builtinId="9" hidden="1"/>
    <cellStyle name="Followed Hyperlink" xfId="12000" builtinId="9" hidden="1"/>
    <cellStyle name="Followed Hyperlink" xfId="12002" builtinId="9" hidden="1"/>
    <cellStyle name="Followed Hyperlink" xfId="12004" builtinId="9" hidden="1"/>
    <cellStyle name="Followed Hyperlink" xfId="12006" builtinId="9" hidden="1"/>
    <cellStyle name="Followed Hyperlink" xfId="12008" builtinId="9" hidden="1"/>
    <cellStyle name="Followed Hyperlink" xfId="12010" builtinId="9" hidden="1"/>
    <cellStyle name="Followed Hyperlink" xfId="12012" builtinId="9" hidden="1"/>
    <cellStyle name="Followed Hyperlink" xfId="12014" builtinId="9" hidden="1"/>
    <cellStyle name="Followed Hyperlink" xfId="12016" builtinId="9" hidden="1"/>
    <cellStyle name="Followed Hyperlink" xfId="12018" builtinId="9" hidden="1"/>
    <cellStyle name="Followed Hyperlink" xfId="12020" builtinId="9" hidden="1"/>
    <cellStyle name="Followed Hyperlink" xfId="12022" builtinId="9" hidden="1"/>
    <cellStyle name="Followed Hyperlink" xfId="12024" builtinId="9" hidden="1"/>
    <cellStyle name="Followed Hyperlink" xfId="12026" builtinId="9" hidden="1"/>
    <cellStyle name="Followed Hyperlink" xfId="12028" builtinId="9" hidden="1"/>
    <cellStyle name="Followed Hyperlink" xfId="12030" builtinId="9" hidden="1"/>
    <cellStyle name="Followed Hyperlink" xfId="12032" builtinId="9" hidden="1"/>
    <cellStyle name="Followed Hyperlink" xfId="12034" builtinId="9" hidden="1"/>
    <cellStyle name="Followed Hyperlink" xfId="12036" builtinId="9" hidden="1"/>
    <cellStyle name="Followed Hyperlink" xfId="12038" builtinId="9" hidden="1"/>
    <cellStyle name="Followed Hyperlink" xfId="12040" builtinId="9" hidden="1"/>
    <cellStyle name="Followed Hyperlink" xfId="12042" builtinId="9" hidden="1"/>
    <cellStyle name="Followed Hyperlink" xfId="12044" builtinId="9" hidden="1"/>
    <cellStyle name="Followed Hyperlink" xfId="12046" builtinId="9" hidden="1"/>
    <cellStyle name="Followed Hyperlink" xfId="12048" builtinId="9" hidden="1"/>
    <cellStyle name="Followed Hyperlink" xfId="12050" builtinId="9" hidden="1"/>
    <cellStyle name="Followed Hyperlink" xfId="12052" builtinId="9" hidden="1"/>
    <cellStyle name="Followed Hyperlink" xfId="12054" builtinId="9" hidden="1"/>
    <cellStyle name="Followed Hyperlink" xfId="12056" builtinId="9" hidden="1"/>
    <cellStyle name="Followed Hyperlink" xfId="12058" builtinId="9" hidden="1"/>
    <cellStyle name="Followed Hyperlink" xfId="12060" builtinId="9" hidden="1"/>
    <cellStyle name="Followed Hyperlink" xfId="12062" builtinId="9" hidden="1"/>
    <cellStyle name="Followed Hyperlink" xfId="12064" builtinId="9" hidden="1"/>
    <cellStyle name="Followed Hyperlink" xfId="12066" builtinId="9" hidden="1"/>
    <cellStyle name="Followed Hyperlink" xfId="12068" builtinId="9" hidden="1"/>
    <cellStyle name="Followed Hyperlink" xfId="12070" builtinId="9" hidden="1"/>
    <cellStyle name="Followed Hyperlink" xfId="12072" builtinId="9" hidden="1"/>
    <cellStyle name="Followed Hyperlink" xfId="12074" builtinId="9" hidden="1"/>
    <cellStyle name="Followed Hyperlink" xfId="12076" builtinId="9" hidden="1"/>
    <cellStyle name="Followed Hyperlink" xfId="12078" builtinId="9" hidden="1"/>
    <cellStyle name="Followed Hyperlink" xfId="12080" builtinId="9" hidden="1"/>
    <cellStyle name="Followed Hyperlink" xfId="12082" builtinId="9" hidden="1"/>
    <cellStyle name="Followed Hyperlink" xfId="12084" builtinId="9" hidden="1"/>
    <cellStyle name="Followed Hyperlink" xfId="12086" builtinId="9" hidden="1"/>
    <cellStyle name="Followed Hyperlink" xfId="12088" builtinId="9" hidden="1"/>
    <cellStyle name="Followed Hyperlink" xfId="12090" builtinId="9" hidden="1"/>
    <cellStyle name="Followed Hyperlink" xfId="12092" builtinId="9" hidden="1"/>
    <cellStyle name="Followed Hyperlink" xfId="12094" builtinId="9" hidden="1"/>
    <cellStyle name="Followed Hyperlink" xfId="12096" builtinId="9" hidden="1"/>
    <cellStyle name="Followed Hyperlink" xfId="12098" builtinId="9" hidden="1"/>
    <cellStyle name="Followed Hyperlink" xfId="12100" builtinId="9" hidden="1"/>
    <cellStyle name="Followed Hyperlink" xfId="12102" builtinId="9" hidden="1"/>
    <cellStyle name="Followed Hyperlink" xfId="12104" builtinId="9" hidden="1"/>
    <cellStyle name="Followed Hyperlink" xfId="12106" builtinId="9" hidden="1"/>
    <cellStyle name="Followed Hyperlink" xfId="12108" builtinId="9" hidden="1"/>
    <cellStyle name="Followed Hyperlink" xfId="12110" builtinId="9" hidden="1"/>
    <cellStyle name="Followed Hyperlink" xfId="12112" builtinId="9" hidden="1"/>
    <cellStyle name="Followed Hyperlink" xfId="12114" builtinId="9" hidden="1"/>
    <cellStyle name="Followed Hyperlink" xfId="12116" builtinId="9" hidden="1"/>
    <cellStyle name="Followed Hyperlink" xfId="12118" builtinId="9" hidden="1"/>
    <cellStyle name="Followed Hyperlink" xfId="12120" builtinId="9" hidden="1"/>
    <cellStyle name="Followed Hyperlink" xfId="12122" builtinId="9" hidden="1"/>
    <cellStyle name="Followed Hyperlink" xfId="12124" builtinId="9" hidden="1"/>
    <cellStyle name="Followed Hyperlink" xfId="12126" builtinId="9" hidden="1"/>
    <cellStyle name="Followed Hyperlink" xfId="12128" builtinId="9" hidden="1"/>
    <cellStyle name="Followed Hyperlink" xfId="12130" builtinId="9" hidden="1"/>
    <cellStyle name="Followed Hyperlink" xfId="12132" builtinId="9" hidden="1"/>
    <cellStyle name="Followed Hyperlink" xfId="12134" builtinId="9" hidden="1"/>
    <cellStyle name="Followed Hyperlink" xfId="12136" builtinId="9" hidden="1"/>
    <cellStyle name="Followed Hyperlink" xfId="12138" builtinId="9" hidden="1"/>
    <cellStyle name="Followed Hyperlink" xfId="12140" builtinId="9" hidden="1"/>
    <cellStyle name="Followed Hyperlink" xfId="12142" builtinId="9" hidden="1"/>
    <cellStyle name="Followed Hyperlink" xfId="12144" builtinId="9" hidden="1"/>
    <cellStyle name="Followed Hyperlink" xfId="12146" builtinId="9" hidden="1"/>
    <cellStyle name="Followed Hyperlink" xfId="12148" builtinId="9" hidden="1"/>
    <cellStyle name="Followed Hyperlink" xfId="12150" builtinId="9" hidden="1"/>
    <cellStyle name="Followed Hyperlink" xfId="12152" builtinId="9" hidden="1"/>
    <cellStyle name="Followed Hyperlink" xfId="12154" builtinId="9" hidden="1"/>
    <cellStyle name="Followed Hyperlink" xfId="12156" builtinId="9" hidden="1"/>
    <cellStyle name="Followed Hyperlink" xfId="12158" builtinId="9" hidden="1"/>
    <cellStyle name="Followed Hyperlink" xfId="12160" builtinId="9" hidden="1"/>
    <cellStyle name="Followed Hyperlink" xfId="12162" builtinId="9" hidden="1"/>
    <cellStyle name="Followed Hyperlink" xfId="12164" builtinId="9" hidden="1"/>
    <cellStyle name="Followed Hyperlink" xfId="12166" builtinId="9" hidden="1"/>
    <cellStyle name="Followed Hyperlink" xfId="12168" builtinId="9" hidden="1"/>
    <cellStyle name="Followed Hyperlink" xfId="12170" builtinId="9" hidden="1"/>
    <cellStyle name="Followed Hyperlink" xfId="12172" builtinId="9" hidden="1"/>
    <cellStyle name="Followed Hyperlink" xfId="12174" builtinId="9" hidden="1"/>
    <cellStyle name="Followed Hyperlink" xfId="12176" builtinId="9" hidden="1"/>
    <cellStyle name="Followed Hyperlink" xfId="12178" builtinId="9" hidden="1"/>
    <cellStyle name="Followed Hyperlink" xfId="12180" builtinId="9" hidden="1"/>
    <cellStyle name="Followed Hyperlink" xfId="12182" builtinId="9" hidden="1"/>
    <cellStyle name="Followed Hyperlink" xfId="12184" builtinId="9" hidden="1"/>
    <cellStyle name="Followed Hyperlink" xfId="12186" builtinId="9" hidden="1"/>
    <cellStyle name="Followed Hyperlink" xfId="12188" builtinId="9" hidden="1"/>
    <cellStyle name="Followed Hyperlink" xfId="12190" builtinId="9" hidden="1"/>
    <cellStyle name="Followed Hyperlink" xfId="12192" builtinId="9" hidden="1"/>
    <cellStyle name="Followed Hyperlink" xfId="12194" builtinId="9" hidden="1"/>
    <cellStyle name="Followed Hyperlink" xfId="12196" builtinId="9" hidden="1"/>
    <cellStyle name="Followed Hyperlink" xfId="12198" builtinId="9" hidden="1"/>
    <cellStyle name="Followed Hyperlink" xfId="12200" builtinId="9" hidden="1"/>
    <cellStyle name="Followed Hyperlink" xfId="12202" builtinId="9" hidden="1"/>
    <cellStyle name="Followed Hyperlink" xfId="12204" builtinId="9" hidden="1"/>
    <cellStyle name="Followed Hyperlink" xfId="12206" builtinId="9" hidden="1"/>
    <cellStyle name="Followed Hyperlink" xfId="12208" builtinId="9" hidden="1"/>
    <cellStyle name="Followed Hyperlink" xfId="12210" builtinId="9" hidden="1"/>
    <cellStyle name="Followed Hyperlink" xfId="12212" builtinId="9" hidden="1"/>
    <cellStyle name="Followed Hyperlink" xfId="12214" builtinId="9" hidden="1"/>
    <cellStyle name="Followed Hyperlink" xfId="12216" builtinId="9" hidden="1"/>
    <cellStyle name="Followed Hyperlink" xfId="12218" builtinId="9" hidden="1"/>
    <cellStyle name="Followed Hyperlink" xfId="12220" builtinId="9" hidden="1"/>
    <cellStyle name="Followed Hyperlink" xfId="12222" builtinId="9" hidden="1"/>
    <cellStyle name="Followed Hyperlink" xfId="12224" builtinId="9" hidden="1"/>
    <cellStyle name="Followed Hyperlink" xfId="12226" builtinId="9" hidden="1"/>
    <cellStyle name="Followed Hyperlink" xfId="12228" builtinId="9" hidden="1"/>
    <cellStyle name="Followed Hyperlink" xfId="12230" builtinId="9" hidden="1"/>
    <cellStyle name="Followed Hyperlink" xfId="12232" builtinId="9" hidden="1"/>
    <cellStyle name="Followed Hyperlink" xfId="12234" builtinId="9" hidden="1"/>
    <cellStyle name="Followed Hyperlink" xfId="12236" builtinId="9" hidden="1"/>
    <cellStyle name="Followed Hyperlink" xfId="12238" builtinId="9" hidden="1"/>
    <cellStyle name="Followed Hyperlink" xfId="12240" builtinId="9" hidden="1"/>
    <cellStyle name="Followed Hyperlink" xfId="12242" builtinId="9" hidden="1"/>
    <cellStyle name="Followed Hyperlink" xfId="12244" builtinId="9" hidden="1"/>
    <cellStyle name="Followed Hyperlink" xfId="12246" builtinId="9" hidden="1"/>
    <cellStyle name="Followed Hyperlink" xfId="12248" builtinId="9" hidden="1"/>
    <cellStyle name="Followed Hyperlink" xfId="12250" builtinId="9" hidden="1"/>
    <cellStyle name="Followed Hyperlink" xfId="12252" builtinId="9" hidden="1"/>
    <cellStyle name="Followed Hyperlink" xfId="12254" builtinId="9" hidden="1"/>
    <cellStyle name="Followed Hyperlink" xfId="12256" builtinId="9" hidden="1"/>
    <cellStyle name="Followed Hyperlink" xfId="12258" builtinId="9" hidden="1"/>
    <cellStyle name="Followed Hyperlink" xfId="12260" builtinId="9" hidden="1"/>
    <cellStyle name="Followed Hyperlink" xfId="12262" builtinId="9" hidden="1"/>
    <cellStyle name="Followed Hyperlink" xfId="12264" builtinId="9" hidden="1"/>
    <cellStyle name="Followed Hyperlink" xfId="12266" builtinId="9" hidden="1"/>
    <cellStyle name="Followed Hyperlink" xfId="12268" builtinId="9" hidden="1"/>
    <cellStyle name="Followed Hyperlink" xfId="12270" builtinId="9" hidden="1"/>
    <cellStyle name="Followed Hyperlink" xfId="12272" builtinId="9" hidden="1"/>
    <cellStyle name="Followed Hyperlink" xfId="12274" builtinId="9" hidden="1"/>
    <cellStyle name="Followed Hyperlink" xfId="12276" builtinId="9" hidden="1"/>
    <cellStyle name="Followed Hyperlink" xfId="12278" builtinId="9" hidden="1"/>
    <cellStyle name="Followed Hyperlink" xfId="12280" builtinId="9" hidden="1"/>
    <cellStyle name="Followed Hyperlink" xfId="12282" builtinId="9" hidden="1"/>
    <cellStyle name="Followed Hyperlink" xfId="12284" builtinId="9" hidden="1"/>
    <cellStyle name="Followed Hyperlink" xfId="12286" builtinId="9" hidden="1"/>
    <cellStyle name="Followed Hyperlink" xfId="12288" builtinId="9" hidden="1"/>
    <cellStyle name="Followed Hyperlink" xfId="12290" builtinId="9" hidden="1"/>
    <cellStyle name="Followed Hyperlink" xfId="12292" builtinId="9" hidden="1"/>
    <cellStyle name="Followed Hyperlink" xfId="12294" builtinId="9" hidden="1"/>
    <cellStyle name="Followed Hyperlink" xfId="12296" builtinId="9" hidden="1"/>
    <cellStyle name="Followed Hyperlink" xfId="12298" builtinId="9" hidden="1"/>
    <cellStyle name="Followed Hyperlink" xfId="12300" builtinId="9" hidden="1"/>
    <cellStyle name="Followed Hyperlink" xfId="12302" builtinId="9" hidden="1"/>
    <cellStyle name="Followed Hyperlink" xfId="12304" builtinId="9" hidden="1"/>
    <cellStyle name="Followed Hyperlink" xfId="12306" builtinId="9" hidden="1"/>
    <cellStyle name="Followed Hyperlink" xfId="12308" builtinId="9" hidden="1"/>
    <cellStyle name="Followed Hyperlink" xfId="12310" builtinId="9" hidden="1"/>
    <cellStyle name="Followed Hyperlink" xfId="12312" builtinId="9" hidden="1"/>
    <cellStyle name="Followed Hyperlink" xfId="12314" builtinId="9" hidden="1"/>
    <cellStyle name="Followed Hyperlink" xfId="12316" builtinId="9" hidden="1"/>
    <cellStyle name="Followed Hyperlink" xfId="12318" builtinId="9" hidden="1"/>
    <cellStyle name="Followed Hyperlink" xfId="12320" builtinId="9" hidden="1"/>
    <cellStyle name="Followed Hyperlink" xfId="12322" builtinId="9" hidden="1"/>
    <cellStyle name="Followed Hyperlink" xfId="12324" builtinId="9" hidden="1"/>
    <cellStyle name="Followed Hyperlink" xfId="12326" builtinId="9" hidden="1"/>
    <cellStyle name="Followed Hyperlink" xfId="12328" builtinId="9" hidden="1"/>
    <cellStyle name="Followed Hyperlink" xfId="12330" builtinId="9" hidden="1"/>
    <cellStyle name="Followed Hyperlink" xfId="12332" builtinId="9" hidden="1"/>
    <cellStyle name="Followed Hyperlink" xfId="12334" builtinId="9" hidden="1"/>
    <cellStyle name="Followed Hyperlink" xfId="12336" builtinId="9" hidden="1"/>
    <cellStyle name="Followed Hyperlink" xfId="12338" builtinId="9" hidden="1"/>
    <cellStyle name="Followed Hyperlink" xfId="12340" builtinId="9" hidden="1"/>
    <cellStyle name="Followed Hyperlink" xfId="12342" builtinId="9" hidden="1"/>
    <cellStyle name="Followed Hyperlink" xfId="12344" builtinId="9" hidden="1"/>
    <cellStyle name="Followed Hyperlink" xfId="12346" builtinId="9" hidden="1"/>
    <cellStyle name="Followed Hyperlink" xfId="12348" builtinId="9" hidden="1"/>
    <cellStyle name="Followed Hyperlink" xfId="12350" builtinId="9" hidden="1"/>
    <cellStyle name="Followed Hyperlink" xfId="12352" builtinId="9" hidden="1"/>
    <cellStyle name="Followed Hyperlink" xfId="12354" builtinId="9" hidden="1"/>
    <cellStyle name="Followed Hyperlink" xfId="12356" builtinId="9" hidden="1"/>
    <cellStyle name="Followed Hyperlink" xfId="12358" builtinId="9" hidden="1"/>
    <cellStyle name="Followed Hyperlink" xfId="12360" builtinId="9" hidden="1"/>
    <cellStyle name="Followed Hyperlink" xfId="12362" builtinId="9" hidden="1"/>
    <cellStyle name="Followed Hyperlink" xfId="12364" builtinId="9" hidden="1"/>
    <cellStyle name="Followed Hyperlink" xfId="12366" builtinId="9" hidden="1"/>
    <cellStyle name="Followed Hyperlink" xfId="12368" builtinId="9" hidden="1"/>
    <cellStyle name="Followed Hyperlink" xfId="12370" builtinId="9" hidden="1"/>
    <cellStyle name="Followed Hyperlink" xfId="12372" builtinId="9" hidden="1"/>
    <cellStyle name="Followed Hyperlink" xfId="12374" builtinId="9" hidden="1"/>
    <cellStyle name="Followed Hyperlink" xfId="12376" builtinId="9" hidden="1"/>
    <cellStyle name="Followed Hyperlink" xfId="12378" builtinId="9" hidden="1"/>
    <cellStyle name="Followed Hyperlink" xfId="12380" builtinId="9" hidden="1"/>
    <cellStyle name="Followed Hyperlink" xfId="12382" builtinId="9" hidden="1"/>
    <cellStyle name="Followed Hyperlink" xfId="12384" builtinId="9" hidden="1"/>
    <cellStyle name="Followed Hyperlink" xfId="12386" builtinId="9" hidden="1"/>
    <cellStyle name="Followed Hyperlink" xfId="12388" builtinId="9" hidden="1"/>
    <cellStyle name="Followed Hyperlink" xfId="12390" builtinId="9" hidden="1"/>
    <cellStyle name="Followed Hyperlink" xfId="12392" builtinId="9" hidden="1"/>
    <cellStyle name="Followed Hyperlink" xfId="12394" builtinId="9" hidden="1"/>
    <cellStyle name="Followed Hyperlink" xfId="12396" builtinId="9" hidden="1"/>
    <cellStyle name="Followed Hyperlink" xfId="12398" builtinId="9" hidden="1"/>
    <cellStyle name="Followed Hyperlink" xfId="12400" builtinId="9" hidden="1"/>
    <cellStyle name="Followed Hyperlink" xfId="12402" builtinId="9" hidden="1"/>
    <cellStyle name="Followed Hyperlink" xfId="12404" builtinId="9" hidden="1"/>
    <cellStyle name="Followed Hyperlink" xfId="12406" builtinId="9" hidden="1"/>
    <cellStyle name="Followed Hyperlink" xfId="12408" builtinId="9" hidden="1"/>
    <cellStyle name="Followed Hyperlink" xfId="12410" builtinId="9" hidden="1"/>
    <cellStyle name="Followed Hyperlink" xfId="12412" builtinId="9" hidden="1"/>
    <cellStyle name="Followed Hyperlink" xfId="12414" builtinId="9" hidden="1"/>
    <cellStyle name="Followed Hyperlink" xfId="12416" builtinId="9" hidden="1"/>
    <cellStyle name="Followed Hyperlink" xfId="12418" builtinId="9" hidden="1"/>
    <cellStyle name="Followed Hyperlink" xfId="12420" builtinId="9" hidden="1"/>
    <cellStyle name="Followed Hyperlink" xfId="12422" builtinId="9" hidden="1"/>
    <cellStyle name="Followed Hyperlink" xfId="12424" builtinId="9" hidden="1"/>
    <cellStyle name="Followed Hyperlink" xfId="12426" builtinId="9" hidden="1"/>
    <cellStyle name="Followed Hyperlink" xfId="12428" builtinId="9" hidden="1"/>
    <cellStyle name="Followed Hyperlink" xfId="12430" builtinId="9" hidden="1"/>
    <cellStyle name="Followed Hyperlink" xfId="12432" builtinId="9" hidden="1"/>
    <cellStyle name="Followed Hyperlink" xfId="12434" builtinId="9" hidden="1"/>
    <cellStyle name="Followed Hyperlink" xfId="12436" builtinId="9" hidden="1"/>
    <cellStyle name="Followed Hyperlink" xfId="12438" builtinId="9" hidden="1"/>
    <cellStyle name="Followed Hyperlink" xfId="12440" builtinId="9" hidden="1"/>
    <cellStyle name="Followed Hyperlink" xfId="12442" builtinId="9" hidden="1"/>
    <cellStyle name="Followed Hyperlink" xfId="12444" builtinId="9" hidden="1"/>
    <cellStyle name="Followed Hyperlink" xfId="12446" builtinId="9" hidden="1"/>
    <cellStyle name="Followed Hyperlink" xfId="12448" builtinId="9" hidden="1"/>
    <cellStyle name="Followed Hyperlink" xfId="12450" builtinId="9" hidden="1"/>
    <cellStyle name="Followed Hyperlink" xfId="12452" builtinId="9" hidden="1"/>
    <cellStyle name="Followed Hyperlink" xfId="12454" builtinId="9" hidden="1"/>
    <cellStyle name="Followed Hyperlink" xfId="12456" builtinId="9" hidden="1"/>
    <cellStyle name="Followed Hyperlink" xfId="12458" builtinId="9" hidden="1"/>
    <cellStyle name="Followed Hyperlink" xfId="12460" builtinId="9" hidden="1"/>
    <cellStyle name="Followed Hyperlink" xfId="12462" builtinId="9" hidden="1"/>
    <cellStyle name="Followed Hyperlink" xfId="12464" builtinId="9" hidden="1"/>
    <cellStyle name="Followed Hyperlink" xfId="12466" builtinId="9" hidden="1"/>
    <cellStyle name="Followed Hyperlink" xfId="12468" builtinId="9" hidden="1"/>
    <cellStyle name="Followed Hyperlink" xfId="12470" builtinId="9" hidden="1"/>
    <cellStyle name="Followed Hyperlink" xfId="12472" builtinId="9" hidden="1"/>
    <cellStyle name="Followed Hyperlink" xfId="12474" builtinId="9" hidden="1"/>
    <cellStyle name="Followed Hyperlink" xfId="12476" builtinId="9" hidden="1"/>
    <cellStyle name="Followed Hyperlink" xfId="12478" builtinId="9" hidden="1"/>
    <cellStyle name="Followed Hyperlink" xfId="12480" builtinId="9" hidden="1"/>
    <cellStyle name="Followed Hyperlink" xfId="12482" builtinId="9" hidden="1"/>
    <cellStyle name="Followed Hyperlink" xfId="12484" builtinId="9" hidden="1"/>
    <cellStyle name="Followed Hyperlink" xfId="12486" builtinId="9" hidden="1"/>
    <cellStyle name="Followed Hyperlink" xfId="12488" builtinId="9" hidden="1"/>
    <cellStyle name="Followed Hyperlink" xfId="12490" builtinId="9" hidden="1"/>
    <cellStyle name="Followed Hyperlink" xfId="12492" builtinId="9" hidden="1"/>
    <cellStyle name="Followed Hyperlink" xfId="12494" builtinId="9" hidden="1"/>
    <cellStyle name="Followed Hyperlink" xfId="12496" builtinId="9" hidden="1"/>
    <cellStyle name="Followed Hyperlink" xfId="12498" builtinId="9" hidden="1"/>
    <cellStyle name="Followed Hyperlink" xfId="12500" builtinId="9" hidden="1"/>
    <cellStyle name="Followed Hyperlink" xfId="12502" builtinId="9" hidden="1"/>
    <cellStyle name="Followed Hyperlink" xfId="12504" builtinId="9" hidden="1"/>
    <cellStyle name="Followed Hyperlink" xfId="12506" builtinId="9" hidden="1"/>
    <cellStyle name="Followed Hyperlink" xfId="12508" builtinId="9" hidden="1"/>
    <cellStyle name="Followed Hyperlink" xfId="12510" builtinId="9" hidden="1"/>
    <cellStyle name="Followed Hyperlink" xfId="12512" builtinId="9" hidden="1"/>
    <cellStyle name="Followed Hyperlink" xfId="12514" builtinId="9" hidden="1"/>
    <cellStyle name="Followed Hyperlink" xfId="12516" builtinId="9" hidden="1"/>
    <cellStyle name="Followed Hyperlink" xfId="12518" builtinId="9" hidden="1"/>
    <cellStyle name="Followed Hyperlink" xfId="12520" builtinId="9" hidden="1"/>
    <cellStyle name="Followed Hyperlink" xfId="12522" builtinId="9" hidden="1"/>
    <cellStyle name="Followed Hyperlink" xfId="12524" builtinId="9" hidden="1"/>
    <cellStyle name="Followed Hyperlink" xfId="12526" builtinId="9" hidden="1"/>
    <cellStyle name="Followed Hyperlink" xfId="12528" builtinId="9" hidden="1"/>
    <cellStyle name="Followed Hyperlink" xfId="12530" builtinId="9" hidden="1"/>
    <cellStyle name="Followed Hyperlink" xfId="12532" builtinId="9" hidden="1"/>
    <cellStyle name="Followed Hyperlink" xfId="12534" builtinId="9" hidden="1"/>
    <cellStyle name="Followed Hyperlink" xfId="12536" builtinId="9" hidden="1"/>
    <cellStyle name="Followed Hyperlink" xfId="12538" builtinId="9" hidden="1"/>
    <cellStyle name="Followed Hyperlink" xfId="12540" builtinId="9" hidden="1"/>
    <cellStyle name="Followed Hyperlink" xfId="12542" builtinId="9" hidden="1"/>
    <cellStyle name="Followed Hyperlink" xfId="12544" builtinId="9" hidden="1"/>
    <cellStyle name="Followed Hyperlink" xfId="12546" builtinId="9" hidden="1"/>
    <cellStyle name="Followed Hyperlink" xfId="12548" builtinId="9" hidden="1"/>
    <cellStyle name="Followed Hyperlink" xfId="12550" builtinId="9" hidden="1"/>
    <cellStyle name="Followed Hyperlink" xfId="12552" builtinId="9" hidden="1"/>
    <cellStyle name="Followed Hyperlink" xfId="12554" builtinId="9" hidden="1"/>
    <cellStyle name="Followed Hyperlink" xfId="12556" builtinId="9" hidden="1"/>
    <cellStyle name="Followed Hyperlink" xfId="12558" builtinId="9" hidden="1"/>
    <cellStyle name="Followed Hyperlink" xfId="12560" builtinId="9" hidden="1"/>
    <cellStyle name="Followed Hyperlink" xfId="12562" builtinId="9" hidden="1"/>
    <cellStyle name="Followed Hyperlink" xfId="12564" builtinId="9" hidden="1"/>
    <cellStyle name="Followed Hyperlink" xfId="12566" builtinId="9" hidden="1"/>
    <cellStyle name="Followed Hyperlink" xfId="12568" builtinId="9" hidden="1"/>
    <cellStyle name="Followed Hyperlink" xfId="12570" builtinId="9" hidden="1"/>
    <cellStyle name="Followed Hyperlink" xfId="12572" builtinId="9" hidden="1"/>
    <cellStyle name="Followed Hyperlink" xfId="12574" builtinId="9" hidden="1"/>
    <cellStyle name="Followed Hyperlink" xfId="12576" builtinId="9" hidden="1"/>
    <cellStyle name="Followed Hyperlink" xfId="12578" builtinId="9" hidden="1"/>
    <cellStyle name="Followed Hyperlink" xfId="12580" builtinId="9" hidden="1"/>
    <cellStyle name="Followed Hyperlink" xfId="12582" builtinId="9" hidden="1"/>
    <cellStyle name="Followed Hyperlink" xfId="12584" builtinId="9" hidden="1"/>
    <cellStyle name="Followed Hyperlink" xfId="12586" builtinId="9" hidden="1"/>
    <cellStyle name="Followed Hyperlink" xfId="12588" builtinId="9" hidden="1"/>
    <cellStyle name="Followed Hyperlink" xfId="12590" builtinId="9" hidden="1"/>
    <cellStyle name="Followed Hyperlink" xfId="12592" builtinId="9" hidden="1"/>
    <cellStyle name="Followed Hyperlink" xfId="12594" builtinId="9" hidden="1"/>
    <cellStyle name="Followed Hyperlink" xfId="12596" builtinId="9" hidden="1"/>
    <cellStyle name="Followed Hyperlink" xfId="12598" builtinId="9" hidden="1"/>
    <cellStyle name="Followed Hyperlink" xfId="12600" builtinId="9" hidden="1"/>
    <cellStyle name="Followed Hyperlink" xfId="12602" builtinId="9" hidden="1"/>
    <cellStyle name="Followed Hyperlink" xfId="12604" builtinId="9" hidden="1"/>
    <cellStyle name="Followed Hyperlink" xfId="12606" builtinId="9" hidden="1"/>
    <cellStyle name="Followed Hyperlink" xfId="12608" builtinId="9" hidden="1"/>
    <cellStyle name="Followed Hyperlink" xfId="12610" builtinId="9" hidden="1"/>
    <cellStyle name="Followed Hyperlink" xfId="12612" builtinId="9" hidden="1"/>
    <cellStyle name="Followed Hyperlink" xfId="12614" builtinId="9" hidden="1"/>
    <cellStyle name="Followed Hyperlink" xfId="12616" builtinId="9" hidden="1"/>
    <cellStyle name="Followed Hyperlink" xfId="12618" builtinId="9" hidden="1"/>
    <cellStyle name="Followed Hyperlink" xfId="12620" builtinId="9" hidden="1"/>
    <cellStyle name="Followed Hyperlink" xfId="12622" builtinId="9" hidden="1"/>
    <cellStyle name="Followed Hyperlink" xfId="12624" builtinId="9" hidden="1"/>
    <cellStyle name="Followed Hyperlink" xfId="12626" builtinId="9" hidden="1"/>
    <cellStyle name="Followed Hyperlink" xfId="12628" builtinId="9" hidden="1"/>
    <cellStyle name="Followed Hyperlink" xfId="12630" builtinId="9" hidden="1"/>
    <cellStyle name="Followed Hyperlink" xfId="12632" builtinId="9" hidden="1"/>
    <cellStyle name="Followed Hyperlink" xfId="12634" builtinId="9" hidden="1"/>
    <cellStyle name="Followed Hyperlink" xfId="12636" builtinId="9" hidden="1"/>
    <cellStyle name="Followed Hyperlink" xfId="12638" builtinId="9" hidden="1"/>
    <cellStyle name="Followed Hyperlink" xfId="12640" builtinId="9" hidden="1"/>
    <cellStyle name="Followed Hyperlink" xfId="12642" builtinId="9" hidden="1"/>
    <cellStyle name="Followed Hyperlink" xfId="12644" builtinId="9" hidden="1"/>
    <cellStyle name="Followed Hyperlink" xfId="12646" builtinId="9" hidden="1"/>
    <cellStyle name="Followed Hyperlink" xfId="12648" builtinId="9" hidden="1"/>
    <cellStyle name="Followed Hyperlink" xfId="12650" builtinId="9" hidden="1"/>
    <cellStyle name="Followed Hyperlink" xfId="12652" builtinId="9" hidden="1"/>
    <cellStyle name="Followed Hyperlink" xfId="12654" builtinId="9" hidden="1"/>
    <cellStyle name="Followed Hyperlink" xfId="12656" builtinId="9" hidden="1"/>
    <cellStyle name="Followed Hyperlink" xfId="12658" builtinId="9" hidden="1"/>
    <cellStyle name="Followed Hyperlink" xfId="12660" builtinId="9" hidden="1"/>
    <cellStyle name="Followed Hyperlink" xfId="12662" builtinId="9" hidden="1"/>
    <cellStyle name="Followed Hyperlink" xfId="12664" builtinId="9" hidden="1"/>
    <cellStyle name="Followed Hyperlink" xfId="12666" builtinId="9" hidden="1"/>
    <cellStyle name="Followed Hyperlink" xfId="12668" builtinId="9" hidden="1"/>
    <cellStyle name="Followed Hyperlink" xfId="12670" builtinId="9" hidden="1"/>
    <cellStyle name="Followed Hyperlink" xfId="12672" builtinId="9" hidden="1"/>
    <cellStyle name="Followed Hyperlink" xfId="12674" builtinId="9" hidden="1"/>
    <cellStyle name="Followed Hyperlink" xfId="12676" builtinId="9" hidden="1"/>
    <cellStyle name="Followed Hyperlink" xfId="12678" builtinId="9" hidden="1"/>
    <cellStyle name="Followed Hyperlink" xfId="12680" builtinId="9" hidden="1"/>
    <cellStyle name="Followed Hyperlink" xfId="12682" builtinId="9" hidden="1"/>
    <cellStyle name="Followed Hyperlink" xfId="12684" builtinId="9" hidden="1"/>
    <cellStyle name="Followed Hyperlink" xfId="12686" builtinId="9" hidden="1"/>
    <cellStyle name="Followed Hyperlink" xfId="12688" builtinId="9" hidden="1"/>
    <cellStyle name="Followed Hyperlink" xfId="12690" builtinId="9" hidden="1"/>
    <cellStyle name="Followed Hyperlink" xfId="12692" builtinId="9" hidden="1"/>
    <cellStyle name="Followed Hyperlink" xfId="12694" builtinId="9" hidden="1"/>
    <cellStyle name="Followed Hyperlink" xfId="12696" builtinId="9" hidden="1"/>
    <cellStyle name="Followed Hyperlink" xfId="12698" builtinId="9" hidden="1"/>
    <cellStyle name="Followed Hyperlink" xfId="12700" builtinId="9" hidden="1"/>
    <cellStyle name="Followed Hyperlink" xfId="12702" builtinId="9" hidden="1"/>
    <cellStyle name="Followed Hyperlink" xfId="12704" builtinId="9" hidden="1"/>
    <cellStyle name="Followed Hyperlink" xfId="12706" builtinId="9" hidden="1"/>
    <cellStyle name="Followed Hyperlink" xfId="12708" builtinId="9" hidden="1"/>
    <cellStyle name="Followed Hyperlink" xfId="12710" builtinId="9" hidden="1"/>
    <cellStyle name="Followed Hyperlink" xfId="12712" builtinId="9" hidden="1"/>
    <cellStyle name="Followed Hyperlink" xfId="12714" builtinId="9" hidden="1"/>
    <cellStyle name="Followed Hyperlink" xfId="12716" builtinId="9" hidden="1"/>
    <cellStyle name="Followed Hyperlink" xfId="12718" builtinId="9" hidden="1"/>
    <cellStyle name="Followed Hyperlink" xfId="12720" builtinId="9" hidden="1"/>
    <cellStyle name="Followed Hyperlink" xfId="12722" builtinId="9" hidden="1"/>
    <cellStyle name="Followed Hyperlink" xfId="12724" builtinId="9" hidden="1"/>
    <cellStyle name="Followed Hyperlink" xfId="12726" builtinId="9" hidden="1"/>
    <cellStyle name="Followed Hyperlink" xfId="12728" builtinId="9" hidden="1"/>
    <cellStyle name="Followed Hyperlink" xfId="12730" builtinId="9" hidden="1"/>
    <cellStyle name="Followed Hyperlink" xfId="12732" builtinId="9" hidden="1"/>
    <cellStyle name="Followed Hyperlink" xfId="12734" builtinId="9" hidden="1"/>
    <cellStyle name="Followed Hyperlink" xfId="12736" builtinId="9" hidden="1"/>
    <cellStyle name="Followed Hyperlink" xfId="12738" builtinId="9" hidden="1"/>
    <cellStyle name="Followed Hyperlink" xfId="12740" builtinId="9" hidden="1"/>
    <cellStyle name="Followed Hyperlink" xfId="12742" builtinId="9" hidden="1"/>
    <cellStyle name="Followed Hyperlink" xfId="12744" builtinId="9" hidden="1"/>
    <cellStyle name="Followed Hyperlink" xfId="12746" builtinId="9" hidden="1"/>
    <cellStyle name="Followed Hyperlink" xfId="12748" builtinId="9" hidden="1"/>
    <cellStyle name="Followed Hyperlink" xfId="12750" builtinId="9" hidden="1"/>
    <cellStyle name="Followed Hyperlink" xfId="12752" builtinId="9" hidden="1"/>
    <cellStyle name="Followed Hyperlink" xfId="12754" builtinId="9" hidden="1"/>
    <cellStyle name="Followed Hyperlink" xfId="12756" builtinId="9" hidden="1"/>
    <cellStyle name="Followed Hyperlink" xfId="12758" builtinId="9" hidden="1"/>
    <cellStyle name="Followed Hyperlink" xfId="12760" builtinId="9" hidden="1"/>
    <cellStyle name="Followed Hyperlink" xfId="12762" builtinId="9" hidden="1"/>
    <cellStyle name="Followed Hyperlink" xfId="12764" builtinId="9" hidden="1"/>
    <cellStyle name="Followed Hyperlink" xfId="12766" builtinId="9" hidden="1"/>
    <cellStyle name="Followed Hyperlink" xfId="12768" builtinId="9" hidden="1"/>
    <cellStyle name="Followed Hyperlink" xfId="12770" builtinId="9" hidden="1"/>
    <cellStyle name="Followed Hyperlink" xfId="12772" builtinId="9" hidden="1"/>
    <cellStyle name="Followed Hyperlink" xfId="12774" builtinId="9" hidden="1"/>
    <cellStyle name="Followed Hyperlink" xfId="12776" builtinId="9" hidden="1"/>
    <cellStyle name="Followed Hyperlink" xfId="12778" builtinId="9" hidden="1"/>
    <cellStyle name="Followed Hyperlink" xfId="12780" builtinId="9" hidden="1"/>
    <cellStyle name="Followed Hyperlink" xfId="12782" builtinId="9" hidden="1"/>
    <cellStyle name="Followed Hyperlink" xfId="12784" builtinId="9" hidden="1"/>
    <cellStyle name="Followed Hyperlink" xfId="12786" builtinId="9" hidden="1"/>
    <cellStyle name="Followed Hyperlink" xfId="12788" builtinId="9" hidden="1"/>
    <cellStyle name="Followed Hyperlink" xfId="12790" builtinId="9" hidden="1"/>
    <cellStyle name="Followed Hyperlink" xfId="12792" builtinId="9" hidden="1"/>
    <cellStyle name="Followed Hyperlink" xfId="12794" builtinId="9" hidden="1"/>
    <cellStyle name="Followed Hyperlink" xfId="12796" builtinId="9" hidden="1"/>
    <cellStyle name="Followed Hyperlink" xfId="12798" builtinId="9" hidden="1"/>
    <cellStyle name="Followed Hyperlink" xfId="12800" builtinId="9" hidden="1"/>
    <cellStyle name="Followed Hyperlink" xfId="12802" builtinId="9" hidden="1"/>
    <cellStyle name="Followed Hyperlink" xfId="12804" builtinId="9" hidden="1"/>
    <cellStyle name="Followed Hyperlink" xfId="12806" builtinId="9" hidden="1"/>
    <cellStyle name="Followed Hyperlink" xfId="12808" builtinId="9" hidden="1"/>
    <cellStyle name="Followed Hyperlink" xfId="12810" builtinId="9" hidden="1"/>
    <cellStyle name="Followed Hyperlink" xfId="12812" builtinId="9" hidden="1"/>
    <cellStyle name="Followed Hyperlink" xfId="12814" builtinId="9" hidden="1"/>
    <cellStyle name="Followed Hyperlink" xfId="12816" builtinId="9" hidden="1"/>
    <cellStyle name="Followed Hyperlink" xfId="12818" builtinId="9" hidden="1"/>
    <cellStyle name="Followed Hyperlink" xfId="12820" builtinId="9" hidden="1"/>
    <cellStyle name="Followed Hyperlink" xfId="12822" builtinId="9" hidden="1"/>
    <cellStyle name="Followed Hyperlink" xfId="12824" builtinId="9" hidden="1"/>
    <cellStyle name="Followed Hyperlink" xfId="12826" builtinId="9" hidden="1"/>
    <cellStyle name="Followed Hyperlink" xfId="12828" builtinId="9" hidden="1"/>
    <cellStyle name="Followed Hyperlink" xfId="12830" builtinId="9" hidden="1"/>
    <cellStyle name="Followed Hyperlink" xfId="12832" builtinId="9" hidden="1"/>
    <cellStyle name="Followed Hyperlink" xfId="12834" builtinId="9" hidden="1"/>
    <cellStyle name="Followed Hyperlink" xfId="12836" builtinId="9" hidden="1"/>
    <cellStyle name="Followed Hyperlink" xfId="12838" builtinId="9" hidden="1"/>
    <cellStyle name="Followed Hyperlink" xfId="12840" builtinId="9" hidden="1"/>
    <cellStyle name="Followed Hyperlink" xfId="12842" builtinId="9" hidden="1"/>
    <cellStyle name="Followed Hyperlink" xfId="12844" builtinId="9" hidden="1"/>
    <cellStyle name="Followed Hyperlink" xfId="12846" builtinId="9" hidden="1"/>
    <cellStyle name="Followed Hyperlink" xfId="12848" builtinId="9" hidden="1"/>
    <cellStyle name="Followed Hyperlink" xfId="12850" builtinId="9" hidden="1"/>
    <cellStyle name="Followed Hyperlink" xfId="12852" builtinId="9" hidden="1"/>
    <cellStyle name="Followed Hyperlink" xfId="12854" builtinId="9" hidden="1"/>
    <cellStyle name="Followed Hyperlink" xfId="12856" builtinId="9" hidden="1"/>
    <cellStyle name="Followed Hyperlink" xfId="12858" builtinId="9" hidden="1"/>
    <cellStyle name="Followed Hyperlink" xfId="12860" builtinId="9" hidden="1"/>
    <cellStyle name="Followed Hyperlink" xfId="12862" builtinId="9" hidden="1"/>
    <cellStyle name="Followed Hyperlink" xfId="12864" builtinId="9" hidden="1"/>
    <cellStyle name="Followed Hyperlink" xfId="12866" builtinId="9" hidden="1"/>
    <cellStyle name="Followed Hyperlink" xfId="12868" builtinId="9" hidden="1"/>
    <cellStyle name="Followed Hyperlink" xfId="12870" builtinId="9" hidden="1"/>
    <cellStyle name="Followed Hyperlink" xfId="12872" builtinId="9" hidden="1"/>
    <cellStyle name="Followed Hyperlink" xfId="12874" builtinId="9" hidden="1"/>
    <cellStyle name="Followed Hyperlink" xfId="12876" builtinId="9" hidden="1"/>
    <cellStyle name="Followed Hyperlink" xfId="12878" builtinId="9" hidden="1"/>
    <cellStyle name="Followed Hyperlink" xfId="12880" builtinId="9" hidden="1"/>
    <cellStyle name="Followed Hyperlink" xfId="12882" builtinId="9" hidden="1"/>
    <cellStyle name="Followed Hyperlink" xfId="12884" builtinId="9" hidden="1"/>
    <cellStyle name="Followed Hyperlink" xfId="12886" builtinId="9" hidden="1"/>
    <cellStyle name="Followed Hyperlink" xfId="12888" builtinId="9" hidden="1"/>
    <cellStyle name="Followed Hyperlink" xfId="12890" builtinId="9" hidden="1"/>
    <cellStyle name="Followed Hyperlink" xfId="12892" builtinId="9" hidden="1"/>
    <cellStyle name="Followed Hyperlink" xfId="12894" builtinId="9" hidden="1"/>
    <cellStyle name="Followed Hyperlink" xfId="12896" builtinId="9" hidden="1"/>
    <cellStyle name="Followed Hyperlink" xfId="12898" builtinId="9" hidden="1"/>
    <cellStyle name="Followed Hyperlink" xfId="12900" builtinId="9" hidden="1"/>
    <cellStyle name="Followed Hyperlink" xfId="12902" builtinId="9" hidden="1"/>
    <cellStyle name="Followed Hyperlink" xfId="12904" builtinId="9" hidden="1"/>
    <cellStyle name="Followed Hyperlink" xfId="12906" builtinId="9" hidden="1"/>
    <cellStyle name="Followed Hyperlink" xfId="12908" builtinId="9" hidden="1"/>
    <cellStyle name="Followed Hyperlink" xfId="12910" builtinId="9" hidden="1"/>
    <cellStyle name="Followed Hyperlink" xfId="12912" builtinId="9" hidden="1"/>
    <cellStyle name="Followed Hyperlink" xfId="12914" builtinId="9" hidden="1"/>
    <cellStyle name="Followed Hyperlink" xfId="12916" builtinId="9" hidden="1"/>
    <cellStyle name="Followed Hyperlink" xfId="12918" builtinId="9" hidden="1"/>
    <cellStyle name="Followed Hyperlink" xfId="12920" builtinId="9" hidden="1"/>
    <cellStyle name="Followed Hyperlink" xfId="12922" builtinId="9" hidden="1"/>
    <cellStyle name="Followed Hyperlink" xfId="12924" builtinId="9" hidden="1"/>
    <cellStyle name="Followed Hyperlink" xfId="12926" builtinId="9" hidden="1"/>
    <cellStyle name="Followed Hyperlink" xfId="12928" builtinId="9" hidden="1"/>
    <cellStyle name="Followed Hyperlink" xfId="12930" builtinId="9" hidden="1"/>
    <cellStyle name="Followed Hyperlink" xfId="12932" builtinId="9" hidden="1"/>
    <cellStyle name="Followed Hyperlink" xfId="12934" builtinId="9" hidden="1"/>
    <cellStyle name="Followed Hyperlink" xfId="12936" builtinId="9" hidden="1"/>
    <cellStyle name="Followed Hyperlink" xfId="12938" builtinId="9" hidden="1"/>
    <cellStyle name="Followed Hyperlink" xfId="12940" builtinId="9" hidden="1"/>
    <cellStyle name="Followed Hyperlink" xfId="12942" builtinId="9" hidden="1"/>
    <cellStyle name="Followed Hyperlink" xfId="12944" builtinId="9" hidden="1"/>
    <cellStyle name="Followed Hyperlink" xfId="12946" builtinId="9" hidden="1"/>
    <cellStyle name="Followed Hyperlink" xfId="12948" builtinId="9" hidden="1"/>
    <cellStyle name="Followed Hyperlink" xfId="12950" builtinId="9" hidden="1"/>
    <cellStyle name="Followed Hyperlink" xfId="12952" builtinId="9" hidden="1"/>
    <cellStyle name="Followed Hyperlink" xfId="12954" builtinId="9" hidden="1"/>
    <cellStyle name="Followed Hyperlink" xfId="12956" builtinId="9" hidden="1"/>
    <cellStyle name="Followed Hyperlink" xfId="12958" builtinId="9" hidden="1"/>
    <cellStyle name="Followed Hyperlink" xfId="12960" builtinId="9" hidden="1"/>
    <cellStyle name="Followed Hyperlink" xfId="12962" builtinId="9" hidden="1"/>
    <cellStyle name="Followed Hyperlink" xfId="12964" builtinId="9" hidden="1"/>
    <cellStyle name="Followed Hyperlink" xfId="12966" builtinId="9" hidden="1"/>
    <cellStyle name="Followed Hyperlink" xfId="12968" builtinId="9" hidden="1"/>
    <cellStyle name="Followed Hyperlink" xfId="12970" builtinId="9" hidden="1"/>
    <cellStyle name="Followed Hyperlink" xfId="12972" builtinId="9" hidden="1"/>
    <cellStyle name="Followed Hyperlink" xfId="12974" builtinId="9" hidden="1"/>
    <cellStyle name="Followed Hyperlink" xfId="12976" builtinId="9" hidden="1"/>
    <cellStyle name="Followed Hyperlink" xfId="12978" builtinId="9" hidden="1"/>
    <cellStyle name="Followed Hyperlink" xfId="12980" builtinId="9" hidden="1"/>
    <cellStyle name="Followed Hyperlink" xfId="12982" builtinId="9" hidden="1"/>
    <cellStyle name="Followed Hyperlink" xfId="12984" builtinId="9" hidden="1"/>
    <cellStyle name="Followed Hyperlink" xfId="12986" builtinId="9" hidden="1"/>
    <cellStyle name="Followed Hyperlink" xfId="12988" builtinId="9" hidden="1"/>
    <cellStyle name="Followed Hyperlink" xfId="12990" builtinId="9" hidden="1"/>
    <cellStyle name="Followed Hyperlink" xfId="12992" builtinId="9" hidden="1"/>
    <cellStyle name="Followed Hyperlink" xfId="12994" builtinId="9" hidden="1"/>
    <cellStyle name="Followed Hyperlink" xfId="12996" builtinId="9" hidden="1"/>
    <cellStyle name="Followed Hyperlink" xfId="12998" builtinId="9" hidden="1"/>
    <cellStyle name="Followed Hyperlink" xfId="13000" builtinId="9" hidden="1"/>
    <cellStyle name="Followed Hyperlink" xfId="13002" builtinId="9" hidden="1"/>
    <cellStyle name="Followed Hyperlink" xfId="13004" builtinId="9" hidden="1"/>
    <cellStyle name="Followed Hyperlink" xfId="13006" builtinId="9" hidden="1"/>
    <cellStyle name="Followed Hyperlink" xfId="13008" builtinId="9" hidden="1"/>
    <cellStyle name="Followed Hyperlink" xfId="13010" builtinId="9" hidden="1"/>
    <cellStyle name="Followed Hyperlink" xfId="13012" builtinId="9" hidden="1"/>
    <cellStyle name="Followed Hyperlink" xfId="13014" builtinId="9" hidden="1"/>
    <cellStyle name="Followed Hyperlink" xfId="13016" builtinId="9" hidden="1"/>
    <cellStyle name="Followed Hyperlink" xfId="13018" builtinId="9" hidden="1"/>
    <cellStyle name="Followed Hyperlink" xfId="13020" builtinId="9" hidden="1"/>
    <cellStyle name="Followed Hyperlink" xfId="13022" builtinId="9" hidden="1"/>
    <cellStyle name="Followed Hyperlink" xfId="13024" builtinId="9" hidden="1"/>
    <cellStyle name="Followed Hyperlink" xfId="13026" builtinId="9" hidden="1"/>
    <cellStyle name="Followed Hyperlink" xfId="13028" builtinId="9" hidden="1"/>
    <cellStyle name="Followed Hyperlink" xfId="13030" builtinId="9" hidden="1"/>
    <cellStyle name="Followed Hyperlink" xfId="13032" builtinId="9" hidden="1"/>
    <cellStyle name="Followed Hyperlink" xfId="13034" builtinId="9" hidden="1"/>
    <cellStyle name="Followed Hyperlink" xfId="13036" builtinId="9" hidden="1"/>
    <cellStyle name="Followed Hyperlink" xfId="13038" builtinId="9" hidden="1"/>
    <cellStyle name="Followed Hyperlink" xfId="13040" builtinId="9" hidden="1"/>
    <cellStyle name="Followed Hyperlink" xfId="13042" builtinId="9" hidden="1"/>
    <cellStyle name="Followed Hyperlink" xfId="13044" builtinId="9" hidden="1"/>
    <cellStyle name="Followed Hyperlink" xfId="13046" builtinId="9" hidden="1"/>
    <cellStyle name="Followed Hyperlink" xfId="13048" builtinId="9" hidden="1"/>
    <cellStyle name="Followed Hyperlink" xfId="13050" builtinId="9" hidden="1"/>
    <cellStyle name="Followed Hyperlink" xfId="13052" builtinId="9" hidden="1"/>
    <cellStyle name="Followed Hyperlink" xfId="13054" builtinId="9" hidden="1"/>
    <cellStyle name="Followed Hyperlink" xfId="13056" builtinId="9" hidden="1"/>
    <cellStyle name="Followed Hyperlink" xfId="13058" builtinId="9" hidden="1"/>
    <cellStyle name="Followed Hyperlink" xfId="13060" builtinId="9" hidden="1"/>
    <cellStyle name="Followed Hyperlink" xfId="13062" builtinId="9" hidden="1"/>
    <cellStyle name="Followed Hyperlink" xfId="13064" builtinId="9" hidden="1"/>
    <cellStyle name="Followed Hyperlink" xfId="13066" builtinId="9" hidden="1"/>
    <cellStyle name="Followed Hyperlink" xfId="13068" builtinId="9" hidden="1"/>
    <cellStyle name="Followed Hyperlink" xfId="13070" builtinId="9" hidden="1"/>
    <cellStyle name="Followed Hyperlink" xfId="13072" builtinId="9" hidden="1"/>
    <cellStyle name="Followed Hyperlink" xfId="13074" builtinId="9" hidden="1"/>
    <cellStyle name="Followed Hyperlink" xfId="13076" builtinId="9" hidden="1"/>
    <cellStyle name="Followed Hyperlink" xfId="13078" builtinId="9" hidden="1"/>
    <cellStyle name="Followed Hyperlink" xfId="13080" builtinId="9" hidden="1"/>
    <cellStyle name="Followed Hyperlink" xfId="13082" builtinId="9" hidden="1"/>
    <cellStyle name="Followed Hyperlink" xfId="13084" builtinId="9" hidden="1"/>
    <cellStyle name="Followed Hyperlink" xfId="13086" builtinId="9" hidden="1"/>
    <cellStyle name="Followed Hyperlink" xfId="13088" builtinId="9" hidden="1"/>
    <cellStyle name="Followed Hyperlink" xfId="13090" builtinId="9" hidden="1"/>
    <cellStyle name="Followed Hyperlink" xfId="13092" builtinId="9" hidden="1"/>
    <cellStyle name="Followed Hyperlink" xfId="13094" builtinId="9" hidden="1"/>
    <cellStyle name="Followed Hyperlink" xfId="13096" builtinId="9" hidden="1"/>
    <cellStyle name="Followed Hyperlink" xfId="13098" builtinId="9" hidden="1"/>
    <cellStyle name="Followed Hyperlink" xfId="13100" builtinId="9" hidden="1"/>
    <cellStyle name="Followed Hyperlink" xfId="13102" builtinId="9" hidden="1"/>
    <cellStyle name="Followed Hyperlink" xfId="13104" builtinId="9" hidden="1"/>
    <cellStyle name="Followed Hyperlink" xfId="13106" builtinId="9" hidden="1"/>
    <cellStyle name="Followed Hyperlink" xfId="13108" builtinId="9" hidden="1"/>
    <cellStyle name="Followed Hyperlink" xfId="13110" builtinId="9" hidden="1"/>
    <cellStyle name="Followed Hyperlink" xfId="13112" builtinId="9" hidden="1"/>
    <cellStyle name="Followed Hyperlink" xfId="13114" builtinId="9" hidden="1"/>
    <cellStyle name="Followed Hyperlink" xfId="13116" builtinId="9" hidden="1"/>
    <cellStyle name="Followed Hyperlink" xfId="13118" builtinId="9" hidden="1"/>
    <cellStyle name="Followed Hyperlink" xfId="13120" builtinId="9" hidden="1"/>
    <cellStyle name="Followed Hyperlink" xfId="13122" builtinId="9" hidden="1"/>
    <cellStyle name="Followed Hyperlink" xfId="13124" builtinId="9" hidden="1"/>
    <cellStyle name="Followed Hyperlink" xfId="13126" builtinId="9" hidden="1"/>
    <cellStyle name="Followed Hyperlink" xfId="13128" builtinId="9" hidden="1"/>
    <cellStyle name="Followed Hyperlink" xfId="13130" builtinId="9" hidden="1"/>
    <cellStyle name="Followed Hyperlink" xfId="13132" builtinId="9" hidden="1"/>
    <cellStyle name="Followed Hyperlink" xfId="13134" builtinId="9" hidden="1"/>
    <cellStyle name="Followed Hyperlink" xfId="13136" builtinId="9" hidden="1"/>
    <cellStyle name="Followed Hyperlink" xfId="13138" builtinId="9" hidden="1"/>
    <cellStyle name="Followed Hyperlink" xfId="13140" builtinId="9" hidden="1"/>
    <cellStyle name="Followed Hyperlink" xfId="13142" builtinId="9" hidden="1"/>
    <cellStyle name="Followed Hyperlink" xfId="13144" builtinId="9" hidden="1"/>
    <cellStyle name="Followed Hyperlink" xfId="13146" builtinId="9" hidden="1"/>
    <cellStyle name="Followed Hyperlink" xfId="13148" builtinId="9" hidden="1"/>
    <cellStyle name="Followed Hyperlink" xfId="13150" builtinId="9" hidden="1"/>
    <cellStyle name="Followed Hyperlink" xfId="13152" builtinId="9" hidden="1"/>
    <cellStyle name="Followed Hyperlink" xfId="13154" builtinId="9" hidden="1"/>
    <cellStyle name="Followed Hyperlink" xfId="13156" builtinId="9" hidden="1"/>
    <cellStyle name="Followed Hyperlink" xfId="13158" builtinId="9" hidden="1"/>
    <cellStyle name="Followed Hyperlink" xfId="13160" builtinId="9" hidden="1"/>
    <cellStyle name="Followed Hyperlink" xfId="13162" builtinId="9" hidden="1"/>
    <cellStyle name="Followed Hyperlink" xfId="13164" builtinId="9" hidden="1"/>
    <cellStyle name="Followed Hyperlink" xfId="13166" builtinId="9" hidden="1"/>
    <cellStyle name="Followed Hyperlink" xfId="13168" builtinId="9" hidden="1"/>
    <cellStyle name="Followed Hyperlink" xfId="13170" builtinId="9" hidden="1"/>
    <cellStyle name="Followed Hyperlink" xfId="13172" builtinId="9" hidden="1"/>
    <cellStyle name="Followed Hyperlink" xfId="13174" builtinId="9" hidden="1"/>
    <cellStyle name="Followed Hyperlink" xfId="13176" builtinId="9" hidden="1"/>
    <cellStyle name="Followed Hyperlink" xfId="13178" builtinId="9" hidden="1"/>
    <cellStyle name="Followed Hyperlink" xfId="13180" builtinId="9" hidden="1"/>
    <cellStyle name="Followed Hyperlink" xfId="13182" builtinId="9" hidden="1"/>
    <cellStyle name="Followed Hyperlink" xfId="13184" builtinId="9" hidden="1"/>
    <cellStyle name="Followed Hyperlink" xfId="13186" builtinId="9" hidden="1"/>
    <cellStyle name="Followed Hyperlink" xfId="13188" builtinId="9" hidden="1"/>
    <cellStyle name="Followed Hyperlink" xfId="13190" builtinId="9" hidden="1"/>
    <cellStyle name="Followed Hyperlink" xfId="13192" builtinId="9" hidden="1"/>
    <cellStyle name="Followed Hyperlink" xfId="13194" builtinId="9" hidden="1"/>
    <cellStyle name="Followed Hyperlink" xfId="13196" builtinId="9" hidden="1"/>
    <cellStyle name="Followed Hyperlink" xfId="13198" builtinId="9" hidden="1"/>
    <cellStyle name="Followed Hyperlink" xfId="13200" builtinId="9" hidden="1"/>
    <cellStyle name="Followed Hyperlink" xfId="13202" builtinId="9" hidden="1"/>
    <cellStyle name="Followed Hyperlink" xfId="13204" builtinId="9" hidden="1"/>
    <cellStyle name="Followed Hyperlink" xfId="13206" builtinId="9" hidden="1"/>
    <cellStyle name="Followed Hyperlink" xfId="13208" builtinId="9" hidden="1"/>
    <cellStyle name="Followed Hyperlink" xfId="13210" builtinId="9" hidden="1"/>
    <cellStyle name="Followed Hyperlink" xfId="13212" builtinId="9" hidden="1"/>
    <cellStyle name="Followed Hyperlink" xfId="13214" builtinId="9" hidden="1"/>
    <cellStyle name="Followed Hyperlink" xfId="13216" builtinId="9" hidden="1"/>
    <cellStyle name="Followed Hyperlink" xfId="13218" builtinId="9" hidden="1"/>
    <cellStyle name="Followed Hyperlink" xfId="13220" builtinId="9" hidden="1"/>
    <cellStyle name="Followed Hyperlink" xfId="13222" builtinId="9" hidden="1"/>
    <cellStyle name="Followed Hyperlink" xfId="13224" builtinId="9" hidden="1"/>
    <cellStyle name="Followed Hyperlink" xfId="13226" builtinId="9" hidden="1"/>
    <cellStyle name="Followed Hyperlink" xfId="13228" builtinId="9" hidden="1"/>
    <cellStyle name="Followed Hyperlink" xfId="13230" builtinId="9" hidden="1"/>
    <cellStyle name="Followed Hyperlink" xfId="13232" builtinId="9" hidden="1"/>
    <cellStyle name="Followed Hyperlink" xfId="13234" builtinId="9" hidden="1"/>
    <cellStyle name="Followed Hyperlink" xfId="13236" builtinId="9" hidden="1"/>
    <cellStyle name="Followed Hyperlink" xfId="13238" builtinId="9" hidden="1"/>
    <cellStyle name="Followed Hyperlink" xfId="13240" builtinId="9" hidden="1"/>
    <cellStyle name="Followed Hyperlink" xfId="13242" builtinId="9" hidden="1"/>
    <cellStyle name="Followed Hyperlink" xfId="13244" builtinId="9" hidden="1"/>
    <cellStyle name="Followed Hyperlink" xfId="13246" builtinId="9" hidden="1"/>
    <cellStyle name="Followed Hyperlink" xfId="13248" builtinId="9" hidden="1"/>
    <cellStyle name="Followed Hyperlink" xfId="13250" builtinId="9" hidden="1"/>
    <cellStyle name="Followed Hyperlink" xfId="13252" builtinId="9" hidden="1"/>
    <cellStyle name="Followed Hyperlink" xfId="13254" builtinId="9" hidden="1"/>
    <cellStyle name="Followed Hyperlink" xfId="13256" builtinId="9" hidden="1"/>
    <cellStyle name="Followed Hyperlink" xfId="13258" builtinId="9" hidden="1"/>
    <cellStyle name="Followed Hyperlink" xfId="13260" builtinId="9" hidden="1"/>
    <cellStyle name="Followed Hyperlink" xfId="13262" builtinId="9" hidden="1"/>
    <cellStyle name="Followed Hyperlink" xfId="13264" builtinId="9" hidden="1"/>
    <cellStyle name="Followed Hyperlink" xfId="13266" builtinId="9" hidden="1"/>
    <cellStyle name="Followed Hyperlink" xfId="13268" builtinId="9" hidden="1"/>
    <cellStyle name="Followed Hyperlink" xfId="13270" builtinId="9" hidden="1"/>
    <cellStyle name="Followed Hyperlink" xfId="13272" builtinId="9" hidden="1"/>
    <cellStyle name="Followed Hyperlink" xfId="13274" builtinId="9" hidden="1"/>
    <cellStyle name="Followed Hyperlink" xfId="13276" builtinId="9" hidden="1"/>
    <cellStyle name="Followed Hyperlink" xfId="13278" builtinId="9" hidden="1"/>
    <cellStyle name="Followed Hyperlink" xfId="13280" builtinId="9" hidden="1"/>
    <cellStyle name="Followed Hyperlink" xfId="13282" builtinId="9" hidden="1"/>
    <cellStyle name="Followed Hyperlink" xfId="13284" builtinId="9" hidden="1"/>
    <cellStyle name="Followed Hyperlink" xfId="13286" builtinId="9" hidden="1"/>
    <cellStyle name="Followed Hyperlink" xfId="13288" builtinId="9" hidden="1"/>
    <cellStyle name="Followed Hyperlink" xfId="13290" builtinId="9" hidden="1"/>
    <cellStyle name="Followed Hyperlink" xfId="13292" builtinId="9" hidden="1"/>
    <cellStyle name="Followed Hyperlink" xfId="13294" builtinId="9" hidden="1"/>
    <cellStyle name="Followed Hyperlink" xfId="13296" builtinId="9" hidden="1"/>
    <cellStyle name="Followed Hyperlink" xfId="13298" builtinId="9" hidden="1"/>
    <cellStyle name="Followed Hyperlink" xfId="13300" builtinId="9" hidden="1"/>
    <cellStyle name="Followed Hyperlink" xfId="13302" builtinId="9" hidden="1"/>
    <cellStyle name="Followed Hyperlink" xfId="13304" builtinId="9" hidden="1"/>
    <cellStyle name="Followed Hyperlink" xfId="13306" builtinId="9" hidden="1"/>
    <cellStyle name="Followed Hyperlink" xfId="13308" builtinId="9" hidden="1"/>
    <cellStyle name="Followed Hyperlink" xfId="13310" builtinId="9" hidden="1"/>
    <cellStyle name="Followed Hyperlink" xfId="13312" builtinId="9" hidden="1"/>
    <cellStyle name="Followed Hyperlink" xfId="13314" builtinId="9" hidden="1"/>
    <cellStyle name="Followed Hyperlink" xfId="13316" builtinId="9" hidden="1"/>
    <cellStyle name="Followed Hyperlink" xfId="13318" builtinId="9" hidden="1"/>
    <cellStyle name="Followed Hyperlink" xfId="13320" builtinId="9" hidden="1"/>
    <cellStyle name="Followed Hyperlink" xfId="13322" builtinId="9" hidden="1"/>
    <cellStyle name="Followed Hyperlink" xfId="13324" builtinId="9" hidden="1"/>
    <cellStyle name="Followed Hyperlink" xfId="13326" builtinId="9" hidden="1"/>
    <cellStyle name="Followed Hyperlink" xfId="13328" builtinId="9" hidden="1"/>
    <cellStyle name="Followed Hyperlink" xfId="13330" builtinId="9" hidden="1"/>
    <cellStyle name="Followed Hyperlink" xfId="13332" builtinId="9" hidden="1"/>
    <cellStyle name="Followed Hyperlink" xfId="13334" builtinId="9" hidden="1"/>
    <cellStyle name="Followed Hyperlink" xfId="13336" builtinId="9" hidden="1"/>
    <cellStyle name="Followed Hyperlink" xfId="13338" builtinId="9" hidden="1"/>
    <cellStyle name="Followed Hyperlink" xfId="13340" builtinId="9" hidden="1"/>
    <cellStyle name="Followed Hyperlink" xfId="13342" builtinId="9" hidden="1"/>
    <cellStyle name="Followed Hyperlink" xfId="13344" builtinId="9" hidden="1"/>
    <cellStyle name="Followed Hyperlink" xfId="13346" builtinId="9" hidden="1"/>
    <cellStyle name="Followed Hyperlink" xfId="13348" builtinId="9" hidden="1"/>
    <cellStyle name="Followed Hyperlink" xfId="13350" builtinId="9" hidden="1"/>
    <cellStyle name="Followed Hyperlink" xfId="13352" builtinId="9" hidden="1"/>
    <cellStyle name="Followed Hyperlink" xfId="13354" builtinId="9" hidden="1"/>
    <cellStyle name="Followed Hyperlink" xfId="13356" builtinId="9" hidden="1"/>
    <cellStyle name="Followed Hyperlink" xfId="13358" builtinId="9" hidden="1"/>
    <cellStyle name="Followed Hyperlink" xfId="13360" builtinId="9" hidden="1"/>
    <cellStyle name="Followed Hyperlink" xfId="13362" builtinId="9" hidden="1"/>
    <cellStyle name="Followed Hyperlink" xfId="13364" builtinId="9" hidden="1"/>
    <cellStyle name="Followed Hyperlink" xfId="13366" builtinId="9" hidden="1"/>
    <cellStyle name="Followed Hyperlink" xfId="13368" builtinId="9" hidden="1"/>
    <cellStyle name="Followed Hyperlink" xfId="13370" builtinId="9" hidden="1"/>
    <cellStyle name="Followed Hyperlink" xfId="13372" builtinId="9" hidden="1"/>
    <cellStyle name="Followed Hyperlink" xfId="13374" builtinId="9" hidden="1"/>
    <cellStyle name="Followed Hyperlink" xfId="13376" builtinId="9" hidden="1"/>
    <cellStyle name="Followed Hyperlink" xfId="13378" builtinId="9" hidden="1"/>
    <cellStyle name="Followed Hyperlink" xfId="13380" builtinId="9" hidden="1"/>
    <cellStyle name="Followed Hyperlink" xfId="13382" builtinId="9" hidden="1"/>
    <cellStyle name="Followed Hyperlink" xfId="13384" builtinId="9" hidden="1"/>
    <cellStyle name="Followed Hyperlink" xfId="13386" builtinId="9" hidden="1"/>
    <cellStyle name="Followed Hyperlink" xfId="13388" builtinId="9" hidden="1"/>
    <cellStyle name="Followed Hyperlink" xfId="13390" builtinId="9" hidden="1"/>
    <cellStyle name="Followed Hyperlink" xfId="13392" builtinId="9" hidden="1"/>
    <cellStyle name="Followed Hyperlink" xfId="13394" builtinId="9" hidden="1"/>
    <cellStyle name="Followed Hyperlink" xfId="13396" builtinId="9" hidden="1"/>
    <cellStyle name="Followed Hyperlink" xfId="13398" builtinId="9" hidden="1"/>
    <cellStyle name="Followed Hyperlink" xfId="13400" builtinId="9" hidden="1"/>
    <cellStyle name="Followed Hyperlink" xfId="13402" builtinId="9" hidden="1"/>
    <cellStyle name="Followed Hyperlink" xfId="13404" builtinId="9" hidden="1"/>
    <cellStyle name="Followed Hyperlink" xfId="13406" builtinId="9" hidden="1"/>
    <cellStyle name="Followed Hyperlink" xfId="13408" builtinId="9" hidden="1"/>
    <cellStyle name="Followed Hyperlink" xfId="13410" builtinId="9" hidden="1"/>
    <cellStyle name="Followed Hyperlink" xfId="13412" builtinId="9" hidden="1"/>
    <cellStyle name="Followed Hyperlink" xfId="13414" builtinId="9" hidden="1"/>
    <cellStyle name="Followed Hyperlink" xfId="13416" builtinId="9" hidden="1"/>
    <cellStyle name="Followed Hyperlink" xfId="13418" builtinId="9" hidden="1"/>
    <cellStyle name="Followed Hyperlink" xfId="13420" builtinId="9" hidden="1"/>
    <cellStyle name="Followed Hyperlink" xfId="13422" builtinId="9" hidden="1"/>
    <cellStyle name="Followed Hyperlink" xfId="13424" builtinId="9" hidden="1"/>
    <cellStyle name="Followed Hyperlink" xfId="13426" builtinId="9" hidden="1"/>
    <cellStyle name="Followed Hyperlink" xfId="13428" builtinId="9" hidden="1"/>
    <cellStyle name="Followed Hyperlink" xfId="13430" builtinId="9" hidden="1"/>
    <cellStyle name="Followed Hyperlink" xfId="13432" builtinId="9" hidden="1"/>
    <cellStyle name="Followed Hyperlink" xfId="13434" builtinId="9" hidden="1"/>
    <cellStyle name="Followed Hyperlink" xfId="13436" builtinId="9" hidden="1"/>
    <cellStyle name="Followed Hyperlink" xfId="13438" builtinId="9" hidden="1"/>
    <cellStyle name="Followed Hyperlink" xfId="13440" builtinId="9" hidden="1"/>
    <cellStyle name="Followed Hyperlink" xfId="13442" builtinId="9" hidden="1"/>
    <cellStyle name="Followed Hyperlink" xfId="13444" builtinId="9" hidden="1"/>
    <cellStyle name="Followed Hyperlink" xfId="13446" builtinId="9" hidden="1"/>
    <cellStyle name="Followed Hyperlink" xfId="13448" builtinId="9" hidden="1"/>
    <cellStyle name="Followed Hyperlink" xfId="13450" builtinId="9" hidden="1"/>
    <cellStyle name="Followed Hyperlink" xfId="13452" builtinId="9" hidden="1"/>
    <cellStyle name="Followed Hyperlink" xfId="13454" builtinId="9" hidden="1"/>
    <cellStyle name="Followed Hyperlink" xfId="13456" builtinId="9" hidden="1"/>
    <cellStyle name="Followed Hyperlink" xfId="13458" builtinId="9" hidden="1"/>
    <cellStyle name="Followed Hyperlink" xfId="13460" builtinId="9" hidden="1"/>
    <cellStyle name="Followed Hyperlink" xfId="13462" builtinId="9" hidden="1"/>
    <cellStyle name="Followed Hyperlink" xfId="13464" builtinId="9" hidden="1"/>
    <cellStyle name="Followed Hyperlink" xfId="13466" builtinId="9" hidden="1"/>
    <cellStyle name="Followed Hyperlink" xfId="13468" builtinId="9" hidden="1"/>
    <cellStyle name="Followed Hyperlink" xfId="13470" builtinId="9" hidden="1"/>
    <cellStyle name="Followed Hyperlink" xfId="13472" builtinId="9" hidden="1"/>
    <cellStyle name="Followed Hyperlink" xfId="13474" builtinId="9" hidden="1"/>
    <cellStyle name="Followed Hyperlink" xfId="13476" builtinId="9" hidden="1"/>
    <cellStyle name="Followed Hyperlink" xfId="13478" builtinId="9" hidden="1"/>
    <cellStyle name="Followed Hyperlink" xfId="13480" builtinId="9" hidden="1"/>
    <cellStyle name="Followed Hyperlink" xfId="13482" builtinId="9" hidden="1"/>
    <cellStyle name="Followed Hyperlink" xfId="13484" builtinId="9" hidden="1"/>
    <cellStyle name="Followed Hyperlink" xfId="13486" builtinId="9" hidden="1"/>
    <cellStyle name="Followed Hyperlink" xfId="13488" builtinId="9" hidden="1"/>
    <cellStyle name="Followed Hyperlink" xfId="13490" builtinId="9" hidden="1"/>
    <cellStyle name="Followed Hyperlink" xfId="13492" builtinId="9" hidden="1"/>
    <cellStyle name="Followed Hyperlink" xfId="13494" builtinId="9" hidden="1"/>
    <cellStyle name="Followed Hyperlink" xfId="13496" builtinId="9" hidden="1"/>
    <cellStyle name="Followed Hyperlink" xfId="13498" builtinId="9" hidden="1"/>
    <cellStyle name="Followed Hyperlink" xfId="13500" builtinId="9" hidden="1"/>
    <cellStyle name="Followed Hyperlink" xfId="13502" builtinId="9" hidden="1"/>
    <cellStyle name="Followed Hyperlink" xfId="13504" builtinId="9" hidden="1"/>
    <cellStyle name="Followed Hyperlink" xfId="13506" builtinId="9" hidden="1"/>
    <cellStyle name="Followed Hyperlink" xfId="13508" builtinId="9" hidden="1"/>
    <cellStyle name="Followed Hyperlink" xfId="13510" builtinId="9" hidden="1"/>
    <cellStyle name="Followed Hyperlink" xfId="13512" builtinId="9" hidden="1"/>
    <cellStyle name="Followed Hyperlink" xfId="13514" builtinId="9" hidden="1"/>
    <cellStyle name="Followed Hyperlink" xfId="13516" builtinId="9" hidden="1"/>
    <cellStyle name="Followed Hyperlink" xfId="13518" builtinId="9" hidden="1"/>
    <cellStyle name="Followed Hyperlink" xfId="13520" builtinId="9" hidden="1"/>
    <cellStyle name="Followed Hyperlink" xfId="13522" builtinId="9" hidden="1"/>
    <cellStyle name="Followed Hyperlink" xfId="13524" builtinId="9" hidden="1"/>
    <cellStyle name="Followed Hyperlink" xfId="13526" builtinId="9" hidden="1"/>
    <cellStyle name="Followed Hyperlink" xfId="13528" builtinId="9" hidden="1"/>
    <cellStyle name="Followed Hyperlink" xfId="13530" builtinId="9" hidden="1"/>
    <cellStyle name="Followed Hyperlink" xfId="13532" builtinId="9" hidden="1"/>
    <cellStyle name="Followed Hyperlink" xfId="13534" builtinId="9" hidden="1"/>
    <cellStyle name="Followed Hyperlink" xfId="13536" builtinId="9" hidden="1"/>
    <cellStyle name="Followed Hyperlink" xfId="13538" builtinId="9" hidden="1"/>
    <cellStyle name="Followed Hyperlink" xfId="13540" builtinId="9" hidden="1"/>
    <cellStyle name="Followed Hyperlink" xfId="13542" builtinId="9" hidden="1"/>
    <cellStyle name="Followed Hyperlink" xfId="13544" builtinId="9" hidden="1"/>
    <cellStyle name="Followed Hyperlink" xfId="13546" builtinId="9" hidden="1"/>
    <cellStyle name="Followed Hyperlink" xfId="13548" builtinId="9" hidden="1"/>
    <cellStyle name="Followed Hyperlink" xfId="13550" builtinId="9" hidden="1"/>
    <cellStyle name="Followed Hyperlink" xfId="13552" builtinId="9" hidden="1"/>
    <cellStyle name="Followed Hyperlink" xfId="13554" builtinId="9" hidden="1"/>
    <cellStyle name="Followed Hyperlink" xfId="13556" builtinId="9" hidden="1"/>
    <cellStyle name="Followed Hyperlink" xfId="13558" builtinId="9" hidden="1"/>
    <cellStyle name="Followed Hyperlink" xfId="13560" builtinId="9" hidden="1"/>
    <cellStyle name="Followed Hyperlink" xfId="13562" builtinId="9" hidden="1"/>
    <cellStyle name="Followed Hyperlink" xfId="13564" builtinId="9" hidden="1"/>
    <cellStyle name="Followed Hyperlink" xfId="13566" builtinId="9" hidden="1"/>
    <cellStyle name="Followed Hyperlink" xfId="13568" builtinId="9" hidden="1"/>
    <cellStyle name="Followed Hyperlink" xfId="13570" builtinId="9" hidden="1"/>
    <cellStyle name="Followed Hyperlink" xfId="13572" builtinId="9" hidden="1"/>
    <cellStyle name="Followed Hyperlink" xfId="13574" builtinId="9" hidden="1"/>
    <cellStyle name="Followed Hyperlink" xfId="13576" builtinId="9" hidden="1"/>
    <cellStyle name="Followed Hyperlink" xfId="13578" builtinId="9" hidden="1"/>
    <cellStyle name="Followed Hyperlink" xfId="13580" builtinId="9" hidden="1"/>
    <cellStyle name="Followed Hyperlink" xfId="13582" builtinId="9" hidden="1"/>
    <cellStyle name="Followed Hyperlink" xfId="13584" builtinId="9" hidden="1"/>
    <cellStyle name="Followed Hyperlink" xfId="13586" builtinId="9" hidden="1"/>
    <cellStyle name="Followed Hyperlink" xfId="13588" builtinId="9" hidden="1"/>
    <cellStyle name="Followed Hyperlink" xfId="13590" builtinId="9" hidden="1"/>
    <cellStyle name="Followed Hyperlink" xfId="13592" builtinId="9" hidden="1"/>
    <cellStyle name="Followed Hyperlink" xfId="13594" builtinId="9" hidden="1"/>
    <cellStyle name="Followed Hyperlink" xfId="13596" builtinId="9" hidden="1"/>
    <cellStyle name="Followed Hyperlink" xfId="13598" builtinId="9" hidden="1"/>
    <cellStyle name="Followed Hyperlink" xfId="13600" builtinId="9" hidden="1"/>
    <cellStyle name="Followed Hyperlink" xfId="13602" builtinId="9" hidden="1"/>
    <cellStyle name="Followed Hyperlink" xfId="13604" builtinId="9" hidden="1"/>
    <cellStyle name="Followed Hyperlink" xfId="13606" builtinId="9" hidden="1"/>
    <cellStyle name="Followed Hyperlink" xfId="13608" builtinId="9" hidden="1"/>
    <cellStyle name="Followed Hyperlink" xfId="13610" builtinId="9" hidden="1"/>
    <cellStyle name="Followed Hyperlink" xfId="13612" builtinId="9" hidden="1"/>
    <cellStyle name="Followed Hyperlink" xfId="13614" builtinId="9" hidden="1"/>
    <cellStyle name="Followed Hyperlink" xfId="13616" builtinId="9" hidden="1"/>
    <cellStyle name="Followed Hyperlink" xfId="13618" builtinId="9" hidden="1"/>
    <cellStyle name="Followed Hyperlink" xfId="13620" builtinId="9" hidden="1"/>
    <cellStyle name="Followed Hyperlink" xfId="13622" builtinId="9" hidden="1"/>
    <cellStyle name="Followed Hyperlink" xfId="13624" builtinId="9" hidden="1"/>
    <cellStyle name="Followed Hyperlink" xfId="13626" builtinId="9" hidden="1"/>
    <cellStyle name="Followed Hyperlink" xfId="13628" builtinId="9" hidden="1"/>
    <cellStyle name="Followed Hyperlink" xfId="13630" builtinId="9" hidden="1"/>
    <cellStyle name="Followed Hyperlink" xfId="13632" builtinId="9" hidden="1"/>
    <cellStyle name="Followed Hyperlink" xfId="13634" builtinId="9" hidden="1"/>
    <cellStyle name="Followed Hyperlink" xfId="13636" builtinId="9" hidden="1"/>
    <cellStyle name="Followed Hyperlink" xfId="13638" builtinId="9" hidden="1"/>
    <cellStyle name="Followed Hyperlink" xfId="13640" builtinId="9" hidden="1"/>
    <cellStyle name="Followed Hyperlink" xfId="13642" builtinId="9" hidden="1"/>
    <cellStyle name="Followed Hyperlink" xfId="13644" builtinId="9" hidden="1"/>
    <cellStyle name="Followed Hyperlink" xfId="13646" builtinId="9" hidden="1"/>
    <cellStyle name="Followed Hyperlink" xfId="13648" builtinId="9" hidden="1"/>
    <cellStyle name="Followed Hyperlink" xfId="13650" builtinId="9" hidden="1"/>
    <cellStyle name="Followed Hyperlink" xfId="13652" builtinId="9" hidden="1"/>
    <cellStyle name="Followed Hyperlink" xfId="13654" builtinId="9" hidden="1"/>
    <cellStyle name="Followed Hyperlink" xfId="13656" builtinId="9" hidden="1"/>
    <cellStyle name="Followed Hyperlink" xfId="13658" builtinId="9" hidden="1"/>
    <cellStyle name="Followed Hyperlink" xfId="13660" builtinId="9" hidden="1"/>
    <cellStyle name="Followed Hyperlink" xfId="13662" builtinId="9" hidden="1"/>
    <cellStyle name="Followed Hyperlink" xfId="13664" builtinId="9" hidden="1"/>
    <cellStyle name="Followed Hyperlink" xfId="13666" builtinId="9" hidden="1"/>
    <cellStyle name="Followed Hyperlink" xfId="13668" builtinId="9" hidden="1"/>
    <cellStyle name="Followed Hyperlink" xfId="13670" builtinId="9" hidden="1"/>
    <cellStyle name="Followed Hyperlink" xfId="13672" builtinId="9" hidden="1"/>
    <cellStyle name="Followed Hyperlink" xfId="13674" builtinId="9" hidden="1"/>
    <cellStyle name="Followed Hyperlink" xfId="13676" builtinId="9" hidden="1"/>
    <cellStyle name="Followed Hyperlink" xfId="13678" builtinId="9" hidden="1"/>
    <cellStyle name="Followed Hyperlink" xfId="13680" builtinId="9" hidden="1"/>
    <cellStyle name="Followed Hyperlink" xfId="13682" builtinId="9" hidden="1"/>
    <cellStyle name="Followed Hyperlink" xfId="13684" builtinId="9" hidden="1"/>
    <cellStyle name="Followed Hyperlink" xfId="13686" builtinId="9" hidden="1"/>
    <cellStyle name="Followed Hyperlink" xfId="13688" builtinId="9" hidden="1"/>
    <cellStyle name="Followed Hyperlink" xfId="13690" builtinId="9" hidden="1"/>
    <cellStyle name="Followed Hyperlink" xfId="13692" builtinId="9" hidden="1"/>
    <cellStyle name="Followed Hyperlink" xfId="13694" builtinId="9" hidden="1"/>
    <cellStyle name="Followed Hyperlink" xfId="13696" builtinId="9" hidden="1"/>
    <cellStyle name="Followed Hyperlink" xfId="13698" builtinId="9" hidden="1"/>
    <cellStyle name="Followed Hyperlink" xfId="13700" builtinId="9" hidden="1"/>
    <cellStyle name="Followed Hyperlink" xfId="13702" builtinId="9" hidden="1"/>
    <cellStyle name="Followed Hyperlink" xfId="13704" builtinId="9" hidden="1"/>
    <cellStyle name="Followed Hyperlink" xfId="13706" builtinId="9" hidden="1"/>
    <cellStyle name="Followed Hyperlink" xfId="13708" builtinId="9" hidden="1"/>
    <cellStyle name="Followed Hyperlink" xfId="13710" builtinId="9" hidden="1"/>
    <cellStyle name="Followed Hyperlink" xfId="13712" builtinId="9" hidden="1"/>
    <cellStyle name="Followed Hyperlink" xfId="13714" builtinId="9" hidden="1"/>
    <cellStyle name="Followed Hyperlink" xfId="13716" builtinId="9" hidden="1"/>
    <cellStyle name="Followed Hyperlink" xfId="13718" builtinId="9" hidden="1"/>
    <cellStyle name="Followed Hyperlink" xfId="13720" builtinId="9" hidden="1"/>
    <cellStyle name="Followed Hyperlink" xfId="13722" builtinId="9" hidden="1"/>
    <cellStyle name="Followed Hyperlink" xfId="13724" builtinId="9" hidden="1"/>
    <cellStyle name="Followed Hyperlink" xfId="13726" builtinId="9" hidden="1"/>
    <cellStyle name="Followed Hyperlink" xfId="13728" builtinId="9" hidden="1"/>
    <cellStyle name="Followed Hyperlink" xfId="13730" builtinId="9" hidden="1"/>
    <cellStyle name="Followed Hyperlink" xfId="13732" builtinId="9" hidden="1"/>
    <cellStyle name="Followed Hyperlink" xfId="13734" builtinId="9" hidden="1"/>
    <cellStyle name="Followed Hyperlink" xfId="13736" builtinId="9" hidden="1"/>
    <cellStyle name="Followed Hyperlink" xfId="13738" builtinId="9" hidden="1"/>
    <cellStyle name="Followed Hyperlink" xfId="13740" builtinId="9" hidden="1"/>
    <cellStyle name="Followed Hyperlink" xfId="13742" builtinId="9" hidden="1"/>
    <cellStyle name="Followed Hyperlink" xfId="13744" builtinId="9" hidden="1"/>
    <cellStyle name="Followed Hyperlink" xfId="13746" builtinId="9" hidden="1"/>
    <cellStyle name="Followed Hyperlink" xfId="13748" builtinId="9" hidden="1"/>
    <cellStyle name="Followed Hyperlink" xfId="13750" builtinId="9" hidden="1"/>
    <cellStyle name="Followed Hyperlink" xfId="13752" builtinId="9" hidden="1"/>
    <cellStyle name="Followed Hyperlink" xfId="13754" builtinId="9" hidden="1"/>
    <cellStyle name="Followed Hyperlink" xfId="13756" builtinId="9" hidden="1"/>
    <cellStyle name="Followed Hyperlink" xfId="13758" builtinId="9" hidden="1"/>
    <cellStyle name="Followed Hyperlink" xfId="13760" builtinId="9" hidden="1"/>
    <cellStyle name="Followed Hyperlink" xfId="13762" builtinId="9" hidden="1"/>
    <cellStyle name="Followed Hyperlink" xfId="13764" builtinId="9" hidden="1"/>
    <cellStyle name="Followed Hyperlink" xfId="13766" builtinId="9" hidden="1"/>
    <cellStyle name="Followed Hyperlink" xfId="13768" builtinId="9" hidden="1"/>
    <cellStyle name="Followed Hyperlink" xfId="13770" builtinId="9" hidden="1"/>
    <cellStyle name="Followed Hyperlink" xfId="13772" builtinId="9" hidden="1"/>
    <cellStyle name="Followed Hyperlink" xfId="13774" builtinId="9" hidden="1"/>
    <cellStyle name="Followed Hyperlink" xfId="13776" builtinId="9" hidden="1"/>
    <cellStyle name="Followed Hyperlink" xfId="13778" builtinId="9" hidden="1"/>
    <cellStyle name="Followed Hyperlink" xfId="13780" builtinId="9" hidden="1"/>
    <cellStyle name="Followed Hyperlink" xfId="13782" builtinId="9" hidden="1"/>
    <cellStyle name="Followed Hyperlink" xfId="13784" builtinId="9" hidden="1"/>
    <cellStyle name="Followed Hyperlink" xfId="13786" builtinId="9" hidden="1"/>
    <cellStyle name="Followed Hyperlink" xfId="13788" builtinId="9" hidden="1"/>
    <cellStyle name="Followed Hyperlink" xfId="13790" builtinId="9" hidden="1"/>
    <cellStyle name="Followed Hyperlink" xfId="13792" builtinId="9" hidden="1"/>
    <cellStyle name="Followed Hyperlink" xfId="13794" builtinId="9" hidden="1"/>
    <cellStyle name="Followed Hyperlink" xfId="13796" builtinId="9" hidden="1"/>
    <cellStyle name="Followed Hyperlink" xfId="13798" builtinId="9" hidden="1"/>
    <cellStyle name="Followed Hyperlink" xfId="13800" builtinId="9" hidden="1"/>
    <cellStyle name="Followed Hyperlink" xfId="13802" builtinId="9" hidden="1"/>
    <cellStyle name="Followed Hyperlink" xfId="13804" builtinId="9" hidden="1"/>
    <cellStyle name="Followed Hyperlink" xfId="13806" builtinId="9" hidden="1"/>
    <cellStyle name="Followed Hyperlink" xfId="13808" builtinId="9" hidden="1"/>
    <cellStyle name="Followed Hyperlink" xfId="13810" builtinId="9" hidden="1"/>
    <cellStyle name="Followed Hyperlink" xfId="13812" builtinId="9" hidden="1"/>
    <cellStyle name="Followed Hyperlink" xfId="13814" builtinId="9" hidden="1"/>
    <cellStyle name="Followed Hyperlink" xfId="13816" builtinId="9" hidden="1"/>
    <cellStyle name="Followed Hyperlink" xfId="13818" builtinId="9" hidden="1"/>
    <cellStyle name="Followed Hyperlink" xfId="13820" builtinId="9" hidden="1"/>
    <cellStyle name="Followed Hyperlink" xfId="13822" builtinId="9" hidden="1"/>
    <cellStyle name="Followed Hyperlink" xfId="13824" builtinId="9" hidden="1"/>
    <cellStyle name="Followed Hyperlink" xfId="13826" builtinId="9" hidden="1"/>
    <cellStyle name="Followed Hyperlink" xfId="13828" builtinId="9" hidden="1"/>
    <cellStyle name="Followed Hyperlink" xfId="13830" builtinId="9" hidden="1"/>
    <cellStyle name="Followed Hyperlink" xfId="13832" builtinId="9" hidden="1"/>
    <cellStyle name="Followed Hyperlink" xfId="13834" builtinId="9" hidden="1"/>
    <cellStyle name="Followed Hyperlink" xfId="13836" builtinId="9" hidden="1"/>
    <cellStyle name="Followed Hyperlink" xfId="13838" builtinId="9" hidden="1"/>
    <cellStyle name="Followed Hyperlink" xfId="13840" builtinId="9" hidden="1"/>
    <cellStyle name="Followed Hyperlink" xfId="13842" builtinId="9" hidden="1"/>
    <cellStyle name="Followed Hyperlink" xfId="13844" builtinId="9" hidden="1"/>
    <cellStyle name="Followed Hyperlink" xfId="13846" builtinId="9" hidden="1"/>
    <cellStyle name="Followed Hyperlink" xfId="13848" builtinId="9" hidden="1"/>
    <cellStyle name="Followed Hyperlink" xfId="13850" builtinId="9" hidden="1"/>
    <cellStyle name="Followed Hyperlink" xfId="13852" builtinId="9" hidden="1"/>
    <cellStyle name="Followed Hyperlink" xfId="13854" builtinId="9" hidden="1"/>
    <cellStyle name="Followed Hyperlink" xfId="13856" builtinId="9" hidden="1"/>
    <cellStyle name="Followed Hyperlink" xfId="13858" builtinId="9" hidden="1"/>
    <cellStyle name="Followed Hyperlink" xfId="13860" builtinId="9" hidden="1"/>
    <cellStyle name="Followed Hyperlink" xfId="13862" builtinId="9" hidden="1"/>
    <cellStyle name="Followed Hyperlink" xfId="13864" builtinId="9" hidden="1"/>
    <cellStyle name="Followed Hyperlink" xfId="13866" builtinId="9" hidden="1"/>
    <cellStyle name="Followed Hyperlink" xfId="13868" builtinId="9" hidden="1"/>
    <cellStyle name="Followed Hyperlink" xfId="13870" builtinId="9" hidden="1"/>
    <cellStyle name="Followed Hyperlink" xfId="13872" builtinId="9" hidden="1"/>
    <cellStyle name="Followed Hyperlink" xfId="13874" builtinId="9" hidden="1"/>
    <cellStyle name="Followed Hyperlink" xfId="13876" builtinId="9" hidden="1"/>
    <cellStyle name="Followed Hyperlink" xfId="13878" builtinId="9" hidden="1"/>
    <cellStyle name="Followed Hyperlink" xfId="13880" builtinId="9" hidden="1"/>
    <cellStyle name="Followed Hyperlink" xfId="13882" builtinId="9" hidden="1"/>
    <cellStyle name="Followed Hyperlink" xfId="13884" builtinId="9" hidden="1"/>
    <cellStyle name="Followed Hyperlink" xfId="13886" builtinId="9" hidden="1"/>
    <cellStyle name="Followed Hyperlink" xfId="13888" builtinId="9" hidden="1"/>
    <cellStyle name="Followed Hyperlink" xfId="13890" builtinId="9" hidden="1"/>
    <cellStyle name="Followed Hyperlink" xfId="13892" builtinId="9" hidden="1"/>
    <cellStyle name="Followed Hyperlink" xfId="13894" builtinId="9" hidden="1"/>
    <cellStyle name="Followed Hyperlink" xfId="13896" builtinId="9" hidden="1"/>
    <cellStyle name="Followed Hyperlink" xfId="13898" builtinId="9" hidden="1"/>
    <cellStyle name="Followed Hyperlink" xfId="13900" builtinId="9" hidden="1"/>
    <cellStyle name="Followed Hyperlink" xfId="13902" builtinId="9" hidden="1"/>
    <cellStyle name="Followed Hyperlink" xfId="13904" builtinId="9" hidden="1"/>
    <cellStyle name="Followed Hyperlink" xfId="13906" builtinId="9" hidden="1"/>
    <cellStyle name="Followed Hyperlink" xfId="13908" builtinId="9" hidden="1"/>
    <cellStyle name="Followed Hyperlink" xfId="13910" builtinId="9" hidden="1"/>
    <cellStyle name="Followed Hyperlink" xfId="13912" builtinId="9" hidden="1"/>
    <cellStyle name="Followed Hyperlink" xfId="13914" builtinId="9" hidden="1"/>
    <cellStyle name="Followed Hyperlink" xfId="13916" builtinId="9" hidden="1"/>
    <cellStyle name="Followed Hyperlink" xfId="13918" builtinId="9" hidden="1"/>
    <cellStyle name="Followed Hyperlink" xfId="13920" builtinId="9" hidden="1"/>
    <cellStyle name="Followed Hyperlink" xfId="13922" builtinId="9" hidden="1"/>
    <cellStyle name="Followed Hyperlink" xfId="13924" builtinId="9" hidden="1"/>
    <cellStyle name="Followed Hyperlink" xfId="13926" builtinId="9" hidden="1"/>
    <cellStyle name="Followed Hyperlink" xfId="13928" builtinId="9" hidden="1"/>
    <cellStyle name="Followed Hyperlink" xfId="13930" builtinId="9" hidden="1"/>
    <cellStyle name="Followed Hyperlink" xfId="13932" builtinId="9" hidden="1"/>
    <cellStyle name="Followed Hyperlink" xfId="13934" builtinId="9" hidden="1"/>
    <cellStyle name="Followed Hyperlink" xfId="13936" builtinId="9" hidden="1"/>
    <cellStyle name="Followed Hyperlink" xfId="13938" builtinId="9" hidden="1"/>
    <cellStyle name="Followed Hyperlink" xfId="13940" builtinId="9" hidden="1"/>
    <cellStyle name="Followed Hyperlink" xfId="13942" builtinId="9" hidden="1"/>
    <cellStyle name="Followed Hyperlink" xfId="13944" builtinId="9" hidden="1"/>
    <cellStyle name="Followed Hyperlink" xfId="13946" builtinId="9" hidden="1"/>
    <cellStyle name="Followed Hyperlink" xfId="13948" builtinId="9" hidden="1"/>
    <cellStyle name="Followed Hyperlink" xfId="13950" builtinId="9" hidden="1"/>
    <cellStyle name="Followed Hyperlink" xfId="13952" builtinId="9" hidden="1"/>
    <cellStyle name="Followed Hyperlink" xfId="13954" builtinId="9" hidden="1"/>
    <cellStyle name="Followed Hyperlink" xfId="13956" builtinId="9" hidden="1"/>
    <cellStyle name="Followed Hyperlink" xfId="13958" builtinId="9" hidden="1"/>
    <cellStyle name="Followed Hyperlink" xfId="13960" builtinId="9" hidden="1"/>
    <cellStyle name="Followed Hyperlink" xfId="13962" builtinId="9" hidden="1"/>
    <cellStyle name="Followed Hyperlink" xfId="13964" builtinId="9" hidden="1"/>
    <cellStyle name="Followed Hyperlink" xfId="13966" builtinId="9" hidden="1"/>
    <cellStyle name="Followed Hyperlink" xfId="13968" builtinId="9" hidden="1"/>
    <cellStyle name="Followed Hyperlink" xfId="13970" builtinId="9" hidden="1"/>
    <cellStyle name="Followed Hyperlink" xfId="13972" builtinId="9" hidden="1"/>
    <cellStyle name="Followed Hyperlink" xfId="13974" builtinId="9" hidden="1"/>
    <cellStyle name="Followed Hyperlink" xfId="13976" builtinId="9" hidden="1"/>
    <cellStyle name="Followed Hyperlink" xfId="13978" builtinId="9" hidden="1"/>
    <cellStyle name="Followed Hyperlink" xfId="13980" builtinId="9" hidden="1"/>
    <cellStyle name="Followed Hyperlink" xfId="13982" builtinId="9" hidden="1"/>
    <cellStyle name="Followed Hyperlink" xfId="13984" builtinId="9" hidden="1"/>
    <cellStyle name="Followed Hyperlink" xfId="13986" builtinId="9" hidden="1"/>
    <cellStyle name="Followed Hyperlink" xfId="13988" builtinId="9" hidden="1"/>
    <cellStyle name="Followed Hyperlink" xfId="13990" builtinId="9" hidden="1"/>
    <cellStyle name="Followed Hyperlink" xfId="13992" builtinId="9" hidden="1"/>
    <cellStyle name="Followed Hyperlink" xfId="13994" builtinId="9" hidden="1"/>
    <cellStyle name="Followed Hyperlink" xfId="13996" builtinId="9" hidden="1"/>
    <cellStyle name="Followed Hyperlink" xfId="13998" builtinId="9" hidden="1"/>
    <cellStyle name="Followed Hyperlink" xfId="14000" builtinId="9" hidden="1"/>
    <cellStyle name="Followed Hyperlink" xfId="14002" builtinId="9" hidden="1"/>
    <cellStyle name="Followed Hyperlink" xfId="14004" builtinId="9" hidden="1"/>
    <cellStyle name="Followed Hyperlink" xfId="14006" builtinId="9" hidden="1"/>
    <cellStyle name="Followed Hyperlink" xfId="14008" builtinId="9" hidden="1"/>
    <cellStyle name="Followed Hyperlink" xfId="14010" builtinId="9" hidden="1"/>
    <cellStyle name="Followed Hyperlink" xfId="14012" builtinId="9" hidden="1"/>
    <cellStyle name="Followed Hyperlink" xfId="14014" builtinId="9" hidden="1"/>
    <cellStyle name="Followed Hyperlink" xfId="14016" builtinId="9" hidden="1"/>
    <cellStyle name="Followed Hyperlink" xfId="14018" builtinId="9" hidden="1"/>
    <cellStyle name="Followed Hyperlink" xfId="14020" builtinId="9" hidden="1"/>
    <cellStyle name="Followed Hyperlink" xfId="14022" builtinId="9" hidden="1"/>
    <cellStyle name="Followed Hyperlink" xfId="14024" builtinId="9" hidden="1"/>
    <cellStyle name="Followed Hyperlink" xfId="14026" builtinId="9" hidden="1"/>
    <cellStyle name="Followed Hyperlink" xfId="14028" builtinId="9" hidden="1"/>
    <cellStyle name="Followed Hyperlink" xfId="14030" builtinId="9" hidden="1"/>
    <cellStyle name="Followed Hyperlink" xfId="14032" builtinId="9" hidden="1"/>
    <cellStyle name="Followed Hyperlink" xfId="14034" builtinId="9" hidden="1"/>
    <cellStyle name="Followed Hyperlink" xfId="14036" builtinId="9" hidden="1"/>
    <cellStyle name="Followed Hyperlink" xfId="14038" builtinId="9" hidden="1"/>
    <cellStyle name="Followed Hyperlink" xfId="14040" builtinId="9" hidden="1"/>
    <cellStyle name="Followed Hyperlink" xfId="14042" builtinId="9" hidden="1"/>
    <cellStyle name="Followed Hyperlink" xfId="14044" builtinId="9" hidden="1"/>
    <cellStyle name="Followed Hyperlink" xfId="14046" builtinId="9" hidden="1"/>
    <cellStyle name="Followed Hyperlink" xfId="14048" builtinId="9" hidden="1"/>
    <cellStyle name="Followed Hyperlink" xfId="14050" builtinId="9" hidden="1"/>
    <cellStyle name="Followed Hyperlink" xfId="14052" builtinId="9" hidden="1"/>
    <cellStyle name="Followed Hyperlink" xfId="14054" builtinId="9" hidden="1"/>
    <cellStyle name="Followed Hyperlink" xfId="14056" builtinId="9" hidden="1"/>
    <cellStyle name="Followed Hyperlink" xfId="14058" builtinId="9" hidden="1"/>
    <cellStyle name="Followed Hyperlink" xfId="14060" builtinId="9" hidden="1"/>
    <cellStyle name="Followed Hyperlink" xfId="14062" builtinId="9" hidden="1"/>
    <cellStyle name="Followed Hyperlink" xfId="14064" builtinId="9" hidden="1"/>
    <cellStyle name="Followed Hyperlink" xfId="14066" builtinId="9" hidden="1"/>
    <cellStyle name="Followed Hyperlink" xfId="14068" builtinId="9" hidden="1"/>
    <cellStyle name="Followed Hyperlink" xfId="14070" builtinId="9" hidden="1"/>
    <cellStyle name="Followed Hyperlink" xfId="14072" builtinId="9" hidden="1"/>
    <cellStyle name="Followed Hyperlink" xfId="14074" builtinId="9" hidden="1"/>
    <cellStyle name="Followed Hyperlink" xfId="14076" builtinId="9" hidden="1"/>
    <cellStyle name="Followed Hyperlink" xfId="14078" builtinId="9" hidden="1"/>
    <cellStyle name="Followed Hyperlink" xfId="14080" builtinId="9" hidden="1"/>
    <cellStyle name="Followed Hyperlink" xfId="14082" builtinId="9" hidden="1"/>
    <cellStyle name="Followed Hyperlink" xfId="14084" builtinId="9" hidden="1"/>
    <cellStyle name="Followed Hyperlink" xfId="14086" builtinId="9" hidden="1"/>
    <cellStyle name="Followed Hyperlink" xfId="14088" builtinId="9" hidden="1"/>
    <cellStyle name="Followed Hyperlink" xfId="14090" builtinId="9" hidden="1"/>
    <cellStyle name="Followed Hyperlink" xfId="14092" builtinId="9" hidden="1"/>
    <cellStyle name="Followed Hyperlink" xfId="14094" builtinId="9" hidden="1"/>
    <cellStyle name="Followed Hyperlink" xfId="14096" builtinId="9" hidden="1"/>
    <cellStyle name="Followed Hyperlink" xfId="14098" builtinId="9" hidden="1"/>
    <cellStyle name="Followed Hyperlink" xfId="14100" builtinId="9" hidden="1"/>
    <cellStyle name="Followed Hyperlink" xfId="14102" builtinId="9" hidden="1"/>
    <cellStyle name="Followed Hyperlink" xfId="14104" builtinId="9" hidden="1"/>
    <cellStyle name="Followed Hyperlink" xfId="14106" builtinId="9" hidden="1"/>
    <cellStyle name="Followed Hyperlink" xfId="14108" builtinId="9" hidden="1"/>
    <cellStyle name="Followed Hyperlink" xfId="14110" builtinId="9" hidden="1"/>
    <cellStyle name="Followed Hyperlink" xfId="14112" builtinId="9" hidden="1"/>
    <cellStyle name="Followed Hyperlink" xfId="14114" builtinId="9" hidden="1"/>
    <cellStyle name="Followed Hyperlink" xfId="14116" builtinId="9" hidden="1"/>
    <cellStyle name="Followed Hyperlink" xfId="14118" builtinId="9" hidden="1"/>
    <cellStyle name="Followed Hyperlink" xfId="14120" builtinId="9" hidden="1"/>
    <cellStyle name="Followed Hyperlink" xfId="14122" builtinId="9" hidden="1"/>
    <cellStyle name="Followed Hyperlink" xfId="14124" builtinId="9" hidden="1"/>
    <cellStyle name="Followed Hyperlink" xfId="14126" builtinId="9" hidden="1"/>
    <cellStyle name="Followed Hyperlink" xfId="14128" builtinId="9" hidden="1"/>
    <cellStyle name="Followed Hyperlink" xfId="14130" builtinId="9" hidden="1"/>
    <cellStyle name="Followed Hyperlink" xfId="14132" builtinId="9" hidden="1"/>
    <cellStyle name="Followed Hyperlink" xfId="14134" builtinId="9" hidden="1"/>
    <cellStyle name="Followed Hyperlink" xfId="14136" builtinId="9" hidden="1"/>
    <cellStyle name="Followed Hyperlink" xfId="14138" builtinId="9" hidden="1"/>
    <cellStyle name="Followed Hyperlink" xfId="14140" builtinId="9" hidden="1"/>
    <cellStyle name="Followed Hyperlink" xfId="14142" builtinId="9" hidden="1"/>
    <cellStyle name="Followed Hyperlink" xfId="14144" builtinId="9" hidden="1"/>
    <cellStyle name="Followed Hyperlink" xfId="14146" builtinId="9" hidden="1"/>
    <cellStyle name="Followed Hyperlink" xfId="14148" builtinId="9" hidden="1"/>
    <cellStyle name="Followed Hyperlink" xfId="14150" builtinId="9" hidden="1"/>
    <cellStyle name="Followed Hyperlink" xfId="14152" builtinId="9" hidden="1"/>
    <cellStyle name="Followed Hyperlink" xfId="14154" builtinId="9" hidden="1"/>
    <cellStyle name="Followed Hyperlink" xfId="14156" builtinId="9" hidden="1"/>
    <cellStyle name="Followed Hyperlink" xfId="14158" builtinId="9" hidden="1"/>
    <cellStyle name="Followed Hyperlink" xfId="14160" builtinId="9" hidden="1"/>
    <cellStyle name="Followed Hyperlink" xfId="14162" builtinId="9" hidden="1"/>
    <cellStyle name="Followed Hyperlink" xfId="14164" builtinId="9" hidden="1"/>
    <cellStyle name="Followed Hyperlink" xfId="14166" builtinId="9" hidden="1"/>
    <cellStyle name="Followed Hyperlink" xfId="14168" builtinId="9" hidden="1"/>
    <cellStyle name="Followed Hyperlink" xfId="14170" builtinId="9" hidden="1"/>
    <cellStyle name="Followed Hyperlink" xfId="14172" builtinId="9" hidden="1"/>
    <cellStyle name="Followed Hyperlink" xfId="14174" builtinId="9" hidden="1"/>
    <cellStyle name="Followed Hyperlink" xfId="14176" builtinId="9" hidden="1"/>
    <cellStyle name="Followed Hyperlink" xfId="14178" builtinId="9" hidden="1"/>
    <cellStyle name="Followed Hyperlink" xfId="14180" builtinId="9" hidden="1"/>
    <cellStyle name="Followed Hyperlink" xfId="14182" builtinId="9" hidden="1"/>
    <cellStyle name="Followed Hyperlink" xfId="14184" builtinId="9" hidden="1"/>
    <cellStyle name="Followed Hyperlink" xfId="14186" builtinId="9" hidden="1"/>
    <cellStyle name="Followed Hyperlink" xfId="14188" builtinId="9" hidden="1"/>
    <cellStyle name="Followed Hyperlink" xfId="14190" builtinId="9" hidden="1"/>
    <cellStyle name="Followed Hyperlink" xfId="14192" builtinId="9" hidden="1"/>
    <cellStyle name="Followed Hyperlink" xfId="14194" builtinId="9" hidden="1"/>
    <cellStyle name="Followed Hyperlink" xfId="14196" builtinId="9" hidden="1"/>
    <cellStyle name="Followed Hyperlink" xfId="14198" builtinId="9" hidden="1"/>
    <cellStyle name="Followed Hyperlink" xfId="14200" builtinId="9" hidden="1"/>
    <cellStyle name="Followed Hyperlink" xfId="14202" builtinId="9" hidden="1"/>
    <cellStyle name="Followed Hyperlink" xfId="14204" builtinId="9" hidden="1"/>
    <cellStyle name="Followed Hyperlink" xfId="14206" builtinId="9" hidden="1"/>
    <cellStyle name="Followed Hyperlink" xfId="14208" builtinId="9" hidden="1"/>
    <cellStyle name="Followed Hyperlink" xfId="14210" builtinId="9" hidden="1"/>
    <cellStyle name="Followed Hyperlink" xfId="14212" builtinId="9" hidden="1"/>
    <cellStyle name="Followed Hyperlink" xfId="14214" builtinId="9" hidden="1"/>
    <cellStyle name="Followed Hyperlink" xfId="14216" builtinId="9" hidden="1"/>
    <cellStyle name="Followed Hyperlink" xfId="14218" builtinId="9" hidden="1"/>
    <cellStyle name="Followed Hyperlink" xfId="14220" builtinId="9" hidden="1"/>
    <cellStyle name="Followed Hyperlink" xfId="14222" builtinId="9" hidden="1"/>
    <cellStyle name="Followed Hyperlink" xfId="14224" builtinId="9" hidden="1"/>
    <cellStyle name="Followed Hyperlink" xfId="14226" builtinId="9" hidden="1"/>
    <cellStyle name="Followed Hyperlink" xfId="14228" builtinId="9" hidden="1"/>
    <cellStyle name="Followed Hyperlink" xfId="14230" builtinId="9" hidden="1"/>
    <cellStyle name="Followed Hyperlink" xfId="14232" builtinId="9" hidden="1"/>
    <cellStyle name="Followed Hyperlink" xfId="14234" builtinId="9" hidden="1"/>
    <cellStyle name="Followed Hyperlink" xfId="14236" builtinId="9" hidden="1"/>
    <cellStyle name="Followed Hyperlink" xfId="14238" builtinId="9" hidden="1"/>
    <cellStyle name="Followed Hyperlink" xfId="14240" builtinId="9" hidden="1"/>
    <cellStyle name="Followed Hyperlink" xfId="14242" builtinId="9" hidden="1"/>
    <cellStyle name="Followed Hyperlink" xfId="14244" builtinId="9" hidden="1"/>
    <cellStyle name="Followed Hyperlink" xfId="14246" builtinId="9" hidden="1"/>
    <cellStyle name="Followed Hyperlink" xfId="14248" builtinId="9" hidden="1"/>
    <cellStyle name="Followed Hyperlink" xfId="14250" builtinId="9" hidden="1"/>
    <cellStyle name="Followed Hyperlink" xfId="14252" builtinId="9" hidden="1"/>
    <cellStyle name="Followed Hyperlink" xfId="14254" builtinId="9" hidden="1"/>
    <cellStyle name="Followed Hyperlink" xfId="14256" builtinId="9" hidden="1"/>
    <cellStyle name="Followed Hyperlink" xfId="14258" builtinId="9" hidden="1"/>
    <cellStyle name="Followed Hyperlink" xfId="14260" builtinId="9" hidden="1"/>
    <cellStyle name="Followed Hyperlink" xfId="14262" builtinId="9" hidden="1"/>
    <cellStyle name="Followed Hyperlink" xfId="14264" builtinId="9" hidden="1"/>
    <cellStyle name="Followed Hyperlink" xfId="14266" builtinId="9" hidden="1"/>
    <cellStyle name="Followed Hyperlink" xfId="14268" builtinId="9" hidden="1"/>
    <cellStyle name="Followed Hyperlink" xfId="14270" builtinId="9" hidden="1"/>
    <cellStyle name="Followed Hyperlink" xfId="14272" builtinId="9" hidden="1"/>
    <cellStyle name="Followed Hyperlink" xfId="14274" builtinId="9" hidden="1"/>
    <cellStyle name="Followed Hyperlink" xfId="14276" builtinId="9" hidden="1"/>
    <cellStyle name="Followed Hyperlink" xfId="14278" builtinId="9" hidden="1"/>
    <cellStyle name="Followed Hyperlink" xfId="14280" builtinId="9" hidden="1"/>
    <cellStyle name="Followed Hyperlink" xfId="14282" builtinId="9" hidden="1"/>
    <cellStyle name="Followed Hyperlink" xfId="14284" builtinId="9" hidden="1"/>
    <cellStyle name="Followed Hyperlink" xfId="14286" builtinId="9" hidden="1"/>
    <cellStyle name="Followed Hyperlink" xfId="14288" builtinId="9" hidden="1"/>
    <cellStyle name="Followed Hyperlink" xfId="14290" builtinId="9" hidden="1"/>
    <cellStyle name="Followed Hyperlink" xfId="14292" builtinId="9" hidden="1"/>
    <cellStyle name="Followed Hyperlink" xfId="14294" builtinId="9" hidden="1"/>
    <cellStyle name="Followed Hyperlink" xfId="14296" builtinId="9" hidden="1"/>
    <cellStyle name="Followed Hyperlink" xfId="14298" builtinId="9" hidden="1"/>
    <cellStyle name="Followed Hyperlink" xfId="14300" builtinId="9" hidden="1"/>
    <cellStyle name="Followed Hyperlink" xfId="14302" builtinId="9" hidden="1"/>
    <cellStyle name="Followed Hyperlink" xfId="14304" builtinId="9" hidden="1"/>
    <cellStyle name="Followed Hyperlink" xfId="14306" builtinId="9" hidden="1"/>
    <cellStyle name="Followed Hyperlink" xfId="14308" builtinId="9" hidden="1"/>
    <cellStyle name="Followed Hyperlink" xfId="14310" builtinId="9" hidden="1"/>
    <cellStyle name="Followed Hyperlink" xfId="14312" builtinId="9" hidden="1"/>
    <cellStyle name="Followed Hyperlink" xfId="14314" builtinId="9" hidden="1"/>
    <cellStyle name="Followed Hyperlink" xfId="14316" builtinId="9" hidden="1"/>
    <cellStyle name="Followed Hyperlink" xfId="14318" builtinId="9" hidden="1"/>
    <cellStyle name="Followed Hyperlink" xfId="14320" builtinId="9" hidden="1"/>
    <cellStyle name="Followed Hyperlink" xfId="14322" builtinId="9" hidden="1"/>
    <cellStyle name="Followed Hyperlink" xfId="14324" builtinId="9" hidden="1"/>
    <cellStyle name="Followed Hyperlink" xfId="14326" builtinId="9" hidden="1"/>
    <cellStyle name="Followed Hyperlink" xfId="14328" builtinId="9" hidden="1"/>
    <cellStyle name="Followed Hyperlink" xfId="14330" builtinId="9" hidden="1"/>
    <cellStyle name="Followed Hyperlink" xfId="14332" builtinId="9" hidden="1"/>
    <cellStyle name="Followed Hyperlink" xfId="14334" builtinId="9" hidden="1"/>
    <cellStyle name="Followed Hyperlink" xfId="14336" builtinId="9" hidden="1"/>
    <cellStyle name="Followed Hyperlink" xfId="14338" builtinId="9" hidden="1"/>
    <cellStyle name="Followed Hyperlink" xfId="14340" builtinId="9" hidden="1"/>
    <cellStyle name="Followed Hyperlink" xfId="14342" builtinId="9" hidden="1"/>
    <cellStyle name="Followed Hyperlink" xfId="14344" builtinId="9" hidden="1"/>
    <cellStyle name="Followed Hyperlink" xfId="14346" builtinId="9" hidden="1"/>
    <cellStyle name="Followed Hyperlink" xfId="14348" builtinId="9" hidden="1"/>
    <cellStyle name="Followed Hyperlink" xfId="14350" builtinId="9" hidden="1"/>
    <cellStyle name="Followed Hyperlink" xfId="14352" builtinId="9" hidden="1"/>
    <cellStyle name="Followed Hyperlink" xfId="14354" builtinId="9" hidden="1"/>
    <cellStyle name="Followed Hyperlink" xfId="14356" builtinId="9" hidden="1"/>
    <cellStyle name="Followed Hyperlink" xfId="14358" builtinId="9" hidden="1"/>
    <cellStyle name="Followed Hyperlink" xfId="14360" builtinId="9" hidden="1"/>
    <cellStyle name="Followed Hyperlink" xfId="14362" builtinId="9" hidden="1"/>
    <cellStyle name="Followed Hyperlink" xfId="14364" builtinId="9" hidden="1"/>
    <cellStyle name="Followed Hyperlink" xfId="14366" builtinId="9" hidden="1"/>
    <cellStyle name="Followed Hyperlink" xfId="14368" builtinId="9" hidden="1"/>
    <cellStyle name="Followed Hyperlink" xfId="14370" builtinId="9" hidden="1"/>
    <cellStyle name="Followed Hyperlink" xfId="14372" builtinId="9" hidden="1"/>
    <cellStyle name="Followed Hyperlink" xfId="14374" builtinId="9" hidden="1"/>
    <cellStyle name="Followed Hyperlink" xfId="14376" builtinId="9" hidden="1"/>
    <cellStyle name="Followed Hyperlink" xfId="14378" builtinId="9" hidden="1"/>
    <cellStyle name="Followed Hyperlink" xfId="14380" builtinId="9" hidden="1"/>
    <cellStyle name="Followed Hyperlink" xfId="14382" builtinId="9" hidden="1"/>
    <cellStyle name="Followed Hyperlink" xfId="14384" builtinId="9" hidden="1"/>
    <cellStyle name="Followed Hyperlink" xfId="14386" builtinId="9" hidden="1"/>
    <cellStyle name="Followed Hyperlink" xfId="14388" builtinId="9" hidden="1"/>
    <cellStyle name="Followed Hyperlink" xfId="14390" builtinId="9" hidden="1"/>
    <cellStyle name="Followed Hyperlink" xfId="14392" builtinId="9" hidden="1"/>
    <cellStyle name="Followed Hyperlink" xfId="14394" builtinId="9" hidden="1"/>
    <cellStyle name="Followed Hyperlink" xfId="14396" builtinId="9" hidden="1"/>
    <cellStyle name="Followed Hyperlink" xfId="14398" builtinId="9" hidden="1"/>
    <cellStyle name="Followed Hyperlink" xfId="14400" builtinId="9" hidden="1"/>
    <cellStyle name="Followed Hyperlink" xfId="14402" builtinId="9" hidden="1"/>
    <cellStyle name="Followed Hyperlink" xfId="14404" builtinId="9" hidden="1"/>
    <cellStyle name="Followed Hyperlink" xfId="14406" builtinId="9" hidden="1"/>
    <cellStyle name="Followed Hyperlink" xfId="14408" builtinId="9" hidden="1"/>
    <cellStyle name="Followed Hyperlink" xfId="14410" builtinId="9" hidden="1"/>
    <cellStyle name="Followed Hyperlink" xfId="14412" builtinId="9" hidden="1"/>
    <cellStyle name="Followed Hyperlink" xfId="14414" builtinId="9" hidden="1"/>
    <cellStyle name="Followed Hyperlink" xfId="14416" builtinId="9" hidden="1"/>
    <cellStyle name="Followed Hyperlink" xfId="14418" builtinId="9" hidden="1"/>
    <cellStyle name="Followed Hyperlink" xfId="14420" builtinId="9" hidden="1"/>
    <cellStyle name="Followed Hyperlink" xfId="14422" builtinId="9" hidden="1"/>
    <cellStyle name="Followed Hyperlink" xfId="14424" builtinId="9" hidden="1"/>
    <cellStyle name="Followed Hyperlink" xfId="14426" builtinId="9" hidden="1"/>
    <cellStyle name="Followed Hyperlink" xfId="14428" builtinId="9" hidden="1"/>
    <cellStyle name="Followed Hyperlink" xfId="14430" builtinId="9" hidden="1"/>
    <cellStyle name="Followed Hyperlink" xfId="14432" builtinId="9" hidden="1"/>
    <cellStyle name="Followed Hyperlink" xfId="14434" builtinId="9" hidden="1"/>
    <cellStyle name="Followed Hyperlink" xfId="14436" builtinId="9" hidden="1"/>
    <cellStyle name="Followed Hyperlink" xfId="14438" builtinId="9" hidden="1"/>
    <cellStyle name="Followed Hyperlink" xfId="14440" builtinId="9" hidden="1"/>
    <cellStyle name="Followed Hyperlink" xfId="14442" builtinId="9" hidden="1"/>
    <cellStyle name="Followed Hyperlink" xfId="14444" builtinId="9" hidden="1"/>
    <cellStyle name="Followed Hyperlink" xfId="14446" builtinId="9" hidden="1"/>
    <cellStyle name="Followed Hyperlink" xfId="14448" builtinId="9" hidden="1"/>
    <cellStyle name="Followed Hyperlink" xfId="14450" builtinId="9" hidden="1"/>
    <cellStyle name="Followed Hyperlink" xfId="14452" builtinId="9" hidden="1"/>
    <cellStyle name="Followed Hyperlink" xfId="14454" builtinId="9" hidden="1"/>
    <cellStyle name="Followed Hyperlink" xfId="14456" builtinId="9" hidden="1"/>
    <cellStyle name="Followed Hyperlink" xfId="14458" builtinId="9" hidden="1"/>
    <cellStyle name="Followed Hyperlink" xfId="14460" builtinId="9" hidden="1"/>
    <cellStyle name="Followed Hyperlink" xfId="14462" builtinId="9" hidden="1"/>
    <cellStyle name="Followed Hyperlink" xfId="14464" builtinId="9" hidden="1"/>
    <cellStyle name="Followed Hyperlink" xfId="14466" builtinId="9" hidden="1"/>
    <cellStyle name="Followed Hyperlink" xfId="14468" builtinId="9" hidden="1"/>
    <cellStyle name="Followed Hyperlink" xfId="14470" builtinId="9" hidden="1"/>
    <cellStyle name="Followed Hyperlink" xfId="14472" builtinId="9" hidden="1"/>
    <cellStyle name="Followed Hyperlink" xfId="14474" builtinId="9" hidden="1"/>
    <cellStyle name="Followed Hyperlink" xfId="14476" builtinId="9" hidden="1"/>
    <cellStyle name="Followed Hyperlink" xfId="14478" builtinId="9" hidden="1"/>
    <cellStyle name="Followed Hyperlink" xfId="14480" builtinId="9" hidden="1"/>
    <cellStyle name="Followed Hyperlink" xfId="14482" builtinId="9" hidden="1"/>
    <cellStyle name="Followed Hyperlink" xfId="14484" builtinId="9" hidden="1"/>
    <cellStyle name="Followed Hyperlink" xfId="14486" builtinId="9" hidden="1"/>
    <cellStyle name="Followed Hyperlink" xfId="14488" builtinId="9" hidden="1"/>
    <cellStyle name="Followed Hyperlink" xfId="14490" builtinId="9" hidden="1"/>
    <cellStyle name="Followed Hyperlink" xfId="14492" builtinId="9" hidden="1"/>
    <cellStyle name="Followed Hyperlink" xfId="14494" builtinId="9" hidden="1"/>
    <cellStyle name="Followed Hyperlink" xfId="14496" builtinId="9" hidden="1"/>
    <cellStyle name="Followed Hyperlink" xfId="14498" builtinId="9" hidden="1"/>
    <cellStyle name="Followed Hyperlink" xfId="14500" builtinId="9" hidden="1"/>
    <cellStyle name="Followed Hyperlink" xfId="14502" builtinId="9" hidden="1"/>
    <cellStyle name="Followed Hyperlink" xfId="14504" builtinId="9" hidden="1"/>
    <cellStyle name="Followed Hyperlink" xfId="14506" builtinId="9" hidden="1"/>
    <cellStyle name="Followed Hyperlink" xfId="14508" builtinId="9" hidden="1"/>
    <cellStyle name="Followed Hyperlink" xfId="14510" builtinId="9" hidden="1"/>
    <cellStyle name="Followed Hyperlink" xfId="14512" builtinId="9" hidden="1"/>
    <cellStyle name="Followed Hyperlink" xfId="14514" builtinId="9" hidden="1"/>
    <cellStyle name="Followed Hyperlink" xfId="14516" builtinId="9" hidden="1"/>
    <cellStyle name="Followed Hyperlink" xfId="14518" builtinId="9" hidden="1"/>
    <cellStyle name="Followed Hyperlink" xfId="14520" builtinId="9" hidden="1"/>
    <cellStyle name="Followed Hyperlink" xfId="14522" builtinId="9" hidden="1"/>
    <cellStyle name="Followed Hyperlink" xfId="14524" builtinId="9" hidden="1"/>
    <cellStyle name="Followed Hyperlink" xfId="14526" builtinId="9" hidden="1"/>
    <cellStyle name="Followed Hyperlink" xfId="14528" builtinId="9" hidden="1"/>
    <cellStyle name="Followed Hyperlink" xfId="14530" builtinId="9" hidden="1"/>
    <cellStyle name="Followed Hyperlink" xfId="14532" builtinId="9" hidden="1"/>
    <cellStyle name="Followed Hyperlink" xfId="14534" builtinId="9" hidden="1"/>
    <cellStyle name="Followed Hyperlink" xfId="14536" builtinId="9" hidden="1"/>
    <cellStyle name="Followed Hyperlink" xfId="14538" builtinId="9" hidden="1"/>
    <cellStyle name="Followed Hyperlink" xfId="14540" builtinId="9" hidden="1"/>
    <cellStyle name="Followed Hyperlink" xfId="14542" builtinId="9" hidden="1"/>
    <cellStyle name="Followed Hyperlink" xfId="14544" builtinId="9" hidden="1"/>
    <cellStyle name="Followed Hyperlink" xfId="14546" builtinId="9" hidden="1"/>
    <cellStyle name="Followed Hyperlink" xfId="14548" builtinId="9" hidden="1"/>
    <cellStyle name="Followed Hyperlink" xfId="14550" builtinId="9" hidden="1"/>
    <cellStyle name="Followed Hyperlink" xfId="14552" builtinId="9" hidden="1"/>
    <cellStyle name="Followed Hyperlink" xfId="14554" builtinId="9" hidden="1"/>
    <cellStyle name="Followed Hyperlink" xfId="14556" builtinId="9" hidden="1"/>
    <cellStyle name="Followed Hyperlink" xfId="14558" builtinId="9" hidden="1"/>
    <cellStyle name="Followed Hyperlink" xfId="14560" builtinId="9" hidden="1"/>
    <cellStyle name="Followed Hyperlink" xfId="14562" builtinId="9" hidden="1"/>
    <cellStyle name="Followed Hyperlink" xfId="14564" builtinId="9" hidden="1"/>
    <cellStyle name="Followed Hyperlink" xfId="14566" builtinId="9" hidden="1"/>
    <cellStyle name="Followed Hyperlink" xfId="14568" builtinId="9" hidden="1"/>
    <cellStyle name="Followed Hyperlink" xfId="14570" builtinId="9" hidden="1"/>
    <cellStyle name="Followed Hyperlink" xfId="14572" builtinId="9" hidden="1"/>
    <cellStyle name="Followed Hyperlink" xfId="14574" builtinId="9" hidden="1"/>
    <cellStyle name="Followed Hyperlink" xfId="14576" builtinId="9" hidden="1"/>
    <cellStyle name="Followed Hyperlink" xfId="14578" builtinId="9" hidden="1"/>
    <cellStyle name="Followed Hyperlink" xfId="14580" builtinId="9" hidden="1"/>
    <cellStyle name="Followed Hyperlink" xfId="14582" builtinId="9" hidden="1"/>
    <cellStyle name="Followed Hyperlink" xfId="14584" builtinId="9" hidden="1"/>
    <cellStyle name="Followed Hyperlink" xfId="14586" builtinId="9" hidden="1"/>
    <cellStyle name="Followed Hyperlink" xfId="14588" builtinId="9" hidden="1"/>
    <cellStyle name="Followed Hyperlink" xfId="14590" builtinId="9" hidden="1"/>
    <cellStyle name="Followed Hyperlink" xfId="14592" builtinId="9" hidden="1"/>
    <cellStyle name="Followed Hyperlink" xfId="14594" builtinId="9" hidden="1"/>
    <cellStyle name="Followed Hyperlink" xfId="14596" builtinId="9" hidden="1"/>
    <cellStyle name="Followed Hyperlink" xfId="14598" builtinId="9" hidden="1"/>
    <cellStyle name="Followed Hyperlink" xfId="14600" builtinId="9" hidden="1"/>
    <cellStyle name="Followed Hyperlink" xfId="14602" builtinId="9" hidden="1"/>
    <cellStyle name="Followed Hyperlink" xfId="14604" builtinId="9" hidden="1"/>
    <cellStyle name="Followed Hyperlink" xfId="14606" builtinId="9" hidden="1"/>
    <cellStyle name="Followed Hyperlink" xfId="14608" builtinId="9" hidden="1"/>
    <cellStyle name="Followed Hyperlink" xfId="14610" builtinId="9" hidden="1"/>
    <cellStyle name="Followed Hyperlink" xfId="14612" builtinId="9" hidden="1"/>
    <cellStyle name="Followed Hyperlink" xfId="14614" builtinId="9" hidden="1"/>
    <cellStyle name="Followed Hyperlink" xfId="14616" builtinId="9" hidden="1"/>
    <cellStyle name="Followed Hyperlink" xfId="14618" builtinId="9" hidden="1"/>
    <cellStyle name="Followed Hyperlink" xfId="14620" builtinId="9" hidden="1"/>
    <cellStyle name="Followed Hyperlink" xfId="14622" builtinId="9" hidden="1"/>
    <cellStyle name="Followed Hyperlink" xfId="14624" builtinId="9" hidden="1"/>
    <cellStyle name="Followed Hyperlink" xfId="14626" builtinId="9" hidden="1"/>
    <cellStyle name="Followed Hyperlink" xfId="14628" builtinId="9" hidden="1"/>
    <cellStyle name="Followed Hyperlink" xfId="14630" builtinId="9" hidden="1"/>
    <cellStyle name="Followed Hyperlink" xfId="14632" builtinId="9" hidden="1"/>
    <cellStyle name="Followed Hyperlink" xfId="14634" builtinId="9" hidden="1"/>
    <cellStyle name="Followed Hyperlink" xfId="14636" builtinId="9" hidden="1"/>
    <cellStyle name="Followed Hyperlink" xfId="14638" builtinId="9" hidden="1"/>
    <cellStyle name="Followed Hyperlink" xfId="14640" builtinId="9" hidden="1"/>
    <cellStyle name="Followed Hyperlink" xfId="14642" builtinId="9" hidden="1"/>
    <cellStyle name="Followed Hyperlink" xfId="14644" builtinId="9" hidden="1"/>
    <cellStyle name="Followed Hyperlink" xfId="14646" builtinId="9" hidden="1"/>
    <cellStyle name="Followed Hyperlink" xfId="14648" builtinId="9" hidden="1"/>
    <cellStyle name="Followed Hyperlink" xfId="14650" builtinId="9" hidden="1"/>
    <cellStyle name="Followed Hyperlink" xfId="14652" builtinId="9" hidden="1"/>
    <cellStyle name="Followed Hyperlink" xfId="14654" builtinId="9" hidden="1"/>
    <cellStyle name="Followed Hyperlink" xfId="14656" builtinId="9" hidden="1"/>
    <cellStyle name="Followed Hyperlink" xfId="14658" builtinId="9" hidden="1"/>
    <cellStyle name="Followed Hyperlink" xfId="14660" builtinId="9" hidden="1"/>
    <cellStyle name="Followed Hyperlink" xfId="14662" builtinId="9" hidden="1"/>
    <cellStyle name="Followed Hyperlink" xfId="14664" builtinId="9" hidden="1"/>
    <cellStyle name="Followed Hyperlink" xfId="14666" builtinId="9" hidden="1"/>
    <cellStyle name="Followed Hyperlink" xfId="14668" builtinId="9" hidden="1"/>
    <cellStyle name="Followed Hyperlink" xfId="14670" builtinId="9" hidden="1"/>
    <cellStyle name="Followed Hyperlink" xfId="14672" builtinId="9" hidden="1"/>
    <cellStyle name="Followed Hyperlink" xfId="14674" builtinId="9" hidden="1"/>
    <cellStyle name="Followed Hyperlink" xfId="14676" builtinId="9" hidden="1"/>
    <cellStyle name="Followed Hyperlink" xfId="14678" builtinId="9" hidden="1"/>
    <cellStyle name="Followed Hyperlink" xfId="14680" builtinId="9" hidden="1"/>
    <cellStyle name="Followed Hyperlink" xfId="14682" builtinId="9" hidden="1"/>
    <cellStyle name="Followed Hyperlink" xfId="14684" builtinId="9" hidden="1"/>
    <cellStyle name="Followed Hyperlink" xfId="14686" builtinId="9" hidden="1"/>
    <cellStyle name="Followed Hyperlink" xfId="14688" builtinId="9" hidden="1"/>
    <cellStyle name="Followed Hyperlink" xfId="14690" builtinId="9" hidden="1"/>
    <cellStyle name="Followed Hyperlink" xfId="14692" builtinId="9" hidden="1"/>
    <cellStyle name="Followed Hyperlink" xfId="14694" builtinId="9" hidden="1"/>
    <cellStyle name="Followed Hyperlink" xfId="14696" builtinId="9" hidden="1"/>
    <cellStyle name="Followed Hyperlink" xfId="14698" builtinId="9" hidden="1"/>
    <cellStyle name="Followed Hyperlink" xfId="14700" builtinId="9" hidden="1"/>
    <cellStyle name="Followed Hyperlink" xfId="14702" builtinId="9" hidden="1"/>
    <cellStyle name="Followed Hyperlink" xfId="14704" builtinId="9" hidden="1"/>
    <cellStyle name="Followed Hyperlink" xfId="14706" builtinId="9" hidden="1"/>
    <cellStyle name="Followed Hyperlink" xfId="14708" builtinId="9" hidden="1"/>
    <cellStyle name="Followed Hyperlink" xfId="14710" builtinId="9" hidden="1"/>
    <cellStyle name="Followed Hyperlink" xfId="14712" builtinId="9" hidden="1"/>
    <cellStyle name="Followed Hyperlink" xfId="14714" builtinId="9" hidden="1"/>
    <cellStyle name="Followed Hyperlink" xfId="14716" builtinId="9" hidden="1"/>
    <cellStyle name="Followed Hyperlink" xfId="14718" builtinId="9" hidden="1"/>
    <cellStyle name="Followed Hyperlink" xfId="14720" builtinId="9" hidden="1"/>
    <cellStyle name="Followed Hyperlink" xfId="14722" builtinId="9" hidden="1"/>
    <cellStyle name="Followed Hyperlink" xfId="14724" builtinId="9" hidden="1"/>
    <cellStyle name="Followed Hyperlink" xfId="14726" builtinId="9" hidden="1"/>
    <cellStyle name="Followed Hyperlink" xfId="14728" builtinId="9" hidden="1"/>
    <cellStyle name="Followed Hyperlink" xfId="14730" builtinId="9" hidden="1"/>
    <cellStyle name="Followed Hyperlink" xfId="14732" builtinId="9" hidden="1"/>
    <cellStyle name="Followed Hyperlink" xfId="14734" builtinId="9" hidden="1"/>
    <cellStyle name="Followed Hyperlink" xfId="14736" builtinId="9" hidden="1"/>
    <cellStyle name="Followed Hyperlink" xfId="14738" builtinId="9" hidden="1"/>
    <cellStyle name="Followed Hyperlink" xfId="14740" builtinId="9" hidden="1"/>
    <cellStyle name="Followed Hyperlink" xfId="14742" builtinId="9" hidden="1"/>
    <cellStyle name="Followed Hyperlink" xfId="14744" builtinId="9" hidden="1"/>
    <cellStyle name="Followed Hyperlink" xfId="14746" builtinId="9" hidden="1"/>
    <cellStyle name="Followed Hyperlink" xfId="14748" builtinId="9" hidden="1"/>
    <cellStyle name="Followed Hyperlink" xfId="14750" builtinId="9" hidden="1"/>
    <cellStyle name="Followed Hyperlink" xfId="14752" builtinId="9" hidden="1"/>
    <cellStyle name="Followed Hyperlink" xfId="14754" builtinId="9" hidden="1"/>
    <cellStyle name="Followed Hyperlink" xfId="14756" builtinId="9" hidden="1"/>
    <cellStyle name="Followed Hyperlink" xfId="14758" builtinId="9" hidden="1"/>
    <cellStyle name="Followed Hyperlink" xfId="14760" builtinId="9" hidden="1"/>
    <cellStyle name="Followed Hyperlink" xfId="14762" builtinId="9" hidden="1"/>
    <cellStyle name="Followed Hyperlink" xfId="14764" builtinId="9" hidden="1"/>
    <cellStyle name="Followed Hyperlink" xfId="14766" builtinId="9" hidden="1"/>
    <cellStyle name="Followed Hyperlink" xfId="14768" builtinId="9" hidden="1"/>
    <cellStyle name="Followed Hyperlink" xfId="14770" builtinId="9" hidden="1"/>
    <cellStyle name="Followed Hyperlink" xfId="14772" builtinId="9" hidden="1"/>
    <cellStyle name="Followed Hyperlink" xfId="14774" builtinId="9" hidden="1"/>
    <cellStyle name="Followed Hyperlink" xfId="14776" builtinId="9" hidden="1"/>
    <cellStyle name="Followed Hyperlink" xfId="14778" builtinId="9" hidden="1"/>
    <cellStyle name="Followed Hyperlink" xfId="14780" builtinId="9" hidden="1"/>
    <cellStyle name="Followed Hyperlink" xfId="14782" builtinId="9" hidden="1"/>
    <cellStyle name="Followed Hyperlink" xfId="14784" builtinId="9" hidden="1"/>
    <cellStyle name="Followed Hyperlink" xfId="14786" builtinId="9" hidden="1"/>
    <cellStyle name="Followed Hyperlink" xfId="14788" builtinId="9" hidden="1"/>
    <cellStyle name="Followed Hyperlink" xfId="14790" builtinId="9" hidden="1"/>
    <cellStyle name="Followed Hyperlink" xfId="14792" builtinId="9" hidden="1"/>
    <cellStyle name="Followed Hyperlink" xfId="14794" builtinId="9" hidden="1"/>
    <cellStyle name="Followed Hyperlink" xfId="14796" builtinId="9" hidden="1"/>
    <cellStyle name="Followed Hyperlink" xfId="14798" builtinId="9" hidden="1"/>
    <cellStyle name="Followed Hyperlink" xfId="14800" builtinId="9" hidden="1"/>
    <cellStyle name="Followed Hyperlink" xfId="14802" builtinId="9" hidden="1"/>
    <cellStyle name="Followed Hyperlink" xfId="14804" builtinId="9" hidden="1"/>
    <cellStyle name="Followed Hyperlink" xfId="14806" builtinId="9" hidden="1"/>
    <cellStyle name="Followed Hyperlink" xfId="14808" builtinId="9" hidden="1"/>
    <cellStyle name="Followed Hyperlink" xfId="14810" builtinId="9" hidden="1"/>
    <cellStyle name="Followed Hyperlink" xfId="14812" builtinId="9" hidden="1"/>
    <cellStyle name="Followed Hyperlink" xfId="14814" builtinId="9" hidden="1"/>
    <cellStyle name="Followed Hyperlink" xfId="14816" builtinId="9" hidden="1"/>
    <cellStyle name="Followed Hyperlink" xfId="14818" builtinId="9" hidden="1"/>
    <cellStyle name="Followed Hyperlink" xfId="14820" builtinId="9" hidden="1"/>
    <cellStyle name="Followed Hyperlink" xfId="14822" builtinId="9" hidden="1"/>
    <cellStyle name="Followed Hyperlink" xfId="14824" builtinId="9" hidden="1"/>
    <cellStyle name="Followed Hyperlink" xfId="14826" builtinId="9" hidden="1"/>
    <cellStyle name="Followed Hyperlink" xfId="14828" builtinId="9" hidden="1"/>
    <cellStyle name="Followed Hyperlink" xfId="14830" builtinId="9" hidden="1"/>
    <cellStyle name="Followed Hyperlink" xfId="14832" builtinId="9" hidden="1"/>
    <cellStyle name="Followed Hyperlink" xfId="14834" builtinId="9" hidden="1"/>
    <cellStyle name="Followed Hyperlink" xfId="14836" builtinId="9" hidden="1"/>
    <cellStyle name="Followed Hyperlink" xfId="14838" builtinId="9" hidden="1"/>
    <cellStyle name="Followed Hyperlink" xfId="14840" builtinId="9" hidden="1"/>
    <cellStyle name="Followed Hyperlink" xfId="14842" builtinId="9" hidden="1"/>
    <cellStyle name="Followed Hyperlink" xfId="14844" builtinId="9" hidden="1"/>
    <cellStyle name="Followed Hyperlink" xfId="14846" builtinId="9" hidden="1"/>
    <cellStyle name="Followed Hyperlink" xfId="14848" builtinId="9" hidden="1"/>
    <cellStyle name="Followed Hyperlink" xfId="14850" builtinId="9" hidden="1"/>
    <cellStyle name="Followed Hyperlink" xfId="14852" builtinId="9" hidden="1"/>
    <cellStyle name="Followed Hyperlink" xfId="14854" builtinId="9" hidden="1"/>
    <cellStyle name="Followed Hyperlink" xfId="14856" builtinId="9" hidden="1"/>
    <cellStyle name="Followed Hyperlink" xfId="14858" builtinId="9" hidden="1"/>
    <cellStyle name="Followed Hyperlink" xfId="14860" builtinId="9" hidden="1"/>
    <cellStyle name="Followed Hyperlink" xfId="14862" builtinId="9" hidden="1"/>
    <cellStyle name="Followed Hyperlink" xfId="14864" builtinId="9" hidden="1"/>
    <cellStyle name="Followed Hyperlink" xfId="14866" builtinId="9" hidden="1"/>
    <cellStyle name="Followed Hyperlink" xfId="14868" builtinId="9" hidden="1"/>
    <cellStyle name="Followed Hyperlink" xfId="14870" builtinId="9" hidden="1"/>
    <cellStyle name="Followed Hyperlink" xfId="14872" builtinId="9" hidden="1"/>
    <cellStyle name="Followed Hyperlink" xfId="14874" builtinId="9" hidden="1"/>
    <cellStyle name="Followed Hyperlink" xfId="14876" builtinId="9" hidden="1"/>
    <cellStyle name="Followed Hyperlink" xfId="14878" builtinId="9" hidden="1"/>
    <cellStyle name="Followed Hyperlink" xfId="14880" builtinId="9" hidden="1"/>
    <cellStyle name="Followed Hyperlink" xfId="14882" builtinId="9" hidden="1"/>
    <cellStyle name="Followed Hyperlink" xfId="14884" builtinId="9" hidden="1"/>
    <cellStyle name="Followed Hyperlink" xfId="14886" builtinId="9" hidden="1"/>
    <cellStyle name="Followed Hyperlink" xfId="14888" builtinId="9" hidden="1"/>
    <cellStyle name="Followed Hyperlink" xfId="14890" builtinId="9" hidden="1"/>
    <cellStyle name="Followed Hyperlink" xfId="14892" builtinId="9" hidden="1"/>
    <cellStyle name="Followed Hyperlink" xfId="14894" builtinId="9" hidden="1"/>
    <cellStyle name="Followed Hyperlink" xfId="14896" builtinId="9" hidden="1"/>
    <cellStyle name="Followed Hyperlink" xfId="14898" builtinId="9" hidden="1"/>
    <cellStyle name="Followed Hyperlink" xfId="14900" builtinId="9" hidden="1"/>
    <cellStyle name="Followed Hyperlink" xfId="14902" builtinId="9" hidden="1"/>
    <cellStyle name="Followed Hyperlink" xfId="14904" builtinId="9" hidden="1"/>
    <cellStyle name="Followed Hyperlink" xfId="14906" builtinId="9" hidden="1"/>
    <cellStyle name="Followed Hyperlink" xfId="14908" builtinId="9" hidden="1"/>
    <cellStyle name="Followed Hyperlink" xfId="14910" builtinId="9" hidden="1"/>
    <cellStyle name="Followed Hyperlink" xfId="14912" builtinId="9" hidden="1"/>
    <cellStyle name="Followed Hyperlink" xfId="14914" builtinId="9" hidden="1"/>
    <cellStyle name="Followed Hyperlink" xfId="14916" builtinId="9" hidden="1"/>
    <cellStyle name="Followed Hyperlink" xfId="14918" builtinId="9" hidden="1"/>
    <cellStyle name="Followed Hyperlink" xfId="14920" builtinId="9" hidden="1"/>
    <cellStyle name="Followed Hyperlink" xfId="14922" builtinId="9" hidden="1"/>
    <cellStyle name="Followed Hyperlink" xfId="14924" builtinId="9" hidden="1"/>
    <cellStyle name="Followed Hyperlink" xfId="14926" builtinId="9" hidden="1"/>
    <cellStyle name="Followed Hyperlink" xfId="14928" builtinId="9" hidden="1"/>
    <cellStyle name="Followed Hyperlink" xfId="14930" builtinId="9" hidden="1"/>
    <cellStyle name="Followed Hyperlink" xfId="14932" builtinId="9" hidden="1"/>
    <cellStyle name="Followed Hyperlink" xfId="14934" builtinId="9" hidden="1"/>
    <cellStyle name="Followed Hyperlink" xfId="14936" builtinId="9" hidden="1"/>
    <cellStyle name="Followed Hyperlink" xfId="14938" builtinId="9" hidden="1"/>
    <cellStyle name="Followed Hyperlink" xfId="14940" builtinId="9" hidden="1"/>
    <cellStyle name="Followed Hyperlink" xfId="14942" builtinId="9" hidden="1"/>
    <cellStyle name="Followed Hyperlink" xfId="14944" builtinId="9" hidden="1"/>
    <cellStyle name="Followed Hyperlink" xfId="14946" builtinId="9" hidden="1"/>
    <cellStyle name="Followed Hyperlink" xfId="14948" builtinId="9" hidden="1"/>
    <cellStyle name="Followed Hyperlink" xfId="14950" builtinId="9" hidden="1"/>
    <cellStyle name="Followed Hyperlink" xfId="14952" builtinId="9" hidden="1"/>
    <cellStyle name="Followed Hyperlink" xfId="14954" builtinId="9" hidden="1"/>
    <cellStyle name="Followed Hyperlink" xfId="14956" builtinId="9" hidden="1"/>
    <cellStyle name="Followed Hyperlink" xfId="14958" builtinId="9" hidden="1"/>
    <cellStyle name="Followed Hyperlink" xfId="14960" builtinId="9" hidden="1"/>
    <cellStyle name="Followed Hyperlink" xfId="14962" builtinId="9" hidden="1"/>
    <cellStyle name="Followed Hyperlink" xfId="14964" builtinId="9" hidden="1"/>
    <cellStyle name="Followed Hyperlink" xfId="14966" builtinId="9" hidden="1"/>
    <cellStyle name="Followed Hyperlink" xfId="14968" builtinId="9" hidden="1"/>
    <cellStyle name="Followed Hyperlink" xfId="14970" builtinId="9" hidden="1"/>
    <cellStyle name="Followed Hyperlink" xfId="14972" builtinId="9" hidden="1"/>
    <cellStyle name="Followed Hyperlink" xfId="14974" builtinId="9" hidden="1"/>
    <cellStyle name="Followed Hyperlink" xfId="14976" builtinId="9" hidden="1"/>
    <cellStyle name="Followed Hyperlink" xfId="14978" builtinId="9" hidden="1"/>
    <cellStyle name="Followed Hyperlink" xfId="14980" builtinId="9" hidden="1"/>
    <cellStyle name="Followed Hyperlink" xfId="14982" builtinId="9" hidden="1"/>
    <cellStyle name="Followed Hyperlink" xfId="14984" builtinId="9" hidden="1"/>
    <cellStyle name="Followed Hyperlink" xfId="14986" builtinId="9" hidden="1"/>
    <cellStyle name="Followed Hyperlink" xfId="14988" builtinId="9" hidden="1"/>
    <cellStyle name="Followed Hyperlink" xfId="14990" builtinId="9" hidden="1"/>
    <cellStyle name="Followed Hyperlink" xfId="14992" builtinId="9" hidden="1"/>
    <cellStyle name="Followed Hyperlink" xfId="14994" builtinId="9" hidden="1"/>
    <cellStyle name="Followed Hyperlink" xfId="14996" builtinId="9" hidden="1"/>
    <cellStyle name="Followed Hyperlink" xfId="14998" builtinId="9" hidden="1"/>
    <cellStyle name="Followed Hyperlink" xfId="15000" builtinId="9" hidden="1"/>
    <cellStyle name="Followed Hyperlink" xfId="15002" builtinId="9" hidden="1"/>
    <cellStyle name="Followed Hyperlink" xfId="15004" builtinId="9" hidden="1"/>
    <cellStyle name="Followed Hyperlink" xfId="15006" builtinId="9" hidden="1"/>
    <cellStyle name="Followed Hyperlink" xfId="15008" builtinId="9" hidden="1"/>
    <cellStyle name="Followed Hyperlink" xfId="15010" builtinId="9" hidden="1"/>
    <cellStyle name="Followed Hyperlink" xfId="15012" builtinId="9" hidden="1"/>
    <cellStyle name="Followed Hyperlink" xfId="15014" builtinId="9" hidden="1"/>
    <cellStyle name="Followed Hyperlink" xfId="15016" builtinId="9" hidden="1"/>
    <cellStyle name="Followed Hyperlink" xfId="15018" builtinId="9" hidden="1"/>
    <cellStyle name="Followed Hyperlink" xfId="15020" builtinId="9" hidden="1"/>
    <cellStyle name="Followed Hyperlink" xfId="15022" builtinId="9" hidden="1"/>
    <cellStyle name="Followed Hyperlink" xfId="15024" builtinId="9" hidden="1"/>
    <cellStyle name="Followed Hyperlink" xfId="15026" builtinId="9" hidden="1"/>
    <cellStyle name="Followed Hyperlink" xfId="15028" builtinId="9" hidden="1"/>
    <cellStyle name="Followed Hyperlink" xfId="15030" builtinId="9" hidden="1"/>
    <cellStyle name="Followed Hyperlink" xfId="15032" builtinId="9" hidden="1"/>
    <cellStyle name="Followed Hyperlink" xfId="15034" builtinId="9" hidden="1"/>
    <cellStyle name="Followed Hyperlink" xfId="15036" builtinId="9" hidden="1"/>
    <cellStyle name="Followed Hyperlink" xfId="15038" builtinId="9" hidden="1"/>
    <cellStyle name="Followed Hyperlink" xfId="15040" builtinId="9" hidden="1"/>
    <cellStyle name="Followed Hyperlink" xfId="15042" builtinId="9" hidden="1"/>
    <cellStyle name="Followed Hyperlink" xfId="15044" builtinId="9" hidden="1"/>
    <cellStyle name="Followed Hyperlink" xfId="15046" builtinId="9" hidden="1"/>
    <cellStyle name="Followed Hyperlink" xfId="15048" builtinId="9" hidden="1"/>
    <cellStyle name="Followed Hyperlink" xfId="15050" builtinId="9" hidden="1"/>
    <cellStyle name="Followed Hyperlink" xfId="15052" builtinId="9" hidden="1"/>
    <cellStyle name="Followed Hyperlink" xfId="15054" builtinId="9" hidden="1"/>
    <cellStyle name="Followed Hyperlink" xfId="15056" builtinId="9" hidden="1"/>
    <cellStyle name="Followed Hyperlink" xfId="15058" builtinId="9" hidden="1"/>
    <cellStyle name="Followed Hyperlink" xfId="15060" builtinId="9" hidden="1"/>
    <cellStyle name="Followed Hyperlink" xfId="15062" builtinId="9" hidden="1"/>
    <cellStyle name="Followed Hyperlink" xfId="15064" builtinId="9" hidden="1"/>
    <cellStyle name="Followed Hyperlink" xfId="15066" builtinId="9" hidden="1"/>
    <cellStyle name="Followed Hyperlink" xfId="15068" builtinId="9" hidden="1"/>
    <cellStyle name="Followed Hyperlink" xfId="15070" builtinId="9" hidden="1"/>
    <cellStyle name="Followed Hyperlink" xfId="15072" builtinId="9" hidden="1"/>
    <cellStyle name="Followed Hyperlink" xfId="15074" builtinId="9" hidden="1"/>
    <cellStyle name="Followed Hyperlink" xfId="15076" builtinId="9" hidden="1"/>
    <cellStyle name="Followed Hyperlink" xfId="15078" builtinId="9" hidden="1"/>
    <cellStyle name="Followed Hyperlink" xfId="15080" builtinId="9" hidden="1"/>
    <cellStyle name="Followed Hyperlink" xfId="15082" builtinId="9" hidden="1"/>
    <cellStyle name="Followed Hyperlink" xfId="15084" builtinId="9" hidden="1"/>
    <cellStyle name="Followed Hyperlink" xfId="15086" builtinId="9" hidden="1"/>
    <cellStyle name="Followed Hyperlink" xfId="15088" builtinId="9" hidden="1"/>
    <cellStyle name="Followed Hyperlink" xfId="15090" builtinId="9" hidden="1"/>
    <cellStyle name="Followed Hyperlink" xfId="15092" builtinId="9" hidden="1"/>
    <cellStyle name="Followed Hyperlink" xfId="15094" builtinId="9" hidden="1"/>
    <cellStyle name="Followed Hyperlink" xfId="15096" builtinId="9" hidden="1"/>
    <cellStyle name="Followed Hyperlink" xfId="15098" builtinId="9" hidden="1"/>
    <cellStyle name="Followed Hyperlink" xfId="15100" builtinId="9" hidden="1"/>
    <cellStyle name="Followed Hyperlink" xfId="15102" builtinId="9" hidden="1"/>
    <cellStyle name="Followed Hyperlink" xfId="15104" builtinId="9" hidden="1"/>
    <cellStyle name="Followed Hyperlink" xfId="15106" builtinId="9" hidden="1"/>
    <cellStyle name="Followed Hyperlink" xfId="15108" builtinId="9" hidden="1"/>
    <cellStyle name="Followed Hyperlink" xfId="15110" builtinId="9" hidden="1"/>
    <cellStyle name="Followed Hyperlink" xfId="15112" builtinId="9" hidden="1"/>
    <cellStyle name="Followed Hyperlink" xfId="15114" builtinId="9" hidden="1"/>
    <cellStyle name="Followed Hyperlink" xfId="15116" builtinId="9" hidden="1"/>
    <cellStyle name="Followed Hyperlink" xfId="15118" builtinId="9" hidden="1"/>
    <cellStyle name="Followed Hyperlink" xfId="15120" builtinId="9" hidden="1"/>
    <cellStyle name="Followed Hyperlink" xfId="15122" builtinId="9" hidden="1"/>
    <cellStyle name="Followed Hyperlink" xfId="15124" builtinId="9" hidden="1"/>
    <cellStyle name="Followed Hyperlink" xfId="15126" builtinId="9" hidden="1"/>
    <cellStyle name="Followed Hyperlink" xfId="15128" builtinId="9" hidden="1"/>
    <cellStyle name="Followed Hyperlink" xfId="15130" builtinId="9" hidden="1"/>
    <cellStyle name="Followed Hyperlink" xfId="15132" builtinId="9" hidden="1"/>
    <cellStyle name="Followed Hyperlink" xfId="15134" builtinId="9" hidden="1"/>
    <cellStyle name="Followed Hyperlink" xfId="15136" builtinId="9" hidden="1"/>
    <cellStyle name="Followed Hyperlink" xfId="15138" builtinId="9" hidden="1"/>
    <cellStyle name="Followed Hyperlink" xfId="15140" builtinId="9" hidden="1"/>
    <cellStyle name="Followed Hyperlink" xfId="15142" builtinId="9" hidden="1"/>
    <cellStyle name="Followed Hyperlink" xfId="15144" builtinId="9" hidden="1"/>
    <cellStyle name="Followed Hyperlink" xfId="15146" builtinId="9" hidden="1"/>
    <cellStyle name="Followed Hyperlink" xfId="15148" builtinId="9" hidden="1"/>
    <cellStyle name="Followed Hyperlink" xfId="15150" builtinId="9" hidden="1"/>
    <cellStyle name="Followed Hyperlink" xfId="15152" builtinId="9" hidden="1"/>
    <cellStyle name="Followed Hyperlink" xfId="15154" builtinId="9" hidden="1"/>
    <cellStyle name="Followed Hyperlink" xfId="15156" builtinId="9" hidden="1"/>
    <cellStyle name="Followed Hyperlink" xfId="15158" builtinId="9" hidden="1"/>
    <cellStyle name="Followed Hyperlink" xfId="15160" builtinId="9" hidden="1"/>
    <cellStyle name="Followed Hyperlink" xfId="15162" builtinId="9" hidden="1"/>
    <cellStyle name="Followed Hyperlink" xfId="15164" builtinId="9" hidden="1"/>
    <cellStyle name="Followed Hyperlink" xfId="15166" builtinId="9" hidden="1"/>
    <cellStyle name="Followed Hyperlink" xfId="15168" builtinId="9" hidden="1"/>
    <cellStyle name="Followed Hyperlink" xfId="15170" builtinId="9" hidden="1"/>
    <cellStyle name="Followed Hyperlink" xfId="15172" builtinId="9" hidden="1"/>
    <cellStyle name="Followed Hyperlink" xfId="15174" builtinId="9" hidden="1"/>
    <cellStyle name="Followed Hyperlink" xfId="15176" builtinId="9" hidden="1"/>
    <cellStyle name="Followed Hyperlink" xfId="15178" builtinId="9" hidden="1"/>
    <cellStyle name="Followed Hyperlink" xfId="15180" builtinId="9" hidden="1"/>
    <cellStyle name="Followed Hyperlink" xfId="15182" builtinId="9" hidden="1"/>
    <cellStyle name="Followed Hyperlink" xfId="15184" builtinId="9" hidden="1"/>
    <cellStyle name="Followed Hyperlink" xfId="15186" builtinId="9" hidden="1"/>
    <cellStyle name="Followed Hyperlink" xfId="15188" builtinId="9" hidden="1"/>
    <cellStyle name="Followed Hyperlink" xfId="15190" builtinId="9" hidden="1"/>
    <cellStyle name="Followed Hyperlink" xfId="15192" builtinId="9" hidden="1"/>
    <cellStyle name="Followed Hyperlink" xfId="15194" builtinId="9" hidden="1"/>
    <cellStyle name="Followed Hyperlink" xfId="15196" builtinId="9" hidden="1"/>
    <cellStyle name="Followed Hyperlink" xfId="15198" builtinId="9" hidden="1"/>
    <cellStyle name="Followed Hyperlink" xfId="15200" builtinId="9" hidden="1"/>
    <cellStyle name="Followed Hyperlink" xfId="15202" builtinId="9" hidden="1"/>
    <cellStyle name="Followed Hyperlink" xfId="15204" builtinId="9" hidden="1"/>
    <cellStyle name="Followed Hyperlink" xfId="15206" builtinId="9" hidden="1"/>
    <cellStyle name="Followed Hyperlink" xfId="15208" builtinId="9" hidden="1"/>
    <cellStyle name="Followed Hyperlink" xfId="15210" builtinId="9" hidden="1"/>
    <cellStyle name="Followed Hyperlink" xfId="15212" builtinId="9" hidden="1"/>
    <cellStyle name="Followed Hyperlink" xfId="15214" builtinId="9" hidden="1"/>
    <cellStyle name="Followed Hyperlink" xfId="15216" builtinId="9" hidden="1"/>
    <cellStyle name="Followed Hyperlink" xfId="15218" builtinId="9" hidden="1"/>
    <cellStyle name="Followed Hyperlink" xfId="15220" builtinId="9" hidden="1"/>
    <cellStyle name="Followed Hyperlink" xfId="15222" builtinId="9" hidden="1"/>
    <cellStyle name="Followed Hyperlink" xfId="15224" builtinId="9" hidden="1"/>
    <cellStyle name="Followed Hyperlink" xfId="15226" builtinId="9" hidden="1"/>
    <cellStyle name="Followed Hyperlink" xfId="15228" builtinId="9" hidden="1"/>
    <cellStyle name="Followed Hyperlink" xfId="15230" builtinId="9" hidden="1"/>
    <cellStyle name="Followed Hyperlink" xfId="15232" builtinId="9" hidden="1"/>
    <cellStyle name="Followed Hyperlink" xfId="15234" builtinId="9" hidden="1"/>
    <cellStyle name="Followed Hyperlink" xfId="15236" builtinId="9" hidden="1"/>
    <cellStyle name="Followed Hyperlink" xfId="15238" builtinId="9" hidden="1"/>
    <cellStyle name="Followed Hyperlink" xfId="15240" builtinId="9" hidden="1"/>
    <cellStyle name="Followed Hyperlink" xfId="15242" builtinId="9" hidden="1"/>
    <cellStyle name="Followed Hyperlink" xfId="15244" builtinId="9" hidden="1"/>
    <cellStyle name="Followed Hyperlink" xfId="15246" builtinId="9" hidden="1"/>
    <cellStyle name="Followed Hyperlink" xfId="15248" builtinId="9" hidden="1"/>
    <cellStyle name="Followed Hyperlink" xfId="15250" builtinId="9" hidden="1"/>
    <cellStyle name="Followed Hyperlink" xfId="15252" builtinId="9" hidden="1"/>
    <cellStyle name="Followed Hyperlink" xfId="15254" builtinId="9" hidden="1"/>
    <cellStyle name="Followed Hyperlink" xfId="15256" builtinId="9" hidden="1"/>
    <cellStyle name="Followed Hyperlink" xfId="15258" builtinId="9" hidden="1"/>
    <cellStyle name="Followed Hyperlink" xfId="15260" builtinId="9" hidden="1"/>
    <cellStyle name="Followed Hyperlink" xfId="15262" builtinId="9" hidden="1"/>
    <cellStyle name="Followed Hyperlink" xfId="15264" builtinId="9" hidden="1"/>
    <cellStyle name="Followed Hyperlink" xfId="15266" builtinId="9" hidden="1"/>
    <cellStyle name="Followed Hyperlink" xfId="15268" builtinId="9" hidden="1"/>
    <cellStyle name="Followed Hyperlink" xfId="15270" builtinId="9" hidden="1"/>
    <cellStyle name="Followed Hyperlink" xfId="15272" builtinId="9" hidden="1"/>
    <cellStyle name="Followed Hyperlink" xfId="15274" builtinId="9" hidden="1"/>
    <cellStyle name="Followed Hyperlink" xfId="15276" builtinId="9" hidden="1"/>
    <cellStyle name="Followed Hyperlink" xfId="15278" builtinId="9" hidden="1"/>
    <cellStyle name="Followed Hyperlink" xfId="15280" builtinId="9" hidden="1"/>
    <cellStyle name="Followed Hyperlink" xfId="15282" builtinId="9" hidden="1"/>
    <cellStyle name="Followed Hyperlink" xfId="15284" builtinId="9" hidden="1"/>
    <cellStyle name="Followed Hyperlink" xfId="15286" builtinId="9" hidden="1"/>
    <cellStyle name="Followed Hyperlink" xfId="15288" builtinId="9" hidden="1"/>
    <cellStyle name="Followed Hyperlink" xfId="15290" builtinId="9" hidden="1"/>
    <cellStyle name="Followed Hyperlink" xfId="15292" builtinId="9" hidden="1"/>
    <cellStyle name="Followed Hyperlink" xfId="15294" builtinId="9" hidden="1"/>
    <cellStyle name="Followed Hyperlink" xfId="15296" builtinId="9" hidden="1"/>
    <cellStyle name="Followed Hyperlink" xfId="15298" builtinId="9" hidden="1"/>
    <cellStyle name="Followed Hyperlink" xfId="15300" builtinId="9" hidden="1"/>
    <cellStyle name="Followed Hyperlink" xfId="15302" builtinId="9" hidden="1"/>
    <cellStyle name="Followed Hyperlink" xfId="15304" builtinId="9" hidden="1"/>
    <cellStyle name="Followed Hyperlink" xfId="15306" builtinId="9" hidden="1"/>
    <cellStyle name="Followed Hyperlink" xfId="15308" builtinId="9" hidden="1"/>
    <cellStyle name="Followed Hyperlink" xfId="15310" builtinId="9" hidden="1"/>
    <cellStyle name="Followed Hyperlink" xfId="15312" builtinId="9" hidden="1"/>
    <cellStyle name="Followed Hyperlink" xfId="15314" builtinId="9" hidden="1"/>
    <cellStyle name="Followed Hyperlink" xfId="15316" builtinId="9" hidden="1"/>
    <cellStyle name="Followed Hyperlink" xfId="15318" builtinId="9" hidden="1"/>
    <cellStyle name="Followed Hyperlink" xfId="15320" builtinId="9" hidden="1"/>
    <cellStyle name="Followed Hyperlink" xfId="15322" builtinId="9" hidden="1"/>
    <cellStyle name="Followed Hyperlink" xfId="15324" builtinId="9" hidden="1"/>
    <cellStyle name="Followed Hyperlink" xfId="15326" builtinId="9" hidden="1"/>
    <cellStyle name="Followed Hyperlink" xfId="15328" builtinId="9" hidden="1"/>
    <cellStyle name="Followed Hyperlink" xfId="15330" builtinId="9" hidden="1"/>
    <cellStyle name="Followed Hyperlink" xfId="15332" builtinId="9" hidden="1"/>
    <cellStyle name="Followed Hyperlink" xfId="15334" builtinId="9" hidden="1"/>
    <cellStyle name="Followed Hyperlink" xfId="15336" builtinId="9" hidden="1"/>
    <cellStyle name="Followed Hyperlink" xfId="15338" builtinId="9" hidden="1"/>
    <cellStyle name="Followed Hyperlink" xfId="15340" builtinId="9" hidden="1"/>
    <cellStyle name="Followed Hyperlink" xfId="15342" builtinId="9" hidden="1"/>
    <cellStyle name="Followed Hyperlink" xfId="15344" builtinId="9" hidden="1"/>
    <cellStyle name="Followed Hyperlink" xfId="15346" builtinId="9" hidden="1"/>
    <cellStyle name="Followed Hyperlink" xfId="15348" builtinId="9" hidden="1"/>
    <cellStyle name="Followed Hyperlink" xfId="15350" builtinId="9" hidden="1"/>
    <cellStyle name="Followed Hyperlink" xfId="15352" builtinId="9" hidden="1"/>
    <cellStyle name="Followed Hyperlink" xfId="15354" builtinId="9" hidden="1"/>
    <cellStyle name="Followed Hyperlink" xfId="15356" builtinId="9" hidden="1"/>
    <cellStyle name="Followed Hyperlink" xfId="15358" builtinId="9" hidden="1"/>
    <cellStyle name="Followed Hyperlink" xfId="15360" builtinId="9" hidden="1"/>
    <cellStyle name="Followed Hyperlink" xfId="15362" builtinId="9" hidden="1"/>
    <cellStyle name="Followed Hyperlink" xfId="15364" builtinId="9" hidden="1"/>
    <cellStyle name="Followed Hyperlink" xfId="15366" builtinId="9" hidden="1"/>
    <cellStyle name="Followed Hyperlink" xfId="15368" builtinId="9" hidden="1"/>
    <cellStyle name="Followed Hyperlink" xfId="15370" builtinId="9" hidden="1"/>
    <cellStyle name="Followed Hyperlink" xfId="15372" builtinId="9" hidden="1"/>
    <cellStyle name="Followed Hyperlink" xfId="15374" builtinId="9" hidden="1"/>
    <cellStyle name="Followed Hyperlink" xfId="15376" builtinId="9" hidden="1"/>
    <cellStyle name="Followed Hyperlink" xfId="15378" builtinId="9" hidden="1"/>
    <cellStyle name="Followed Hyperlink" xfId="15380" builtinId="9" hidden="1"/>
    <cellStyle name="Followed Hyperlink" xfId="15382" builtinId="9" hidden="1"/>
    <cellStyle name="Followed Hyperlink" xfId="15384" builtinId="9" hidden="1"/>
    <cellStyle name="Followed Hyperlink" xfId="15386" builtinId="9" hidden="1"/>
    <cellStyle name="Followed Hyperlink" xfId="15388" builtinId="9" hidden="1"/>
    <cellStyle name="Followed Hyperlink" xfId="15390" builtinId="9" hidden="1"/>
    <cellStyle name="Followed Hyperlink" xfId="15392" builtinId="9" hidden="1"/>
    <cellStyle name="Followed Hyperlink" xfId="15394" builtinId="9" hidden="1"/>
    <cellStyle name="Followed Hyperlink" xfId="15396" builtinId="9" hidden="1"/>
    <cellStyle name="Followed Hyperlink" xfId="15398" builtinId="9" hidden="1"/>
    <cellStyle name="Followed Hyperlink" xfId="15400" builtinId="9" hidden="1"/>
    <cellStyle name="Followed Hyperlink" xfId="15402" builtinId="9" hidden="1"/>
    <cellStyle name="Followed Hyperlink" xfId="15404" builtinId="9" hidden="1"/>
    <cellStyle name="Followed Hyperlink" xfId="15406" builtinId="9" hidden="1"/>
    <cellStyle name="Followed Hyperlink" xfId="15408" builtinId="9" hidden="1"/>
    <cellStyle name="Followed Hyperlink" xfId="15410" builtinId="9" hidden="1"/>
    <cellStyle name="Followed Hyperlink" xfId="15412" builtinId="9" hidden="1"/>
    <cellStyle name="Followed Hyperlink" xfId="15414" builtinId="9" hidden="1"/>
    <cellStyle name="Followed Hyperlink" xfId="15416" builtinId="9" hidden="1"/>
    <cellStyle name="Followed Hyperlink" xfId="15418" builtinId="9" hidden="1"/>
    <cellStyle name="Followed Hyperlink" xfId="15420" builtinId="9" hidden="1"/>
    <cellStyle name="Followed Hyperlink" xfId="15422" builtinId="9" hidden="1"/>
    <cellStyle name="Followed Hyperlink" xfId="15424" builtinId="9" hidden="1"/>
    <cellStyle name="Followed Hyperlink" xfId="15426" builtinId="9" hidden="1"/>
    <cellStyle name="Followed Hyperlink" xfId="15428" builtinId="9" hidden="1"/>
    <cellStyle name="Followed Hyperlink" xfId="15430" builtinId="9" hidden="1"/>
    <cellStyle name="Followed Hyperlink" xfId="15432" builtinId="9" hidden="1"/>
    <cellStyle name="Followed Hyperlink" xfId="15434" builtinId="9" hidden="1"/>
    <cellStyle name="Followed Hyperlink" xfId="15436" builtinId="9" hidden="1"/>
    <cellStyle name="Followed Hyperlink" xfId="15438" builtinId="9" hidden="1"/>
    <cellStyle name="Followed Hyperlink" xfId="15440" builtinId="9" hidden="1"/>
    <cellStyle name="Followed Hyperlink" xfId="15442" builtinId="9" hidden="1"/>
    <cellStyle name="Followed Hyperlink" xfId="15444" builtinId="9" hidden="1"/>
    <cellStyle name="Followed Hyperlink" xfId="15446" builtinId="9" hidden="1"/>
    <cellStyle name="Followed Hyperlink" xfId="15448" builtinId="9" hidden="1"/>
    <cellStyle name="Followed Hyperlink" xfId="15450" builtinId="9" hidden="1"/>
    <cellStyle name="Followed Hyperlink" xfId="15452" builtinId="9" hidden="1"/>
    <cellStyle name="Followed Hyperlink" xfId="15454" builtinId="9" hidden="1"/>
    <cellStyle name="Followed Hyperlink" xfId="15456" builtinId="9" hidden="1"/>
    <cellStyle name="Followed Hyperlink" xfId="15458" builtinId="9" hidden="1"/>
    <cellStyle name="Followed Hyperlink" xfId="15460" builtinId="9" hidden="1"/>
    <cellStyle name="Followed Hyperlink" xfId="15462" builtinId="9" hidden="1"/>
    <cellStyle name="Followed Hyperlink" xfId="15464" builtinId="9" hidden="1"/>
    <cellStyle name="Followed Hyperlink" xfId="15466" builtinId="9" hidden="1"/>
    <cellStyle name="Followed Hyperlink" xfId="15468" builtinId="9" hidden="1"/>
    <cellStyle name="Followed Hyperlink" xfId="15470" builtinId="9" hidden="1"/>
    <cellStyle name="Followed Hyperlink" xfId="15472" builtinId="9" hidden="1"/>
    <cellStyle name="Followed Hyperlink" xfId="15474" builtinId="9" hidden="1"/>
    <cellStyle name="Followed Hyperlink" xfId="15476" builtinId="9" hidden="1"/>
    <cellStyle name="Followed Hyperlink" xfId="15478" builtinId="9" hidden="1"/>
    <cellStyle name="Followed Hyperlink" xfId="15480" builtinId="9" hidden="1"/>
    <cellStyle name="Followed Hyperlink" xfId="15482" builtinId="9" hidden="1"/>
    <cellStyle name="Followed Hyperlink" xfId="15484" builtinId="9" hidden="1"/>
    <cellStyle name="Followed Hyperlink" xfId="15486" builtinId="9" hidden="1"/>
    <cellStyle name="Followed Hyperlink" xfId="15488" builtinId="9" hidden="1"/>
    <cellStyle name="Followed Hyperlink" xfId="15490" builtinId="9" hidden="1"/>
    <cellStyle name="Followed Hyperlink" xfId="15492" builtinId="9" hidden="1"/>
    <cellStyle name="Followed Hyperlink" xfId="15494" builtinId="9" hidden="1"/>
    <cellStyle name="Followed Hyperlink" xfId="15496" builtinId="9" hidden="1"/>
    <cellStyle name="Followed Hyperlink" xfId="15498" builtinId="9" hidden="1"/>
    <cellStyle name="Followed Hyperlink" xfId="15500" builtinId="9" hidden="1"/>
    <cellStyle name="Followed Hyperlink" xfId="15502" builtinId="9" hidden="1"/>
    <cellStyle name="Followed Hyperlink" xfId="15504" builtinId="9" hidden="1"/>
    <cellStyle name="Followed Hyperlink" xfId="15506" builtinId="9" hidden="1"/>
    <cellStyle name="Followed Hyperlink" xfId="15508" builtinId="9" hidden="1"/>
    <cellStyle name="Followed Hyperlink" xfId="15510" builtinId="9" hidden="1"/>
    <cellStyle name="Followed Hyperlink" xfId="15512" builtinId="9" hidden="1"/>
    <cellStyle name="Followed Hyperlink" xfId="15514" builtinId="9" hidden="1"/>
    <cellStyle name="Followed Hyperlink" xfId="15516" builtinId="9" hidden="1"/>
    <cellStyle name="Followed Hyperlink" xfId="15518" builtinId="9" hidden="1"/>
    <cellStyle name="Followed Hyperlink" xfId="15520" builtinId="9" hidden="1"/>
    <cellStyle name="Followed Hyperlink" xfId="15522" builtinId="9" hidden="1"/>
    <cellStyle name="Followed Hyperlink" xfId="15524" builtinId="9" hidden="1"/>
    <cellStyle name="Followed Hyperlink" xfId="15526" builtinId="9" hidden="1"/>
    <cellStyle name="Followed Hyperlink" xfId="15528" builtinId="9" hidden="1"/>
    <cellStyle name="Followed Hyperlink" xfId="15530" builtinId="9" hidden="1"/>
    <cellStyle name="Followed Hyperlink" xfId="15532" builtinId="9" hidden="1"/>
    <cellStyle name="Followed Hyperlink" xfId="15534" builtinId="9" hidden="1"/>
    <cellStyle name="Followed Hyperlink" xfId="15536" builtinId="9" hidden="1"/>
    <cellStyle name="Followed Hyperlink" xfId="15538" builtinId="9" hidden="1"/>
    <cellStyle name="Followed Hyperlink" xfId="15540" builtinId="9" hidden="1"/>
    <cellStyle name="Followed Hyperlink" xfId="15542" builtinId="9" hidden="1"/>
    <cellStyle name="Followed Hyperlink" xfId="15544" builtinId="9" hidden="1"/>
    <cellStyle name="Followed Hyperlink" xfId="15546" builtinId="9" hidden="1"/>
    <cellStyle name="Followed Hyperlink" xfId="15548" builtinId="9" hidden="1"/>
    <cellStyle name="Followed Hyperlink" xfId="15550" builtinId="9" hidden="1"/>
    <cellStyle name="Followed Hyperlink" xfId="15552" builtinId="9" hidden="1"/>
    <cellStyle name="Followed Hyperlink" xfId="15554" builtinId="9" hidden="1"/>
    <cellStyle name="Followed Hyperlink" xfId="15556" builtinId="9" hidden="1"/>
    <cellStyle name="Followed Hyperlink" xfId="15558" builtinId="9" hidden="1"/>
    <cellStyle name="Followed Hyperlink" xfId="15560" builtinId="9" hidden="1"/>
    <cellStyle name="Followed Hyperlink" xfId="15562" builtinId="9" hidden="1"/>
    <cellStyle name="Followed Hyperlink" xfId="15564" builtinId="9" hidden="1"/>
    <cellStyle name="Followed Hyperlink" xfId="15566" builtinId="9" hidden="1"/>
    <cellStyle name="Followed Hyperlink" xfId="15568" builtinId="9" hidden="1"/>
    <cellStyle name="Followed Hyperlink" xfId="15570" builtinId="9" hidden="1"/>
    <cellStyle name="Followed Hyperlink" xfId="15572" builtinId="9" hidden="1"/>
    <cellStyle name="Followed Hyperlink" xfId="15574" builtinId="9" hidden="1"/>
    <cellStyle name="Followed Hyperlink" xfId="15576" builtinId="9" hidden="1"/>
    <cellStyle name="Followed Hyperlink" xfId="15578" builtinId="9" hidden="1"/>
    <cellStyle name="Followed Hyperlink" xfId="15580" builtinId="9" hidden="1"/>
    <cellStyle name="Followed Hyperlink" xfId="15582" builtinId="9" hidden="1"/>
    <cellStyle name="Followed Hyperlink" xfId="15584" builtinId="9" hidden="1"/>
    <cellStyle name="Followed Hyperlink" xfId="15586" builtinId="9" hidden="1"/>
    <cellStyle name="Followed Hyperlink" xfId="15588" builtinId="9" hidden="1"/>
    <cellStyle name="Followed Hyperlink" xfId="15590" builtinId="9" hidden="1"/>
    <cellStyle name="Followed Hyperlink" xfId="15592" builtinId="9" hidden="1"/>
    <cellStyle name="Followed Hyperlink" xfId="15594" builtinId="9" hidden="1"/>
    <cellStyle name="Followed Hyperlink" xfId="15596" builtinId="9" hidden="1"/>
    <cellStyle name="Followed Hyperlink" xfId="15598" builtinId="9" hidden="1"/>
    <cellStyle name="Followed Hyperlink" xfId="15600" builtinId="9" hidden="1"/>
    <cellStyle name="Followed Hyperlink" xfId="15602" builtinId="9" hidden="1"/>
    <cellStyle name="Followed Hyperlink" xfId="15604" builtinId="9" hidden="1"/>
    <cellStyle name="Followed Hyperlink" xfId="15606" builtinId="9" hidden="1"/>
    <cellStyle name="Followed Hyperlink" xfId="15608" builtinId="9" hidden="1"/>
    <cellStyle name="Followed Hyperlink" xfId="15610" builtinId="9" hidden="1"/>
    <cellStyle name="Followed Hyperlink" xfId="15612" builtinId="9" hidden="1"/>
    <cellStyle name="Followed Hyperlink" xfId="15614" builtinId="9" hidden="1"/>
    <cellStyle name="Followed Hyperlink" xfId="15616" builtinId="9" hidden="1"/>
    <cellStyle name="Followed Hyperlink" xfId="15618" builtinId="9" hidden="1"/>
    <cellStyle name="Followed Hyperlink" xfId="15620" builtinId="9" hidden="1"/>
    <cellStyle name="Followed Hyperlink" xfId="15622" builtinId="9" hidden="1"/>
    <cellStyle name="Followed Hyperlink" xfId="15624" builtinId="9" hidden="1"/>
    <cellStyle name="Followed Hyperlink" xfId="15626" builtinId="9" hidden="1"/>
    <cellStyle name="Followed Hyperlink" xfId="15628" builtinId="9" hidden="1"/>
    <cellStyle name="Followed Hyperlink" xfId="15630" builtinId="9" hidden="1"/>
    <cellStyle name="Followed Hyperlink" xfId="15632" builtinId="9" hidden="1"/>
    <cellStyle name="Followed Hyperlink" xfId="15634" builtinId="9" hidden="1"/>
    <cellStyle name="Followed Hyperlink" xfId="15636" builtinId="9" hidden="1"/>
    <cellStyle name="Followed Hyperlink" xfId="15638" builtinId="9" hidden="1"/>
    <cellStyle name="Followed Hyperlink" xfId="15640" builtinId="9" hidden="1"/>
    <cellStyle name="Followed Hyperlink" xfId="15642" builtinId="9" hidden="1"/>
    <cellStyle name="Followed Hyperlink" xfId="15644" builtinId="9" hidden="1"/>
    <cellStyle name="Followed Hyperlink" xfId="15646" builtinId="9" hidden="1"/>
    <cellStyle name="Followed Hyperlink" xfId="15648" builtinId="9" hidden="1"/>
    <cellStyle name="Followed Hyperlink" xfId="15650" builtinId="9" hidden="1"/>
    <cellStyle name="Followed Hyperlink" xfId="15652" builtinId="9" hidden="1"/>
    <cellStyle name="Followed Hyperlink" xfId="15654" builtinId="9" hidden="1"/>
    <cellStyle name="Followed Hyperlink" xfId="15656" builtinId="9" hidden="1"/>
    <cellStyle name="Followed Hyperlink" xfId="15658" builtinId="9" hidden="1"/>
    <cellStyle name="Followed Hyperlink" xfId="15660" builtinId="9" hidden="1"/>
    <cellStyle name="Followed Hyperlink" xfId="15662" builtinId="9" hidden="1"/>
    <cellStyle name="Followed Hyperlink" xfId="15664" builtinId="9" hidden="1"/>
    <cellStyle name="Followed Hyperlink" xfId="15666" builtinId="9" hidden="1"/>
    <cellStyle name="Followed Hyperlink" xfId="15668" builtinId="9" hidden="1"/>
    <cellStyle name="Followed Hyperlink" xfId="15670" builtinId="9" hidden="1"/>
    <cellStyle name="Followed Hyperlink" xfId="15672" builtinId="9" hidden="1"/>
    <cellStyle name="Followed Hyperlink" xfId="15674" builtinId="9" hidden="1"/>
    <cellStyle name="Followed Hyperlink" xfId="15676" builtinId="9" hidden="1"/>
    <cellStyle name="Followed Hyperlink" xfId="15678" builtinId="9" hidden="1"/>
    <cellStyle name="Followed Hyperlink" xfId="15680" builtinId="9" hidden="1"/>
    <cellStyle name="Followed Hyperlink" xfId="15682" builtinId="9" hidden="1"/>
    <cellStyle name="Followed Hyperlink" xfId="15684" builtinId="9" hidden="1"/>
    <cellStyle name="Followed Hyperlink" xfId="15686" builtinId="9" hidden="1"/>
    <cellStyle name="Followed Hyperlink" xfId="15688" builtinId="9" hidden="1"/>
    <cellStyle name="Followed Hyperlink" xfId="15690" builtinId="9" hidden="1"/>
    <cellStyle name="Followed Hyperlink" xfId="15692" builtinId="9" hidden="1"/>
    <cellStyle name="Followed Hyperlink" xfId="15694" builtinId="9" hidden="1"/>
    <cellStyle name="Followed Hyperlink" xfId="15696" builtinId="9" hidden="1"/>
    <cellStyle name="Followed Hyperlink" xfId="15698" builtinId="9" hidden="1"/>
    <cellStyle name="Followed Hyperlink" xfId="15700" builtinId="9" hidden="1"/>
    <cellStyle name="Followed Hyperlink" xfId="15702" builtinId="9" hidden="1"/>
    <cellStyle name="Followed Hyperlink" xfId="15704" builtinId="9" hidden="1"/>
    <cellStyle name="Followed Hyperlink" xfId="15706" builtinId="9" hidden="1"/>
    <cellStyle name="Followed Hyperlink" xfId="15708" builtinId="9" hidden="1"/>
    <cellStyle name="Followed Hyperlink" xfId="15710" builtinId="9" hidden="1"/>
    <cellStyle name="Followed Hyperlink" xfId="15712" builtinId="9" hidden="1"/>
    <cellStyle name="Followed Hyperlink" xfId="15714" builtinId="9" hidden="1"/>
    <cellStyle name="Followed Hyperlink" xfId="15716" builtinId="9" hidden="1"/>
    <cellStyle name="Followed Hyperlink" xfId="15718" builtinId="9" hidden="1"/>
    <cellStyle name="Followed Hyperlink" xfId="15720" builtinId="9" hidden="1"/>
    <cellStyle name="Followed Hyperlink" xfId="15722" builtinId="9" hidden="1"/>
    <cellStyle name="Followed Hyperlink" xfId="15724" builtinId="9" hidden="1"/>
    <cellStyle name="Followed Hyperlink" xfId="15726" builtinId="9" hidden="1"/>
    <cellStyle name="Followed Hyperlink" xfId="15728" builtinId="9" hidden="1"/>
    <cellStyle name="Followed Hyperlink" xfId="15730" builtinId="9" hidden="1"/>
    <cellStyle name="Followed Hyperlink" xfId="15732" builtinId="9" hidden="1"/>
    <cellStyle name="Followed Hyperlink" xfId="15734" builtinId="9" hidden="1"/>
    <cellStyle name="Followed Hyperlink" xfId="15736" builtinId="9" hidden="1"/>
    <cellStyle name="Followed Hyperlink" xfId="15738" builtinId="9" hidden="1"/>
    <cellStyle name="Followed Hyperlink" xfId="15740" builtinId="9" hidden="1"/>
    <cellStyle name="Followed Hyperlink" xfId="15742" builtinId="9" hidden="1"/>
    <cellStyle name="Followed Hyperlink" xfId="15744" builtinId="9" hidden="1"/>
    <cellStyle name="Followed Hyperlink" xfId="15746" builtinId="9" hidden="1"/>
    <cellStyle name="Followed Hyperlink" xfId="15748" builtinId="9" hidden="1"/>
    <cellStyle name="Followed Hyperlink" xfId="15750" builtinId="9" hidden="1"/>
    <cellStyle name="Followed Hyperlink" xfId="15752" builtinId="9" hidden="1"/>
    <cellStyle name="Followed Hyperlink" xfId="15754" builtinId="9" hidden="1"/>
    <cellStyle name="Followed Hyperlink" xfId="15756" builtinId="9" hidden="1"/>
    <cellStyle name="Followed Hyperlink" xfId="15758" builtinId="9" hidden="1"/>
    <cellStyle name="Followed Hyperlink" xfId="15760" builtinId="9" hidden="1"/>
    <cellStyle name="Followed Hyperlink" xfId="15762" builtinId="9" hidden="1"/>
    <cellStyle name="Followed Hyperlink" xfId="15764" builtinId="9" hidden="1"/>
    <cellStyle name="Followed Hyperlink" xfId="15766" builtinId="9" hidden="1"/>
    <cellStyle name="Followed Hyperlink" xfId="15768" builtinId="9" hidden="1"/>
    <cellStyle name="Followed Hyperlink" xfId="15770" builtinId="9" hidden="1"/>
    <cellStyle name="Followed Hyperlink" xfId="15772" builtinId="9" hidden="1"/>
    <cellStyle name="Followed Hyperlink" xfId="15774" builtinId="9" hidden="1"/>
    <cellStyle name="Followed Hyperlink" xfId="15776" builtinId="9" hidden="1"/>
    <cellStyle name="Followed Hyperlink" xfId="15778" builtinId="9" hidden="1"/>
    <cellStyle name="Followed Hyperlink" xfId="15780" builtinId="9" hidden="1"/>
    <cellStyle name="Followed Hyperlink" xfId="15782" builtinId="9" hidden="1"/>
    <cellStyle name="Followed Hyperlink" xfId="15784" builtinId="9" hidden="1"/>
    <cellStyle name="Followed Hyperlink" xfId="15786" builtinId="9" hidden="1"/>
    <cellStyle name="Followed Hyperlink" xfId="15788" builtinId="9" hidden="1"/>
    <cellStyle name="Followed Hyperlink" xfId="15790" builtinId="9" hidden="1"/>
    <cellStyle name="Followed Hyperlink" xfId="15792" builtinId="9" hidden="1"/>
    <cellStyle name="Followed Hyperlink" xfId="15794" builtinId="9" hidden="1"/>
    <cellStyle name="Followed Hyperlink" xfId="15796" builtinId="9" hidden="1"/>
    <cellStyle name="Followed Hyperlink" xfId="15798" builtinId="9" hidden="1"/>
    <cellStyle name="Followed Hyperlink" xfId="15800" builtinId="9" hidden="1"/>
    <cellStyle name="Followed Hyperlink" xfId="15802" builtinId="9" hidden="1"/>
    <cellStyle name="Followed Hyperlink" xfId="15804" builtinId="9" hidden="1"/>
    <cellStyle name="Followed Hyperlink" xfId="15806" builtinId="9" hidden="1"/>
    <cellStyle name="Followed Hyperlink" xfId="15808" builtinId="9" hidden="1"/>
    <cellStyle name="Followed Hyperlink" xfId="15810" builtinId="9" hidden="1"/>
    <cellStyle name="Followed Hyperlink" xfId="15812" builtinId="9" hidden="1"/>
    <cellStyle name="Followed Hyperlink" xfId="15814" builtinId="9" hidden="1"/>
    <cellStyle name="Followed Hyperlink" xfId="15816" builtinId="9" hidden="1"/>
    <cellStyle name="Followed Hyperlink" xfId="15818" builtinId="9" hidden="1"/>
    <cellStyle name="Followed Hyperlink" xfId="15820" builtinId="9" hidden="1"/>
    <cellStyle name="Followed Hyperlink" xfId="15822" builtinId="9" hidden="1"/>
    <cellStyle name="Followed Hyperlink" xfId="15824" builtinId="9" hidden="1"/>
    <cellStyle name="Followed Hyperlink" xfId="15826" builtinId="9" hidden="1"/>
    <cellStyle name="Followed Hyperlink" xfId="15828" builtinId="9" hidden="1"/>
    <cellStyle name="Followed Hyperlink" xfId="15830" builtinId="9" hidden="1"/>
    <cellStyle name="Followed Hyperlink" xfId="15832" builtinId="9" hidden="1"/>
    <cellStyle name="Followed Hyperlink" xfId="15834" builtinId="9" hidden="1"/>
    <cellStyle name="Followed Hyperlink" xfId="15836" builtinId="9" hidden="1"/>
    <cellStyle name="Followed Hyperlink" xfId="15838" builtinId="9" hidden="1"/>
    <cellStyle name="Followed Hyperlink" xfId="15840" builtinId="9" hidden="1"/>
    <cellStyle name="Followed Hyperlink" xfId="15842" builtinId="9" hidden="1"/>
    <cellStyle name="Followed Hyperlink" xfId="15844" builtinId="9" hidden="1"/>
    <cellStyle name="Followed Hyperlink" xfId="15846" builtinId="9" hidden="1"/>
    <cellStyle name="Followed Hyperlink" xfId="15848" builtinId="9" hidden="1"/>
    <cellStyle name="Followed Hyperlink" xfId="15850" builtinId="9" hidden="1"/>
    <cellStyle name="Followed Hyperlink" xfId="15852" builtinId="9" hidden="1"/>
    <cellStyle name="Followed Hyperlink" xfId="15854" builtinId="9" hidden="1"/>
    <cellStyle name="Followed Hyperlink" xfId="15856" builtinId="9" hidden="1"/>
    <cellStyle name="Followed Hyperlink" xfId="15858" builtinId="9" hidden="1"/>
    <cellStyle name="Followed Hyperlink" xfId="15860" builtinId="9" hidden="1"/>
    <cellStyle name="Followed Hyperlink" xfId="15862" builtinId="9" hidden="1"/>
    <cellStyle name="Followed Hyperlink" xfId="15864" builtinId="9" hidden="1"/>
    <cellStyle name="Followed Hyperlink" xfId="15866" builtinId="9" hidden="1"/>
    <cellStyle name="Followed Hyperlink" xfId="15868" builtinId="9" hidden="1"/>
    <cellStyle name="Followed Hyperlink" xfId="15870" builtinId="9" hidden="1"/>
    <cellStyle name="Followed Hyperlink" xfId="15872" builtinId="9" hidden="1"/>
    <cellStyle name="Followed Hyperlink" xfId="15874" builtinId="9" hidden="1"/>
    <cellStyle name="Followed Hyperlink" xfId="15876" builtinId="9" hidden="1"/>
    <cellStyle name="Followed Hyperlink" xfId="15878" builtinId="9" hidden="1"/>
    <cellStyle name="Followed Hyperlink" xfId="15880" builtinId="9" hidden="1"/>
    <cellStyle name="Followed Hyperlink" xfId="15882" builtinId="9" hidden="1"/>
    <cellStyle name="Followed Hyperlink" xfId="15884" builtinId="9" hidden="1"/>
    <cellStyle name="Followed Hyperlink" xfId="15886" builtinId="9" hidden="1"/>
    <cellStyle name="Followed Hyperlink" xfId="15888" builtinId="9" hidden="1"/>
    <cellStyle name="Followed Hyperlink" xfId="15890" builtinId="9" hidden="1"/>
    <cellStyle name="Followed Hyperlink" xfId="15892" builtinId="9" hidden="1"/>
    <cellStyle name="Followed Hyperlink" xfId="15894" builtinId="9" hidden="1"/>
    <cellStyle name="Followed Hyperlink" xfId="15896" builtinId="9" hidden="1"/>
    <cellStyle name="Followed Hyperlink" xfId="15898" builtinId="9" hidden="1"/>
    <cellStyle name="Followed Hyperlink" xfId="15900" builtinId="9" hidden="1"/>
    <cellStyle name="Followed Hyperlink" xfId="15902" builtinId="9" hidden="1"/>
    <cellStyle name="Followed Hyperlink" xfId="15904" builtinId="9" hidden="1"/>
    <cellStyle name="Followed Hyperlink" xfId="15906" builtinId="9" hidden="1"/>
    <cellStyle name="Followed Hyperlink" xfId="15908" builtinId="9" hidden="1"/>
    <cellStyle name="Followed Hyperlink" xfId="15910" builtinId="9" hidden="1"/>
    <cellStyle name="Followed Hyperlink" xfId="15912" builtinId="9" hidden="1"/>
    <cellStyle name="Followed Hyperlink" xfId="15914" builtinId="9" hidden="1"/>
    <cellStyle name="Followed Hyperlink" xfId="15916" builtinId="9" hidden="1"/>
    <cellStyle name="Followed Hyperlink" xfId="15918" builtinId="9" hidden="1"/>
    <cellStyle name="Followed Hyperlink" xfId="15920" builtinId="9" hidden="1"/>
    <cellStyle name="Followed Hyperlink" xfId="15922" builtinId="9" hidden="1"/>
    <cellStyle name="Followed Hyperlink" xfId="15924" builtinId="9" hidden="1"/>
    <cellStyle name="Followed Hyperlink" xfId="15926" builtinId="9" hidden="1"/>
    <cellStyle name="Followed Hyperlink" xfId="15928" builtinId="9" hidden="1"/>
    <cellStyle name="Followed Hyperlink" xfId="15930" builtinId="9" hidden="1"/>
    <cellStyle name="Followed Hyperlink" xfId="15932" builtinId="9" hidden="1"/>
    <cellStyle name="Followed Hyperlink" xfId="15934" builtinId="9" hidden="1"/>
    <cellStyle name="Followed Hyperlink" xfId="15936" builtinId="9" hidden="1"/>
    <cellStyle name="Followed Hyperlink" xfId="15938" builtinId="9" hidden="1"/>
    <cellStyle name="Followed Hyperlink" xfId="15940" builtinId="9" hidden="1"/>
    <cellStyle name="Followed Hyperlink" xfId="15942" builtinId="9" hidden="1"/>
    <cellStyle name="Followed Hyperlink" xfId="15944" builtinId="9" hidden="1"/>
    <cellStyle name="Followed Hyperlink" xfId="15946" builtinId="9" hidden="1"/>
    <cellStyle name="Followed Hyperlink" xfId="15948" builtinId="9" hidden="1"/>
    <cellStyle name="Followed Hyperlink" xfId="15950" builtinId="9" hidden="1"/>
    <cellStyle name="Followed Hyperlink" xfId="15952" builtinId="9" hidden="1"/>
    <cellStyle name="Followed Hyperlink" xfId="15954" builtinId="9" hidden="1"/>
    <cellStyle name="Followed Hyperlink" xfId="15956" builtinId="9" hidden="1"/>
    <cellStyle name="Followed Hyperlink" xfId="15958" builtinId="9" hidden="1"/>
    <cellStyle name="Followed Hyperlink" xfId="15960" builtinId="9" hidden="1"/>
    <cellStyle name="Followed Hyperlink" xfId="15962" builtinId="9" hidden="1"/>
    <cellStyle name="Followed Hyperlink" xfId="15964" builtinId="9" hidden="1"/>
    <cellStyle name="Followed Hyperlink" xfId="15966" builtinId="9" hidden="1"/>
    <cellStyle name="Followed Hyperlink" xfId="15968" builtinId="9" hidden="1"/>
    <cellStyle name="Followed Hyperlink" xfId="15970" builtinId="9" hidden="1"/>
    <cellStyle name="Followed Hyperlink" xfId="15972" builtinId="9" hidden="1"/>
    <cellStyle name="Followed Hyperlink" xfId="15974" builtinId="9" hidden="1"/>
    <cellStyle name="Followed Hyperlink" xfId="15976" builtinId="9" hidden="1"/>
    <cellStyle name="Followed Hyperlink" xfId="15978" builtinId="9" hidden="1"/>
    <cellStyle name="Followed Hyperlink" xfId="15980" builtinId="9" hidden="1"/>
    <cellStyle name="Followed Hyperlink" xfId="15982" builtinId="9" hidden="1"/>
    <cellStyle name="Followed Hyperlink" xfId="15984" builtinId="9" hidden="1"/>
    <cellStyle name="Followed Hyperlink" xfId="15986" builtinId="9" hidden="1"/>
    <cellStyle name="Followed Hyperlink" xfId="15988" builtinId="9" hidden="1"/>
    <cellStyle name="Followed Hyperlink" xfId="15990" builtinId="9" hidden="1"/>
    <cellStyle name="Followed Hyperlink" xfId="15992" builtinId="9" hidden="1"/>
    <cellStyle name="Followed Hyperlink" xfId="15994" builtinId="9" hidden="1"/>
    <cellStyle name="Followed Hyperlink" xfId="15996" builtinId="9" hidden="1"/>
    <cellStyle name="Followed Hyperlink" xfId="15998" builtinId="9" hidden="1"/>
    <cellStyle name="Followed Hyperlink" xfId="16000" builtinId="9" hidden="1"/>
    <cellStyle name="Followed Hyperlink" xfId="16002" builtinId="9" hidden="1"/>
    <cellStyle name="Followed Hyperlink" xfId="16004" builtinId="9" hidden="1"/>
    <cellStyle name="Followed Hyperlink" xfId="16006" builtinId="9" hidden="1"/>
    <cellStyle name="Followed Hyperlink" xfId="16008" builtinId="9" hidden="1"/>
    <cellStyle name="Followed Hyperlink" xfId="16010" builtinId="9" hidden="1"/>
    <cellStyle name="Followed Hyperlink" xfId="16012" builtinId="9" hidden="1"/>
    <cellStyle name="Followed Hyperlink" xfId="16014" builtinId="9" hidden="1"/>
    <cellStyle name="Followed Hyperlink" xfId="16016" builtinId="9" hidden="1"/>
    <cellStyle name="Followed Hyperlink" xfId="16018" builtinId="9" hidden="1"/>
    <cellStyle name="Followed Hyperlink" xfId="16020" builtinId="9" hidden="1"/>
    <cellStyle name="Followed Hyperlink" xfId="16022" builtinId="9" hidden="1"/>
    <cellStyle name="Followed Hyperlink" xfId="16024" builtinId="9" hidden="1"/>
    <cellStyle name="Followed Hyperlink" xfId="16026" builtinId="9" hidden="1"/>
    <cellStyle name="Followed Hyperlink" xfId="16028" builtinId="9" hidden="1"/>
    <cellStyle name="Followed Hyperlink" xfId="16030" builtinId="9" hidden="1"/>
    <cellStyle name="Followed Hyperlink" xfId="16032" builtinId="9" hidden="1"/>
    <cellStyle name="Followed Hyperlink" xfId="16034" builtinId="9" hidden="1"/>
    <cellStyle name="Followed Hyperlink" xfId="16036" builtinId="9" hidden="1"/>
    <cellStyle name="Followed Hyperlink" xfId="16038" builtinId="9" hidden="1"/>
    <cellStyle name="Followed Hyperlink" xfId="16040" builtinId="9" hidden="1"/>
    <cellStyle name="Followed Hyperlink" xfId="16042" builtinId="9" hidden="1"/>
    <cellStyle name="Followed Hyperlink" xfId="16044" builtinId="9" hidden="1"/>
    <cellStyle name="Followed Hyperlink" xfId="16046" builtinId="9" hidden="1"/>
    <cellStyle name="Followed Hyperlink" xfId="16048" builtinId="9" hidden="1"/>
    <cellStyle name="Followed Hyperlink" xfId="16050" builtinId="9" hidden="1"/>
    <cellStyle name="Followed Hyperlink" xfId="16052" builtinId="9" hidden="1"/>
    <cellStyle name="Followed Hyperlink" xfId="16054" builtinId="9" hidden="1"/>
    <cellStyle name="Followed Hyperlink" xfId="16056" builtinId="9" hidden="1"/>
    <cellStyle name="Followed Hyperlink" xfId="16058" builtinId="9" hidden="1"/>
    <cellStyle name="Followed Hyperlink" xfId="16060" builtinId="9" hidden="1"/>
    <cellStyle name="Followed Hyperlink" xfId="16062" builtinId="9" hidden="1"/>
    <cellStyle name="Followed Hyperlink" xfId="16064" builtinId="9" hidden="1"/>
    <cellStyle name="Followed Hyperlink" xfId="16066" builtinId="9" hidden="1"/>
    <cellStyle name="Followed Hyperlink" xfId="16068" builtinId="9" hidden="1"/>
    <cellStyle name="Followed Hyperlink" xfId="16070" builtinId="9" hidden="1"/>
    <cellStyle name="Followed Hyperlink" xfId="16072" builtinId="9" hidden="1"/>
    <cellStyle name="Followed Hyperlink" xfId="16074" builtinId="9" hidden="1"/>
    <cellStyle name="Followed Hyperlink" xfId="16076" builtinId="9" hidden="1"/>
    <cellStyle name="Followed Hyperlink" xfId="16078" builtinId="9" hidden="1"/>
    <cellStyle name="Followed Hyperlink" xfId="16080" builtinId="9" hidden="1"/>
    <cellStyle name="Followed Hyperlink" xfId="16082" builtinId="9" hidden="1"/>
    <cellStyle name="Followed Hyperlink" xfId="16084" builtinId="9" hidden="1"/>
    <cellStyle name="Followed Hyperlink" xfId="16086" builtinId="9" hidden="1"/>
    <cellStyle name="Followed Hyperlink" xfId="16088" builtinId="9" hidden="1"/>
    <cellStyle name="Followed Hyperlink" xfId="16090" builtinId="9" hidden="1"/>
    <cellStyle name="Followed Hyperlink" xfId="16092" builtinId="9" hidden="1"/>
    <cellStyle name="Followed Hyperlink" xfId="16094" builtinId="9" hidden="1"/>
    <cellStyle name="Followed Hyperlink" xfId="16096" builtinId="9" hidden="1"/>
    <cellStyle name="Followed Hyperlink" xfId="16098" builtinId="9" hidden="1"/>
    <cellStyle name="Followed Hyperlink" xfId="16100" builtinId="9" hidden="1"/>
    <cellStyle name="Followed Hyperlink" xfId="16102" builtinId="9" hidden="1"/>
    <cellStyle name="Followed Hyperlink" xfId="16104" builtinId="9" hidden="1"/>
    <cellStyle name="Followed Hyperlink" xfId="16106" builtinId="9" hidden="1"/>
    <cellStyle name="Followed Hyperlink" xfId="16108" builtinId="9" hidden="1"/>
    <cellStyle name="Followed Hyperlink" xfId="16110" builtinId="9" hidden="1"/>
    <cellStyle name="Followed Hyperlink" xfId="16112" builtinId="9" hidden="1"/>
    <cellStyle name="Followed Hyperlink" xfId="16114" builtinId="9" hidden="1"/>
    <cellStyle name="Followed Hyperlink" xfId="16116" builtinId="9" hidden="1"/>
    <cellStyle name="Followed Hyperlink" xfId="16118" builtinId="9" hidden="1"/>
    <cellStyle name="Followed Hyperlink" xfId="16120" builtinId="9" hidden="1"/>
    <cellStyle name="Followed Hyperlink" xfId="16122" builtinId="9" hidden="1"/>
    <cellStyle name="Followed Hyperlink" xfId="16124" builtinId="9" hidden="1"/>
    <cellStyle name="Followed Hyperlink" xfId="16126" builtinId="9" hidden="1"/>
    <cellStyle name="Followed Hyperlink" xfId="16128" builtinId="9" hidden="1"/>
    <cellStyle name="Followed Hyperlink" xfId="16130" builtinId="9" hidden="1"/>
    <cellStyle name="Followed Hyperlink" xfId="16132" builtinId="9" hidden="1"/>
    <cellStyle name="Followed Hyperlink" xfId="16134" builtinId="9" hidden="1"/>
    <cellStyle name="Followed Hyperlink" xfId="16136" builtinId="9" hidden="1"/>
    <cellStyle name="Followed Hyperlink" xfId="16138" builtinId="9" hidden="1"/>
    <cellStyle name="Followed Hyperlink" xfId="16140" builtinId="9" hidden="1"/>
    <cellStyle name="Followed Hyperlink" xfId="16142" builtinId="9" hidden="1"/>
    <cellStyle name="Followed Hyperlink" xfId="16144" builtinId="9" hidden="1"/>
    <cellStyle name="Followed Hyperlink" xfId="16146" builtinId="9" hidden="1"/>
    <cellStyle name="Followed Hyperlink" xfId="16148" builtinId="9" hidden="1"/>
    <cellStyle name="Followed Hyperlink" xfId="16150" builtinId="9" hidden="1"/>
    <cellStyle name="Followed Hyperlink" xfId="16152" builtinId="9" hidden="1"/>
    <cellStyle name="Followed Hyperlink" xfId="16154" builtinId="9" hidden="1"/>
    <cellStyle name="Followed Hyperlink" xfId="16156" builtinId="9" hidden="1"/>
    <cellStyle name="Followed Hyperlink" xfId="16158" builtinId="9" hidden="1"/>
    <cellStyle name="Followed Hyperlink" xfId="16160" builtinId="9" hidden="1"/>
    <cellStyle name="Followed Hyperlink" xfId="16162" builtinId="9" hidden="1"/>
    <cellStyle name="Followed Hyperlink" xfId="16164" builtinId="9" hidden="1"/>
    <cellStyle name="Followed Hyperlink" xfId="16166" builtinId="9" hidden="1"/>
    <cellStyle name="Followed Hyperlink" xfId="16168" builtinId="9" hidden="1"/>
    <cellStyle name="Followed Hyperlink" xfId="16170" builtinId="9" hidden="1"/>
    <cellStyle name="Followed Hyperlink" xfId="16172" builtinId="9" hidden="1"/>
    <cellStyle name="Followed Hyperlink" xfId="16174" builtinId="9" hidden="1"/>
    <cellStyle name="Followed Hyperlink" xfId="16176" builtinId="9" hidden="1"/>
    <cellStyle name="Followed Hyperlink" xfId="16178" builtinId="9" hidden="1"/>
    <cellStyle name="Followed Hyperlink" xfId="16180" builtinId="9" hidden="1"/>
    <cellStyle name="Followed Hyperlink" xfId="16182" builtinId="9" hidden="1"/>
    <cellStyle name="Followed Hyperlink" xfId="16184" builtinId="9" hidden="1"/>
    <cellStyle name="Followed Hyperlink" xfId="16186" builtinId="9" hidden="1"/>
    <cellStyle name="Followed Hyperlink" xfId="16188" builtinId="9" hidden="1"/>
    <cellStyle name="Followed Hyperlink" xfId="16190" builtinId="9" hidden="1"/>
    <cellStyle name="Followed Hyperlink" xfId="16192" builtinId="9" hidden="1"/>
    <cellStyle name="Followed Hyperlink" xfId="16194" builtinId="9" hidden="1"/>
    <cellStyle name="Followed Hyperlink" xfId="16196" builtinId="9" hidden="1"/>
    <cellStyle name="Followed Hyperlink" xfId="16198" builtinId="9" hidden="1"/>
    <cellStyle name="Followed Hyperlink" xfId="16200" builtinId="9" hidden="1"/>
    <cellStyle name="Followed Hyperlink" xfId="16202" builtinId="9" hidden="1"/>
    <cellStyle name="Followed Hyperlink" xfId="16204" builtinId="9" hidden="1"/>
    <cellStyle name="Followed Hyperlink" xfId="16206" builtinId="9" hidden="1"/>
    <cellStyle name="Followed Hyperlink" xfId="16208" builtinId="9" hidden="1"/>
    <cellStyle name="Followed Hyperlink" xfId="16210" builtinId="9" hidden="1"/>
    <cellStyle name="Followed Hyperlink" xfId="16212" builtinId="9" hidden="1"/>
    <cellStyle name="Followed Hyperlink" xfId="16214" builtinId="9" hidden="1"/>
    <cellStyle name="Followed Hyperlink" xfId="16216" builtinId="9" hidden="1"/>
    <cellStyle name="Followed Hyperlink" xfId="16218" builtinId="9" hidden="1"/>
    <cellStyle name="Followed Hyperlink" xfId="16220" builtinId="9" hidden="1"/>
    <cellStyle name="Followed Hyperlink" xfId="16222" builtinId="9" hidden="1"/>
    <cellStyle name="Followed Hyperlink" xfId="16224" builtinId="9" hidden="1"/>
    <cellStyle name="Followed Hyperlink" xfId="16226" builtinId="9" hidden="1"/>
    <cellStyle name="Followed Hyperlink" xfId="16228" builtinId="9" hidden="1"/>
    <cellStyle name="Followed Hyperlink" xfId="16230" builtinId="9" hidden="1"/>
    <cellStyle name="Followed Hyperlink" xfId="16232" builtinId="9" hidden="1"/>
    <cellStyle name="Followed Hyperlink" xfId="16234" builtinId="9" hidden="1"/>
    <cellStyle name="Followed Hyperlink" xfId="16236" builtinId="9" hidden="1"/>
    <cellStyle name="Followed Hyperlink" xfId="16238" builtinId="9" hidden="1"/>
    <cellStyle name="Followed Hyperlink" xfId="16240" builtinId="9" hidden="1"/>
    <cellStyle name="Followed Hyperlink" xfId="16242" builtinId="9" hidden="1"/>
    <cellStyle name="Followed Hyperlink" xfId="16244" builtinId="9" hidden="1"/>
    <cellStyle name="Followed Hyperlink" xfId="16246" builtinId="9" hidden="1"/>
    <cellStyle name="Followed Hyperlink" xfId="16248" builtinId="9" hidden="1"/>
    <cellStyle name="Followed Hyperlink" xfId="16250" builtinId="9" hidden="1"/>
    <cellStyle name="Followed Hyperlink" xfId="16252" builtinId="9" hidden="1"/>
    <cellStyle name="Followed Hyperlink" xfId="16254" builtinId="9" hidden="1"/>
    <cellStyle name="Followed Hyperlink" xfId="16256" builtinId="9" hidden="1"/>
    <cellStyle name="Followed Hyperlink" xfId="16258" builtinId="9" hidden="1"/>
    <cellStyle name="Followed Hyperlink" xfId="16260" builtinId="9" hidden="1"/>
    <cellStyle name="Followed Hyperlink" xfId="16262" builtinId="9" hidden="1"/>
    <cellStyle name="Followed Hyperlink" xfId="16264" builtinId="9" hidden="1"/>
    <cellStyle name="Followed Hyperlink" xfId="16266" builtinId="9" hidden="1"/>
    <cellStyle name="Followed Hyperlink" xfId="16268" builtinId="9" hidden="1"/>
    <cellStyle name="Followed Hyperlink" xfId="16270" builtinId="9" hidden="1"/>
    <cellStyle name="Followed Hyperlink" xfId="16272" builtinId="9" hidden="1"/>
    <cellStyle name="Followed Hyperlink" xfId="16274" builtinId="9" hidden="1"/>
    <cellStyle name="Followed Hyperlink" xfId="16276" builtinId="9" hidden="1"/>
    <cellStyle name="Followed Hyperlink" xfId="16278" builtinId="9" hidden="1"/>
    <cellStyle name="Followed Hyperlink" xfId="16280" builtinId="9" hidden="1"/>
    <cellStyle name="Followed Hyperlink" xfId="16282" builtinId="9" hidden="1"/>
    <cellStyle name="Followed Hyperlink" xfId="16284" builtinId="9" hidden="1"/>
    <cellStyle name="Followed Hyperlink" xfId="16286" builtinId="9" hidden="1"/>
    <cellStyle name="Followed Hyperlink" xfId="16288" builtinId="9" hidden="1"/>
    <cellStyle name="Followed Hyperlink" xfId="16290" builtinId="9" hidden="1"/>
    <cellStyle name="Followed Hyperlink" xfId="16292" builtinId="9" hidden="1"/>
    <cellStyle name="Followed Hyperlink" xfId="16294" builtinId="9" hidden="1"/>
    <cellStyle name="Followed Hyperlink" xfId="16296" builtinId="9" hidden="1"/>
    <cellStyle name="Followed Hyperlink" xfId="16298" builtinId="9" hidden="1"/>
    <cellStyle name="Followed Hyperlink" xfId="16300" builtinId="9" hidden="1"/>
    <cellStyle name="Followed Hyperlink" xfId="16302" builtinId="9" hidden="1"/>
    <cellStyle name="Followed Hyperlink" xfId="16304" builtinId="9" hidden="1"/>
    <cellStyle name="Followed Hyperlink" xfId="16306" builtinId="9" hidden="1"/>
    <cellStyle name="Followed Hyperlink" xfId="16308" builtinId="9" hidden="1"/>
    <cellStyle name="Followed Hyperlink" xfId="16310" builtinId="9" hidden="1"/>
    <cellStyle name="Followed Hyperlink" xfId="16312" builtinId="9" hidden="1"/>
    <cellStyle name="Followed Hyperlink" xfId="16314" builtinId="9" hidden="1"/>
    <cellStyle name="Followed Hyperlink" xfId="16316" builtinId="9" hidden="1"/>
    <cellStyle name="Followed Hyperlink" xfId="16318" builtinId="9" hidden="1"/>
    <cellStyle name="Followed Hyperlink" xfId="16320" builtinId="9" hidden="1"/>
    <cellStyle name="Followed Hyperlink" xfId="16322" builtinId="9" hidden="1"/>
    <cellStyle name="Followed Hyperlink" xfId="16324" builtinId="9" hidden="1"/>
    <cellStyle name="Followed Hyperlink" xfId="16326" builtinId="9" hidden="1"/>
    <cellStyle name="Followed Hyperlink" xfId="16328" builtinId="9" hidden="1"/>
    <cellStyle name="Followed Hyperlink" xfId="16330" builtinId="9" hidden="1"/>
    <cellStyle name="Followed Hyperlink" xfId="16332" builtinId="9" hidden="1"/>
    <cellStyle name="Followed Hyperlink" xfId="16334" builtinId="9" hidden="1"/>
    <cellStyle name="Followed Hyperlink" xfId="16336" builtinId="9" hidden="1"/>
    <cellStyle name="Followed Hyperlink" xfId="16338" builtinId="9" hidden="1"/>
    <cellStyle name="Followed Hyperlink" xfId="16340" builtinId="9" hidden="1"/>
    <cellStyle name="Followed Hyperlink" xfId="16342" builtinId="9" hidden="1"/>
    <cellStyle name="Followed Hyperlink" xfId="16344" builtinId="9" hidden="1"/>
    <cellStyle name="Followed Hyperlink" xfId="16346" builtinId="9" hidden="1"/>
    <cellStyle name="Followed Hyperlink" xfId="16348" builtinId="9" hidden="1"/>
    <cellStyle name="Followed Hyperlink" xfId="16350" builtinId="9" hidden="1"/>
    <cellStyle name="Followed Hyperlink" xfId="16352" builtinId="9" hidden="1"/>
    <cellStyle name="Followed Hyperlink" xfId="16354" builtinId="9" hidden="1"/>
    <cellStyle name="Followed Hyperlink" xfId="16356" builtinId="9" hidden="1"/>
    <cellStyle name="Followed Hyperlink" xfId="16358" builtinId="9" hidden="1"/>
    <cellStyle name="Followed Hyperlink" xfId="16360" builtinId="9" hidden="1"/>
    <cellStyle name="Followed Hyperlink" xfId="16362" builtinId="9" hidden="1"/>
    <cellStyle name="Followed Hyperlink" xfId="16364" builtinId="9" hidden="1"/>
    <cellStyle name="Followed Hyperlink" xfId="16366" builtinId="9" hidden="1"/>
    <cellStyle name="Followed Hyperlink" xfId="16368" builtinId="9" hidden="1"/>
    <cellStyle name="Followed Hyperlink" xfId="16370" builtinId="9" hidden="1"/>
    <cellStyle name="Followed Hyperlink" xfId="16372" builtinId="9" hidden="1"/>
    <cellStyle name="Followed Hyperlink" xfId="16374" builtinId="9" hidden="1"/>
    <cellStyle name="Followed Hyperlink" xfId="16376" builtinId="9" hidden="1"/>
    <cellStyle name="Followed Hyperlink" xfId="16378" builtinId="9" hidden="1"/>
    <cellStyle name="Followed Hyperlink" xfId="16380" builtinId="9" hidden="1"/>
    <cellStyle name="Followed Hyperlink" xfId="16382" builtinId="9" hidden="1"/>
    <cellStyle name="Followed Hyperlink" xfId="16384" builtinId="9" hidden="1"/>
    <cellStyle name="Followed Hyperlink" xfId="16386" builtinId="9" hidden="1"/>
    <cellStyle name="Followed Hyperlink" xfId="16388" builtinId="9" hidden="1"/>
    <cellStyle name="Followed Hyperlink" xfId="16390" builtinId="9" hidden="1"/>
    <cellStyle name="Followed Hyperlink" xfId="16392" builtinId="9" hidden="1"/>
    <cellStyle name="Followed Hyperlink" xfId="16394" builtinId="9" hidden="1"/>
    <cellStyle name="Followed Hyperlink" xfId="16396" builtinId="9" hidden="1"/>
    <cellStyle name="Followed Hyperlink" xfId="16398" builtinId="9" hidden="1"/>
    <cellStyle name="Followed Hyperlink" xfId="16400" builtinId="9" hidden="1"/>
    <cellStyle name="Followed Hyperlink" xfId="16402" builtinId="9" hidden="1"/>
    <cellStyle name="Followed Hyperlink" xfId="16404" builtinId="9" hidden="1"/>
    <cellStyle name="Followed Hyperlink" xfId="16406" builtinId="9" hidden="1"/>
    <cellStyle name="Followed Hyperlink" xfId="16408" builtinId="9" hidden="1"/>
    <cellStyle name="Followed Hyperlink" xfId="16410" builtinId="9" hidden="1"/>
    <cellStyle name="Followed Hyperlink" xfId="16412" builtinId="9" hidden="1"/>
    <cellStyle name="Followed Hyperlink" xfId="16414" builtinId="9" hidden="1"/>
    <cellStyle name="Followed Hyperlink" xfId="16416" builtinId="9" hidden="1"/>
    <cellStyle name="Followed Hyperlink" xfId="16418" builtinId="9" hidden="1"/>
    <cellStyle name="Followed Hyperlink" xfId="16420" builtinId="9" hidden="1"/>
    <cellStyle name="Followed Hyperlink" xfId="16422" builtinId="9" hidden="1"/>
    <cellStyle name="Followed Hyperlink" xfId="16424" builtinId="9" hidden="1"/>
    <cellStyle name="Followed Hyperlink" xfId="16426" builtinId="9" hidden="1"/>
    <cellStyle name="Followed Hyperlink" xfId="16428" builtinId="9" hidden="1"/>
    <cellStyle name="Followed Hyperlink" xfId="16430" builtinId="9" hidden="1"/>
    <cellStyle name="Followed Hyperlink" xfId="16432" builtinId="9" hidden="1"/>
    <cellStyle name="Followed Hyperlink" xfId="16434" builtinId="9" hidden="1"/>
    <cellStyle name="Followed Hyperlink" xfId="16436" builtinId="9" hidden="1"/>
    <cellStyle name="Followed Hyperlink" xfId="16438" builtinId="9" hidden="1"/>
    <cellStyle name="Followed Hyperlink" xfId="16440" builtinId="9" hidden="1"/>
    <cellStyle name="Followed Hyperlink" xfId="16442" builtinId="9" hidden="1"/>
    <cellStyle name="Followed Hyperlink" xfId="16444" builtinId="9" hidden="1"/>
    <cellStyle name="Followed Hyperlink" xfId="16446" builtinId="9" hidden="1"/>
    <cellStyle name="Followed Hyperlink" xfId="16448" builtinId="9" hidden="1"/>
    <cellStyle name="Followed Hyperlink" xfId="16450" builtinId="9" hidden="1"/>
    <cellStyle name="Followed Hyperlink" xfId="16452" builtinId="9" hidden="1"/>
    <cellStyle name="Followed Hyperlink" xfId="16454" builtinId="9" hidden="1"/>
    <cellStyle name="Followed Hyperlink" xfId="16456" builtinId="9" hidden="1"/>
    <cellStyle name="Followed Hyperlink" xfId="16458" builtinId="9" hidden="1"/>
    <cellStyle name="Followed Hyperlink" xfId="16460" builtinId="9" hidden="1"/>
    <cellStyle name="Followed Hyperlink" xfId="16462" builtinId="9" hidden="1"/>
    <cellStyle name="Followed Hyperlink" xfId="16464" builtinId="9" hidden="1"/>
    <cellStyle name="Followed Hyperlink" xfId="16466" builtinId="9" hidden="1"/>
    <cellStyle name="Followed Hyperlink" xfId="16468" builtinId="9" hidden="1"/>
    <cellStyle name="Followed Hyperlink" xfId="16470" builtinId="9" hidden="1"/>
    <cellStyle name="Followed Hyperlink" xfId="16472" builtinId="9" hidden="1"/>
    <cellStyle name="Followed Hyperlink" xfId="16474" builtinId="9" hidden="1"/>
    <cellStyle name="Followed Hyperlink" xfId="16476" builtinId="9" hidden="1"/>
    <cellStyle name="Followed Hyperlink" xfId="16478" builtinId="9" hidden="1"/>
    <cellStyle name="Followed Hyperlink" xfId="16480" builtinId="9" hidden="1"/>
    <cellStyle name="Followed Hyperlink" xfId="16482" builtinId="9" hidden="1"/>
    <cellStyle name="Followed Hyperlink" xfId="16484" builtinId="9" hidden="1"/>
    <cellStyle name="Followed Hyperlink" xfId="16486" builtinId="9" hidden="1"/>
    <cellStyle name="Followed Hyperlink" xfId="16488" builtinId="9" hidden="1"/>
    <cellStyle name="Followed Hyperlink" xfId="16490" builtinId="9" hidden="1"/>
    <cellStyle name="Followed Hyperlink" xfId="16492" builtinId="9" hidden="1"/>
    <cellStyle name="Followed Hyperlink" xfId="16494" builtinId="9" hidden="1"/>
    <cellStyle name="Followed Hyperlink" xfId="16496" builtinId="9" hidden="1"/>
    <cellStyle name="Followed Hyperlink" xfId="16498" builtinId="9" hidden="1"/>
    <cellStyle name="Followed Hyperlink" xfId="16500" builtinId="9" hidden="1"/>
    <cellStyle name="Followed Hyperlink" xfId="16502" builtinId="9" hidden="1"/>
    <cellStyle name="Followed Hyperlink" xfId="16504" builtinId="9" hidden="1"/>
    <cellStyle name="Followed Hyperlink" xfId="16506" builtinId="9" hidden="1"/>
    <cellStyle name="Followed Hyperlink" xfId="16508" builtinId="9" hidden="1"/>
    <cellStyle name="Followed Hyperlink" xfId="16510" builtinId="9" hidden="1"/>
    <cellStyle name="Followed Hyperlink" xfId="16512" builtinId="9" hidden="1"/>
    <cellStyle name="Followed Hyperlink" xfId="16514" builtinId="9" hidden="1"/>
    <cellStyle name="Followed Hyperlink" xfId="16516" builtinId="9" hidden="1"/>
    <cellStyle name="Followed Hyperlink" xfId="16518" builtinId="9" hidden="1"/>
    <cellStyle name="Followed Hyperlink" xfId="16520" builtinId="9" hidden="1"/>
    <cellStyle name="Followed Hyperlink" xfId="16522" builtinId="9" hidden="1"/>
    <cellStyle name="Followed Hyperlink" xfId="16524" builtinId="9" hidden="1"/>
    <cellStyle name="Followed Hyperlink" xfId="16526" builtinId="9" hidden="1"/>
    <cellStyle name="Followed Hyperlink" xfId="16528" builtinId="9" hidden="1"/>
    <cellStyle name="Followed Hyperlink" xfId="16530" builtinId="9" hidden="1"/>
    <cellStyle name="Followed Hyperlink" xfId="16532" builtinId="9" hidden="1"/>
    <cellStyle name="Followed Hyperlink" xfId="16534" builtinId="9" hidden="1"/>
    <cellStyle name="Followed Hyperlink" xfId="16536" builtinId="9" hidden="1"/>
    <cellStyle name="Followed Hyperlink" xfId="16538" builtinId="9" hidden="1"/>
    <cellStyle name="Followed Hyperlink" xfId="16540" builtinId="9" hidden="1"/>
    <cellStyle name="Followed Hyperlink" xfId="16542" builtinId="9" hidden="1"/>
    <cellStyle name="Followed Hyperlink" xfId="16544" builtinId="9" hidden="1"/>
    <cellStyle name="Followed Hyperlink" xfId="16546" builtinId="9" hidden="1"/>
    <cellStyle name="Followed Hyperlink" xfId="16548" builtinId="9" hidden="1"/>
    <cellStyle name="Followed Hyperlink" xfId="16550" builtinId="9" hidden="1"/>
    <cellStyle name="Followed Hyperlink" xfId="16552" builtinId="9" hidden="1"/>
    <cellStyle name="Followed Hyperlink" xfId="16554" builtinId="9" hidden="1"/>
    <cellStyle name="Followed Hyperlink" xfId="16556" builtinId="9" hidden="1"/>
    <cellStyle name="Followed Hyperlink" xfId="16558" builtinId="9" hidden="1"/>
    <cellStyle name="Followed Hyperlink" xfId="16560" builtinId="9" hidden="1"/>
    <cellStyle name="Followed Hyperlink" xfId="16562" builtinId="9" hidden="1"/>
    <cellStyle name="Followed Hyperlink" xfId="16564" builtinId="9" hidden="1"/>
    <cellStyle name="Followed Hyperlink" xfId="16566" builtinId="9" hidden="1"/>
    <cellStyle name="Followed Hyperlink" xfId="16568" builtinId="9" hidden="1"/>
    <cellStyle name="Followed Hyperlink" xfId="16570" builtinId="9" hidden="1"/>
    <cellStyle name="Followed Hyperlink" xfId="16572" builtinId="9" hidden="1"/>
    <cellStyle name="Followed Hyperlink" xfId="16574" builtinId="9" hidden="1"/>
    <cellStyle name="Followed Hyperlink" xfId="16576" builtinId="9" hidden="1"/>
    <cellStyle name="Followed Hyperlink" xfId="16578" builtinId="9" hidden="1"/>
    <cellStyle name="Followed Hyperlink" xfId="16580" builtinId="9" hidden="1"/>
    <cellStyle name="Followed Hyperlink" xfId="16582" builtinId="9" hidden="1"/>
    <cellStyle name="Followed Hyperlink" xfId="16584" builtinId="9" hidden="1"/>
    <cellStyle name="Followed Hyperlink" xfId="16586" builtinId="9" hidden="1"/>
    <cellStyle name="Followed Hyperlink" xfId="16588" builtinId="9" hidden="1"/>
    <cellStyle name="Followed Hyperlink" xfId="16590" builtinId="9" hidden="1"/>
    <cellStyle name="Followed Hyperlink" xfId="16592" builtinId="9" hidden="1"/>
    <cellStyle name="Followed Hyperlink" xfId="16594" builtinId="9" hidden="1"/>
    <cellStyle name="Followed Hyperlink" xfId="16596" builtinId="9" hidden="1"/>
    <cellStyle name="Followed Hyperlink" xfId="16598" builtinId="9" hidden="1"/>
    <cellStyle name="Followed Hyperlink" xfId="16600" builtinId="9" hidden="1"/>
    <cellStyle name="Followed Hyperlink" xfId="16602" builtinId="9" hidden="1"/>
    <cellStyle name="Followed Hyperlink" xfId="16604" builtinId="9" hidden="1"/>
    <cellStyle name="Followed Hyperlink" xfId="16606" builtinId="9" hidden="1"/>
    <cellStyle name="Followed Hyperlink" xfId="16608" builtinId="9" hidden="1"/>
    <cellStyle name="Followed Hyperlink" xfId="16610" builtinId="9" hidden="1"/>
    <cellStyle name="Followed Hyperlink" xfId="16612" builtinId="9" hidden="1"/>
    <cellStyle name="Followed Hyperlink" xfId="16614" builtinId="9" hidden="1"/>
    <cellStyle name="Followed Hyperlink" xfId="16616" builtinId="9" hidden="1"/>
    <cellStyle name="Followed Hyperlink" xfId="16618" builtinId="9" hidden="1"/>
    <cellStyle name="Followed Hyperlink" xfId="16620" builtinId="9" hidden="1"/>
    <cellStyle name="Followed Hyperlink" xfId="16622" builtinId="9" hidden="1"/>
    <cellStyle name="Followed Hyperlink" xfId="16624" builtinId="9" hidden="1"/>
    <cellStyle name="Followed Hyperlink" xfId="16626" builtinId="9" hidden="1"/>
    <cellStyle name="Followed Hyperlink" xfId="16628" builtinId="9" hidden="1"/>
    <cellStyle name="Followed Hyperlink" xfId="16630" builtinId="9" hidden="1"/>
    <cellStyle name="Followed Hyperlink" xfId="16632" builtinId="9" hidden="1"/>
    <cellStyle name="Followed Hyperlink" xfId="16634" builtinId="9" hidden="1"/>
    <cellStyle name="Followed Hyperlink" xfId="16636" builtinId="9" hidden="1"/>
    <cellStyle name="Followed Hyperlink" xfId="16638" builtinId="9" hidden="1"/>
    <cellStyle name="Followed Hyperlink" xfId="16640" builtinId="9" hidden="1"/>
    <cellStyle name="Followed Hyperlink" xfId="16642" builtinId="9" hidden="1"/>
    <cellStyle name="Followed Hyperlink" xfId="16644" builtinId="9" hidden="1"/>
    <cellStyle name="Followed Hyperlink" xfId="16646" builtinId="9" hidden="1"/>
    <cellStyle name="Followed Hyperlink" xfId="16648" builtinId="9" hidden="1"/>
    <cellStyle name="Followed Hyperlink" xfId="16650" builtinId="9" hidden="1"/>
    <cellStyle name="Followed Hyperlink" xfId="16652" builtinId="9" hidden="1"/>
    <cellStyle name="Followed Hyperlink" xfId="16654" builtinId="9" hidden="1"/>
    <cellStyle name="Followed Hyperlink" xfId="16656" builtinId="9" hidden="1"/>
    <cellStyle name="Followed Hyperlink" xfId="16658" builtinId="9" hidden="1"/>
    <cellStyle name="Followed Hyperlink" xfId="16660" builtinId="9" hidden="1"/>
    <cellStyle name="Followed Hyperlink" xfId="16662" builtinId="9" hidden="1"/>
    <cellStyle name="Followed Hyperlink" xfId="16664" builtinId="9" hidden="1"/>
    <cellStyle name="Followed Hyperlink" xfId="16666" builtinId="9" hidden="1"/>
    <cellStyle name="Followed Hyperlink" xfId="16668" builtinId="9" hidden="1"/>
    <cellStyle name="Followed Hyperlink" xfId="16670" builtinId="9" hidden="1"/>
    <cellStyle name="Followed Hyperlink" xfId="16672" builtinId="9" hidden="1"/>
    <cellStyle name="Followed Hyperlink" xfId="16674" builtinId="9" hidden="1"/>
    <cellStyle name="Followed Hyperlink" xfId="16676" builtinId="9" hidden="1"/>
    <cellStyle name="Followed Hyperlink" xfId="16678" builtinId="9" hidden="1"/>
    <cellStyle name="Followed Hyperlink" xfId="16680" builtinId="9" hidden="1"/>
    <cellStyle name="Followed Hyperlink" xfId="16682" builtinId="9" hidden="1"/>
    <cellStyle name="Followed Hyperlink" xfId="16684" builtinId="9" hidden="1"/>
    <cellStyle name="Followed Hyperlink" xfId="16686" builtinId="9" hidden="1"/>
    <cellStyle name="Followed Hyperlink" xfId="16688" builtinId="9" hidden="1"/>
    <cellStyle name="Followed Hyperlink" xfId="16690" builtinId="9" hidden="1"/>
    <cellStyle name="Followed Hyperlink" xfId="16692" builtinId="9" hidden="1"/>
    <cellStyle name="Followed Hyperlink" xfId="16694" builtinId="9" hidden="1"/>
    <cellStyle name="Followed Hyperlink" xfId="16696" builtinId="9" hidden="1"/>
    <cellStyle name="Followed Hyperlink" xfId="16698" builtinId="9" hidden="1"/>
    <cellStyle name="Followed Hyperlink" xfId="16700" builtinId="9" hidden="1"/>
    <cellStyle name="Followed Hyperlink" xfId="16702" builtinId="9" hidden="1"/>
    <cellStyle name="Followed Hyperlink" xfId="16704" builtinId="9" hidden="1"/>
    <cellStyle name="Followed Hyperlink" xfId="16706" builtinId="9" hidden="1"/>
    <cellStyle name="Followed Hyperlink" xfId="16708" builtinId="9" hidden="1"/>
    <cellStyle name="Followed Hyperlink" xfId="16710" builtinId="9" hidden="1"/>
    <cellStyle name="Followed Hyperlink" xfId="16712" builtinId="9" hidden="1"/>
    <cellStyle name="Followed Hyperlink" xfId="16714" builtinId="9" hidden="1"/>
    <cellStyle name="Followed Hyperlink" xfId="16716" builtinId="9" hidden="1"/>
    <cellStyle name="Followed Hyperlink" xfId="16718" builtinId="9" hidden="1"/>
    <cellStyle name="Followed Hyperlink" xfId="16720" builtinId="9" hidden="1"/>
    <cellStyle name="Followed Hyperlink" xfId="16722" builtinId="9" hidden="1"/>
    <cellStyle name="Followed Hyperlink" xfId="16724" builtinId="9" hidden="1"/>
    <cellStyle name="Followed Hyperlink" xfId="16726" builtinId="9" hidden="1"/>
    <cellStyle name="Followed Hyperlink" xfId="16728" builtinId="9" hidden="1"/>
    <cellStyle name="Followed Hyperlink" xfId="16730" builtinId="9" hidden="1"/>
    <cellStyle name="Followed Hyperlink" xfId="16732" builtinId="9" hidden="1"/>
    <cellStyle name="Followed Hyperlink" xfId="16734" builtinId="9" hidden="1"/>
    <cellStyle name="Followed Hyperlink" xfId="16736" builtinId="9" hidden="1"/>
    <cellStyle name="Followed Hyperlink" xfId="16738" builtinId="9" hidden="1"/>
    <cellStyle name="Followed Hyperlink" xfId="16740" builtinId="9" hidden="1"/>
    <cellStyle name="Followed Hyperlink" xfId="16742" builtinId="9" hidden="1"/>
    <cellStyle name="Followed Hyperlink" xfId="16744" builtinId="9" hidden="1"/>
    <cellStyle name="Followed Hyperlink" xfId="16746" builtinId="9" hidden="1"/>
    <cellStyle name="Followed Hyperlink" xfId="16748" builtinId="9" hidden="1"/>
    <cellStyle name="Followed Hyperlink" xfId="16750" builtinId="9" hidden="1"/>
    <cellStyle name="Followed Hyperlink" xfId="16752" builtinId="9" hidden="1"/>
    <cellStyle name="Followed Hyperlink" xfId="16754" builtinId="9" hidden="1"/>
    <cellStyle name="Followed Hyperlink" xfId="16756" builtinId="9" hidden="1"/>
    <cellStyle name="Followed Hyperlink" xfId="16758" builtinId="9" hidden="1"/>
    <cellStyle name="Followed Hyperlink" xfId="16760" builtinId="9" hidden="1"/>
    <cellStyle name="Followed Hyperlink" xfId="16762" builtinId="9" hidden="1"/>
    <cellStyle name="Followed Hyperlink" xfId="16764" builtinId="9" hidden="1"/>
    <cellStyle name="Followed Hyperlink" xfId="16766" builtinId="9" hidden="1"/>
    <cellStyle name="Followed Hyperlink" xfId="16768" builtinId="9" hidden="1"/>
    <cellStyle name="Followed Hyperlink" xfId="16770" builtinId="9" hidden="1"/>
    <cellStyle name="Followed Hyperlink" xfId="16772" builtinId="9" hidden="1"/>
    <cellStyle name="Followed Hyperlink" xfId="16774" builtinId="9" hidden="1"/>
    <cellStyle name="Followed Hyperlink" xfId="16776" builtinId="9" hidden="1"/>
    <cellStyle name="Followed Hyperlink" xfId="16778" builtinId="9" hidden="1"/>
    <cellStyle name="Followed Hyperlink" xfId="16780" builtinId="9" hidden="1"/>
    <cellStyle name="Followed Hyperlink" xfId="16782" builtinId="9" hidden="1"/>
    <cellStyle name="Followed Hyperlink" xfId="16784" builtinId="9" hidden="1"/>
    <cellStyle name="Followed Hyperlink" xfId="16786" builtinId="9" hidden="1"/>
    <cellStyle name="Followed Hyperlink" xfId="16788" builtinId="9" hidden="1"/>
    <cellStyle name="Followed Hyperlink" xfId="16790" builtinId="9" hidden="1"/>
    <cellStyle name="Followed Hyperlink" xfId="16792" builtinId="9" hidden="1"/>
    <cellStyle name="Followed Hyperlink" xfId="16794" builtinId="9" hidden="1"/>
    <cellStyle name="Followed Hyperlink" xfId="16796" builtinId="9" hidden="1"/>
    <cellStyle name="Followed Hyperlink" xfId="16798" builtinId="9" hidden="1"/>
    <cellStyle name="Followed Hyperlink" xfId="16800" builtinId="9" hidden="1"/>
    <cellStyle name="Followed Hyperlink" xfId="16802" builtinId="9" hidden="1"/>
    <cellStyle name="Followed Hyperlink" xfId="16804" builtinId="9" hidden="1"/>
    <cellStyle name="Followed Hyperlink" xfId="16806" builtinId="9" hidden="1"/>
    <cellStyle name="Followed Hyperlink" xfId="16808" builtinId="9" hidden="1"/>
    <cellStyle name="Followed Hyperlink" xfId="16810" builtinId="9" hidden="1"/>
    <cellStyle name="Followed Hyperlink" xfId="16812" builtinId="9" hidden="1"/>
    <cellStyle name="Followed Hyperlink" xfId="16814" builtinId="9" hidden="1"/>
    <cellStyle name="Followed Hyperlink" xfId="16816" builtinId="9" hidden="1"/>
    <cellStyle name="Followed Hyperlink" xfId="16818" builtinId="9" hidden="1"/>
    <cellStyle name="Followed Hyperlink" xfId="16820" builtinId="9" hidden="1"/>
    <cellStyle name="Followed Hyperlink" xfId="16822" builtinId="9" hidden="1"/>
    <cellStyle name="Followed Hyperlink" xfId="16824" builtinId="9" hidden="1"/>
    <cellStyle name="Followed Hyperlink" xfId="16826" builtinId="9" hidden="1"/>
    <cellStyle name="Followed Hyperlink" xfId="16828" builtinId="9" hidden="1"/>
    <cellStyle name="Followed Hyperlink" xfId="16830" builtinId="9" hidden="1"/>
    <cellStyle name="Followed Hyperlink" xfId="16832" builtinId="9" hidden="1"/>
    <cellStyle name="Followed Hyperlink" xfId="16834" builtinId="9" hidden="1"/>
    <cellStyle name="Followed Hyperlink" xfId="16836" builtinId="9" hidden="1"/>
    <cellStyle name="Followed Hyperlink" xfId="16838" builtinId="9" hidden="1"/>
    <cellStyle name="Followed Hyperlink" xfId="16840" builtinId="9" hidden="1"/>
    <cellStyle name="Followed Hyperlink" xfId="16842" builtinId="9" hidden="1"/>
    <cellStyle name="Followed Hyperlink" xfId="16844" builtinId="9" hidden="1"/>
    <cellStyle name="Followed Hyperlink" xfId="16846" builtinId="9" hidden="1"/>
    <cellStyle name="Followed Hyperlink" xfId="16848" builtinId="9" hidden="1"/>
    <cellStyle name="Followed Hyperlink" xfId="16850" builtinId="9" hidden="1"/>
    <cellStyle name="Followed Hyperlink" xfId="16852" builtinId="9" hidden="1"/>
    <cellStyle name="Followed Hyperlink" xfId="16854" builtinId="9" hidden="1"/>
    <cellStyle name="Followed Hyperlink" xfId="16856" builtinId="9" hidden="1"/>
    <cellStyle name="Followed Hyperlink" xfId="16858" builtinId="9" hidden="1"/>
    <cellStyle name="Followed Hyperlink" xfId="16860" builtinId="9" hidden="1"/>
    <cellStyle name="Followed Hyperlink" xfId="16862" builtinId="9" hidden="1"/>
    <cellStyle name="Followed Hyperlink" xfId="16864" builtinId="9" hidden="1"/>
    <cellStyle name="Followed Hyperlink" xfId="16866" builtinId="9" hidden="1"/>
    <cellStyle name="Followed Hyperlink" xfId="16868" builtinId="9" hidden="1"/>
    <cellStyle name="Followed Hyperlink" xfId="16870" builtinId="9" hidden="1"/>
    <cellStyle name="Followed Hyperlink" xfId="16872" builtinId="9" hidden="1"/>
    <cellStyle name="Followed Hyperlink" xfId="16874" builtinId="9" hidden="1"/>
    <cellStyle name="Followed Hyperlink" xfId="16876" builtinId="9" hidden="1"/>
    <cellStyle name="Followed Hyperlink" xfId="16878" builtinId="9" hidden="1"/>
    <cellStyle name="Followed Hyperlink" xfId="16880" builtinId="9" hidden="1"/>
    <cellStyle name="Followed Hyperlink" xfId="16882" builtinId="9" hidden="1"/>
    <cellStyle name="Followed Hyperlink" xfId="16884" builtinId="9" hidden="1"/>
    <cellStyle name="Followed Hyperlink" xfId="16886" builtinId="9" hidden="1"/>
    <cellStyle name="Followed Hyperlink" xfId="16888" builtinId="9" hidden="1"/>
    <cellStyle name="Followed Hyperlink" xfId="16890" builtinId="9" hidden="1"/>
    <cellStyle name="Followed Hyperlink" xfId="16892" builtinId="9" hidden="1"/>
    <cellStyle name="Followed Hyperlink" xfId="16894" builtinId="9" hidden="1"/>
    <cellStyle name="Followed Hyperlink" xfId="16896" builtinId="9" hidden="1"/>
    <cellStyle name="Followed Hyperlink" xfId="16898" builtinId="9" hidden="1"/>
    <cellStyle name="Followed Hyperlink" xfId="16900" builtinId="9" hidden="1"/>
    <cellStyle name="Followed Hyperlink" xfId="16902" builtinId="9" hidden="1"/>
    <cellStyle name="Followed Hyperlink" xfId="16904" builtinId="9" hidden="1"/>
    <cellStyle name="Followed Hyperlink" xfId="16906" builtinId="9" hidden="1"/>
    <cellStyle name="Followed Hyperlink" xfId="16908" builtinId="9" hidden="1"/>
    <cellStyle name="Followed Hyperlink" xfId="16910" builtinId="9" hidden="1"/>
    <cellStyle name="Followed Hyperlink" xfId="16912" builtinId="9" hidden="1"/>
    <cellStyle name="Followed Hyperlink" xfId="16914" builtinId="9" hidden="1"/>
    <cellStyle name="Followed Hyperlink" xfId="16916" builtinId="9" hidden="1"/>
    <cellStyle name="Followed Hyperlink" xfId="16918" builtinId="9" hidden="1"/>
    <cellStyle name="Followed Hyperlink" xfId="16920" builtinId="9" hidden="1"/>
    <cellStyle name="Followed Hyperlink" xfId="16922" builtinId="9" hidden="1"/>
    <cellStyle name="Followed Hyperlink" xfId="16924" builtinId="9" hidden="1"/>
    <cellStyle name="Followed Hyperlink" xfId="16926" builtinId="9" hidden="1"/>
    <cellStyle name="Followed Hyperlink" xfId="16928" builtinId="9" hidden="1"/>
    <cellStyle name="Followed Hyperlink" xfId="16930" builtinId="9" hidden="1"/>
    <cellStyle name="Followed Hyperlink" xfId="16932" builtinId="9" hidden="1"/>
    <cellStyle name="Followed Hyperlink" xfId="16934" builtinId="9" hidden="1"/>
    <cellStyle name="Followed Hyperlink" xfId="16936" builtinId="9" hidden="1"/>
    <cellStyle name="Followed Hyperlink" xfId="16938" builtinId="9" hidden="1"/>
    <cellStyle name="Followed Hyperlink" xfId="16940" builtinId="9" hidden="1"/>
    <cellStyle name="Followed Hyperlink" xfId="16942" builtinId="9" hidden="1"/>
    <cellStyle name="Followed Hyperlink" xfId="16944" builtinId="9" hidden="1"/>
    <cellStyle name="Followed Hyperlink" xfId="16946" builtinId="9" hidden="1"/>
    <cellStyle name="Followed Hyperlink" xfId="16948" builtinId="9" hidden="1"/>
    <cellStyle name="Followed Hyperlink" xfId="16950" builtinId="9" hidden="1"/>
    <cellStyle name="Followed Hyperlink" xfId="16952" builtinId="9" hidden="1"/>
    <cellStyle name="Followed Hyperlink" xfId="16954" builtinId="9" hidden="1"/>
    <cellStyle name="Followed Hyperlink" xfId="16956" builtinId="9" hidden="1"/>
    <cellStyle name="Followed Hyperlink" xfId="16958" builtinId="9" hidden="1"/>
    <cellStyle name="Followed Hyperlink" xfId="16960" builtinId="9" hidden="1"/>
    <cellStyle name="Followed Hyperlink" xfId="16962" builtinId="9" hidden="1"/>
    <cellStyle name="Followed Hyperlink" xfId="16964" builtinId="9" hidden="1"/>
    <cellStyle name="Followed Hyperlink" xfId="16966" builtinId="9" hidden="1"/>
    <cellStyle name="Followed Hyperlink" xfId="16968" builtinId="9" hidden="1"/>
    <cellStyle name="Followed Hyperlink" xfId="16970" builtinId="9" hidden="1"/>
    <cellStyle name="Followed Hyperlink" xfId="16972" builtinId="9" hidden="1"/>
    <cellStyle name="Followed Hyperlink" xfId="16974" builtinId="9" hidden="1"/>
    <cellStyle name="Followed Hyperlink" xfId="16976" builtinId="9" hidden="1"/>
    <cellStyle name="Followed Hyperlink" xfId="16978" builtinId="9" hidden="1"/>
    <cellStyle name="Followed Hyperlink" xfId="16980" builtinId="9" hidden="1"/>
    <cellStyle name="Followed Hyperlink" xfId="16982" builtinId="9" hidden="1"/>
    <cellStyle name="Followed Hyperlink" xfId="16984" builtinId="9" hidden="1"/>
    <cellStyle name="Followed Hyperlink" xfId="16986" builtinId="9" hidden="1"/>
    <cellStyle name="Followed Hyperlink" xfId="16988" builtinId="9" hidden="1"/>
    <cellStyle name="Followed Hyperlink" xfId="16990" builtinId="9" hidden="1"/>
    <cellStyle name="Followed Hyperlink" xfId="16992" builtinId="9" hidden="1"/>
    <cellStyle name="Followed Hyperlink" xfId="16994" builtinId="9" hidden="1"/>
    <cellStyle name="Followed Hyperlink" xfId="16996" builtinId="9" hidden="1"/>
    <cellStyle name="Followed Hyperlink" xfId="16998" builtinId="9" hidden="1"/>
    <cellStyle name="Followed Hyperlink" xfId="17000" builtinId="9" hidden="1"/>
    <cellStyle name="Followed Hyperlink" xfId="17002" builtinId="9" hidden="1"/>
    <cellStyle name="Followed Hyperlink" xfId="17004" builtinId="9" hidden="1"/>
    <cellStyle name="Followed Hyperlink" xfId="17006" builtinId="9" hidden="1"/>
    <cellStyle name="Followed Hyperlink" xfId="17008" builtinId="9" hidden="1"/>
    <cellStyle name="Followed Hyperlink" xfId="17010" builtinId="9" hidden="1"/>
    <cellStyle name="Followed Hyperlink" xfId="17012" builtinId="9" hidden="1"/>
    <cellStyle name="Followed Hyperlink" xfId="17014" builtinId="9" hidden="1"/>
    <cellStyle name="Followed Hyperlink" xfId="17016" builtinId="9" hidden="1"/>
    <cellStyle name="Followed Hyperlink" xfId="17018" builtinId="9" hidden="1"/>
    <cellStyle name="Followed Hyperlink" xfId="17020" builtinId="9" hidden="1"/>
    <cellStyle name="Followed Hyperlink" xfId="17022" builtinId="9" hidden="1"/>
    <cellStyle name="Followed Hyperlink" xfId="17024" builtinId="9" hidden="1"/>
    <cellStyle name="Followed Hyperlink" xfId="17026" builtinId="9" hidden="1"/>
    <cellStyle name="Followed Hyperlink" xfId="17028" builtinId="9" hidden="1"/>
    <cellStyle name="Followed Hyperlink" xfId="17030" builtinId="9" hidden="1"/>
    <cellStyle name="Followed Hyperlink" xfId="17032" builtinId="9" hidden="1"/>
    <cellStyle name="Followed Hyperlink" xfId="17034" builtinId="9" hidden="1"/>
    <cellStyle name="Followed Hyperlink" xfId="17036" builtinId="9" hidden="1"/>
    <cellStyle name="Followed Hyperlink" xfId="17038" builtinId="9" hidden="1"/>
    <cellStyle name="Followed Hyperlink" xfId="17040" builtinId="9" hidden="1"/>
    <cellStyle name="Followed Hyperlink" xfId="17042" builtinId="9" hidden="1"/>
    <cellStyle name="Followed Hyperlink" xfId="17044" builtinId="9" hidden="1"/>
    <cellStyle name="Followed Hyperlink" xfId="17046" builtinId="9" hidden="1"/>
    <cellStyle name="Followed Hyperlink" xfId="17048" builtinId="9" hidden="1"/>
    <cellStyle name="Followed Hyperlink" xfId="17050" builtinId="9" hidden="1"/>
    <cellStyle name="Followed Hyperlink" xfId="17052" builtinId="9" hidden="1"/>
    <cellStyle name="Followed Hyperlink" xfId="17054" builtinId="9" hidden="1"/>
    <cellStyle name="Followed Hyperlink" xfId="17056" builtinId="9" hidden="1"/>
    <cellStyle name="Followed Hyperlink" xfId="17058" builtinId="9" hidden="1"/>
    <cellStyle name="Followed Hyperlink" xfId="17060" builtinId="9" hidden="1"/>
    <cellStyle name="Followed Hyperlink" xfId="17062" builtinId="9" hidden="1"/>
    <cellStyle name="Followed Hyperlink" xfId="17064" builtinId="9" hidden="1"/>
    <cellStyle name="Followed Hyperlink" xfId="17066" builtinId="9" hidden="1"/>
    <cellStyle name="Followed Hyperlink" xfId="17068" builtinId="9" hidden="1"/>
    <cellStyle name="Followed Hyperlink" xfId="17070" builtinId="9" hidden="1"/>
    <cellStyle name="Followed Hyperlink" xfId="17072" builtinId="9" hidden="1"/>
    <cellStyle name="Followed Hyperlink" xfId="17074" builtinId="9" hidden="1"/>
    <cellStyle name="Followed Hyperlink" xfId="17076" builtinId="9" hidden="1"/>
    <cellStyle name="Followed Hyperlink" xfId="17078" builtinId="9" hidden="1"/>
    <cellStyle name="Followed Hyperlink" xfId="17080" builtinId="9" hidden="1"/>
    <cellStyle name="Followed Hyperlink" xfId="17082" builtinId="9" hidden="1"/>
    <cellStyle name="Followed Hyperlink" xfId="17084" builtinId="9" hidden="1"/>
    <cellStyle name="Followed Hyperlink" xfId="17086" builtinId="9" hidden="1"/>
    <cellStyle name="Followed Hyperlink" xfId="17088" builtinId="9" hidden="1"/>
    <cellStyle name="Followed Hyperlink" xfId="17090" builtinId="9" hidden="1"/>
    <cellStyle name="Followed Hyperlink" xfId="17092" builtinId="9" hidden="1"/>
    <cellStyle name="Followed Hyperlink" xfId="17094" builtinId="9" hidden="1"/>
    <cellStyle name="Followed Hyperlink" xfId="17096" builtinId="9" hidden="1"/>
    <cellStyle name="Followed Hyperlink" xfId="17098" builtinId="9" hidden="1"/>
    <cellStyle name="Followed Hyperlink" xfId="17100" builtinId="9" hidden="1"/>
    <cellStyle name="Followed Hyperlink" xfId="17102" builtinId="9" hidden="1"/>
    <cellStyle name="Followed Hyperlink" xfId="17104" builtinId="9" hidden="1"/>
    <cellStyle name="Followed Hyperlink" xfId="17106" builtinId="9" hidden="1"/>
    <cellStyle name="Followed Hyperlink" xfId="17108" builtinId="9" hidden="1"/>
    <cellStyle name="Followed Hyperlink" xfId="17110" builtinId="9" hidden="1"/>
    <cellStyle name="Followed Hyperlink" xfId="17112" builtinId="9" hidden="1"/>
    <cellStyle name="Followed Hyperlink" xfId="17114" builtinId="9" hidden="1"/>
    <cellStyle name="Followed Hyperlink" xfId="17116" builtinId="9" hidden="1"/>
    <cellStyle name="Followed Hyperlink" xfId="17118" builtinId="9" hidden="1"/>
    <cellStyle name="Followed Hyperlink" xfId="17120" builtinId="9" hidden="1"/>
    <cellStyle name="Followed Hyperlink" xfId="17122" builtinId="9" hidden="1"/>
    <cellStyle name="Followed Hyperlink" xfId="17124" builtinId="9" hidden="1"/>
    <cellStyle name="Followed Hyperlink" xfId="17126" builtinId="9" hidden="1"/>
    <cellStyle name="Followed Hyperlink" xfId="17128" builtinId="9" hidden="1"/>
    <cellStyle name="Followed Hyperlink" xfId="17130" builtinId="9" hidden="1"/>
    <cellStyle name="Followed Hyperlink" xfId="17132" builtinId="9" hidden="1"/>
    <cellStyle name="Followed Hyperlink" xfId="17134" builtinId="9" hidden="1"/>
    <cellStyle name="Followed Hyperlink" xfId="17136" builtinId="9" hidden="1"/>
    <cellStyle name="Followed Hyperlink" xfId="17138" builtinId="9" hidden="1"/>
    <cellStyle name="Followed Hyperlink" xfId="17140" builtinId="9" hidden="1"/>
    <cellStyle name="Followed Hyperlink" xfId="17142" builtinId="9" hidden="1"/>
    <cellStyle name="Followed Hyperlink" xfId="17144" builtinId="9" hidden="1"/>
    <cellStyle name="Followed Hyperlink" xfId="17146" builtinId="9" hidden="1"/>
    <cellStyle name="Followed Hyperlink" xfId="17148" builtinId="9" hidden="1"/>
    <cellStyle name="Followed Hyperlink" xfId="17150" builtinId="9" hidden="1"/>
    <cellStyle name="Followed Hyperlink" xfId="17152" builtinId="9" hidden="1"/>
    <cellStyle name="Followed Hyperlink" xfId="17154" builtinId="9" hidden="1"/>
    <cellStyle name="Followed Hyperlink" xfId="17156" builtinId="9" hidden="1"/>
    <cellStyle name="Followed Hyperlink" xfId="17158" builtinId="9" hidden="1"/>
    <cellStyle name="Followed Hyperlink" xfId="17160" builtinId="9" hidden="1"/>
    <cellStyle name="Followed Hyperlink" xfId="17162" builtinId="9" hidden="1"/>
    <cellStyle name="Followed Hyperlink" xfId="17164" builtinId="9" hidden="1"/>
    <cellStyle name="Followed Hyperlink" xfId="17166" builtinId="9" hidden="1"/>
    <cellStyle name="Followed Hyperlink" xfId="17168" builtinId="9" hidden="1"/>
    <cellStyle name="Followed Hyperlink" xfId="17170" builtinId="9" hidden="1"/>
    <cellStyle name="Followed Hyperlink" xfId="17172" builtinId="9" hidden="1"/>
    <cellStyle name="Followed Hyperlink" xfId="17174" builtinId="9" hidden="1"/>
    <cellStyle name="Followed Hyperlink" xfId="17176" builtinId="9" hidden="1"/>
    <cellStyle name="Followed Hyperlink" xfId="17178" builtinId="9" hidden="1"/>
    <cellStyle name="Followed Hyperlink" xfId="17180" builtinId="9" hidden="1"/>
    <cellStyle name="Followed Hyperlink" xfId="17182" builtinId="9" hidden="1"/>
    <cellStyle name="Followed Hyperlink" xfId="17184" builtinId="9" hidden="1"/>
    <cellStyle name="Followed Hyperlink" xfId="17186" builtinId="9" hidden="1"/>
    <cellStyle name="Followed Hyperlink" xfId="17188" builtinId="9" hidden="1"/>
    <cellStyle name="Followed Hyperlink" xfId="17190" builtinId="9" hidden="1"/>
    <cellStyle name="Followed Hyperlink" xfId="17192" builtinId="9" hidden="1"/>
    <cellStyle name="Followed Hyperlink" xfId="17194" builtinId="9" hidden="1"/>
    <cellStyle name="Followed Hyperlink" xfId="17196" builtinId="9" hidden="1"/>
    <cellStyle name="Followed Hyperlink" xfId="17198" builtinId="9" hidden="1"/>
    <cellStyle name="Followed Hyperlink" xfId="17200" builtinId="9" hidden="1"/>
    <cellStyle name="Followed Hyperlink" xfId="17202" builtinId="9" hidden="1"/>
    <cellStyle name="Followed Hyperlink" xfId="17204" builtinId="9" hidden="1"/>
    <cellStyle name="Followed Hyperlink" xfId="17206" builtinId="9" hidden="1"/>
    <cellStyle name="Followed Hyperlink" xfId="17208" builtinId="9" hidden="1"/>
    <cellStyle name="Followed Hyperlink" xfId="17210" builtinId="9" hidden="1"/>
    <cellStyle name="Followed Hyperlink" xfId="17212" builtinId="9" hidden="1"/>
    <cellStyle name="Followed Hyperlink" xfId="17214" builtinId="9" hidden="1"/>
    <cellStyle name="Followed Hyperlink" xfId="17216" builtinId="9" hidden="1"/>
    <cellStyle name="Followed Hyperlink" xfId="17218" builtinId="9" hidden="1"/>
    <cellStyle name="Followed Hyperlink" xfId="17220" builtinId="9" hidden="1"/>
    <cellStyle name="Followed Hyperlink" xfId="17222" builtinId="9" hidden="1"/>
    <cellStyle name="Followed Hyperlink" xfId="17224" builtinId="9" hidden="1"/>
    <cellStyle name="Followed Hyperlink" xfId="17226" builtinId="9" hidden="1"/>
    <cellStyle name="Followed Hyperlink" xfId="17228" builtinId="9" hidden="1"/>
    <cellStyle name="Followed Hyperlink" xfId="17230" builtinId="9" hidden="1"/>
    <cellStyle name="Followed Hyperlink" xfId="17232" builtinId="9" hidden="1"/>
    <cellStyle name="Followed Hyperlink" xfId="17234" builtinId="9" hidden="1"/>
    <cellStyle name="Followed Hyperlink" xfId="17236" builtinId="9" hidden="1"/>
    <cellStyle name="Followed Hyperlink" xfId="17238" builtinId="9" hidden="1"/>
    <cellStyle name="Followed Hyperlink" xfId="17240" builtinId="9" hidden="1"/>
    <cellStyle name="Followed Hyperlink" xfId="17242" builtinId="9" hidden="1"/>
    <cellStyle name="Followed Hyperlink" xfId="17244" builtinId="9" hidden="1"/>
    <cellStyle name="Followed Hyperlink" xfId="17246" builtinId="9" hidden="1"/>
    <cellStyle name="Followed Hyperlink" xfId="17248" builtinId="9" hidden="1"/>
    <cellStyle name="Followed Hyperlink" xfId="17250" builtinId="9" hidden="1"/>
    <cellStyle name="Followed Hyperlink" xfId="17252" builtinId="9" hidden="1"/>
    <cellStyle name="Followed Hyperlink" xfId="17254" builtinId="9" hidden="1"/>
    <cellStyle name="Followed Hyperlink" xfId="17256" builtinId="9" hidden="1"/>
    <cellStyle name="Followed Hyperlink" xfId="17258" builtinId="9" hidden="1"/>
    <cellStyle name="Followed Hyperlink" xfId="17260" builtinId="9" hidden="1"/>
    <cellStyle name="Followed Hyperlink" xfId="17262" builtinId="9" hidden="1"/>
    <cellStyle name="Followed Hyperlink" xfId="17264" builtinId="9" hidden="1"/>
    <cellStyle name="Followed Hyperlink" xfId="17266" builtinId="9" hidden="1"/>
    <cellStyle name="Followed Hyperlink" xfId="17268" builtinId="9" hidden="1"/>
    <cellStyle name="Followed Hyperlink" xfId="17270" builtinId="9" hidden="1"/>
    <cellStyle name="Followed Hyperlink" xfId="17272" builtinId="9" hidden="1"/>
    <cellStyle name="Followed Hyperlink" xfId="17274" builtinId="9" hidden="1"/>
    <cellStyle name="Followed Hyperlink" xfId="17276" builtinId="9" hidden="1"/>
    <cellStyle name="Followed Hyperlink" xfId="17278" builtinId="9" hidden="1"/>
    <cellStyle name="Followed Hyperlink" xfId="17280" builtinId="9" hidden="1"/>
    <cellStyle name="Followed Hyperlink" xfId="17282" builtinId="9" hidden="1"/>
    <cellStyle name="Followed Hyperlink" xfId="17284" builtinId="9" hidden="1"/>
    <cellStyle name="Followed Hyperlink" xfId="17286" builtinId="9" hidden="1"/>
    <cellStyle name="Followed Hyperlink" xfId="17288" builtinId="9" hidden="1"/>
    <cellStyle name="Followed Hyperlink" xfId="17290" builtinId="9" hidden="1"/>
    <cellStyle name="Followed Hyperlink" xfId="17292" builtinId="9" hidden="1"/>
    <cellStyle name="Followed Hyperlink" xfId="17294" builtinId="9" hidden="1"/>
    <cellStyle name="Followed Hyperlink" xfId="17296" builtinId="9" hidden="1"/>
    <cellStyle name="Followed Hyperlink" xfId="17298" builtinId="9" hidden="1"/>
    <cellStyle name="Followed Hyperlink" xfId="17300" builtinId="9" hidden="1"/>
    <cellStyle name="Followed Hyperlink" xfId="17302" builtinId="9" hidden="1"/>
    <cellStyle name="Followed Hyperlink" xfId="17304" builtinId="9" hidden="1"/>
    <cellStyle name="Followed Hyperlink" xfId="17306" builtinId="9" hidden="1"/>
    <cellStyle name="Followed Hyperlink" xfId="17308" builtinId="9" hidden="1"/>
    <cellStyle name="Followed Hyperlink" xfId="17310" builtinId="9" hidden="1"/>
    <cellStyle name="Followed Hyperlink" xfId="17312" builtinId="9" hidden="1"/>
    <cellStyle name="Followed Hyperlink" xfId="17314" builtinId="9" hidden="1"/>
    <cellStyle name="Followed Hyperlink" xfId="17316" builtinId="9" hidden="1"/>
    <cellStyle name="Followed Hyperlink" xfId="17318" builtinId="9" hidden="1"/>
    <cellStyle name="Followed Hyperlink" xfId="17320" builtinId="9" hidden="1"/>
    <cellStyle name="Followed Hyperlink" xfId="17322" builtinId="9" hidden="1"/>
    <cellStyle name="Followed Hyperlink" xfId="17324" builtinId="9" hidden="1"/>
    <cellStyle name="Followed Hyperlink" xfId="17326" builtinId="9" hidden="1"/>
    <cellStyle name="Followed Hyperlink" xfId="17328" builtinId="9" hidden="1"/>
    <cellStyle name="Followed Hyperlink" xfId="17330" builtinId="9" hidden="1"/>
    <cellStyle name="Followed Hyperlink" xfId="17332" builtinId="9" hidden="1"/>
    <cellStyle name="Followed Hyperlink" xfId="17334" builtinId="9" hidden="1"/>
    <cellStyle name="Followed Hyperlink" xfId="17336" builtinId="9" hidden="1"/>
    <cellStyle name="Followed Hyperlink" xfId="17338" builtinId="9" hidden="1"/>
    <cellStyle name="Followed Hyperlink" xfId="17340" builtinId="9" hidden="1"/>
    <cellStyle name="Followed Hyperlink" xfId="17342" builtinId="9" hidden="1"/>
    <cellStyle name="Followed Hyperlink" xfId="17344" builtinId="9" hidden="1"/>
    <cellStyle name="Followed Hyperlink" xfId="17346" builtinId="9" hidden="1"/>
    <cellStyle name="Followed Hyperlink" xfId="17348" builtinId="9" hidden="1"/>
    <cellStyle name="Followed Hyperlink" xfId="17350" builtinId="9" hidden="1"/>
    <cellStyle name="Followed Hyperlink" xfId="17352" builtinId="9" hidden="1"/>
    <cellStyle name="Followed Hyperlink" xfId="17354" builtinId="9" hidden="1"/>
    <cellStyle name="Followed Hyperlink" xfId="17356" builtinId="9" hidden="1"/>
    <cellStyle name="Followed Hyperlink" xfId="17358" builtinId="9" hidden="1"/>
    <cellStyle name="Followed Hyperlink" xfId="17360" builtinId="9" hidden="1"/>
    <cellStyle name="Followed Hyperlink" xfId="17362" builtinId="9" hidden="1"/>
    <cellStyle name="Followed Hyperlink" xfId="17364" builtinId="9" hidden="1"/>
    <cellStyle name="Followed Hyperlink" xfId="17366" builtinId="9" hidden="1"/>
    <cellStyle name="Followed Hyperlink" xfId="17368" builtinId="9" hidden="1"/>
    <cellStyle name="Followed Hyperlink" xfId="17370" builtinId="9" hidden="1"/>
    <cellStyle name="Followed Hyperlink" xfId="17372" builtinId="9" hidden="1"/>
    <cellStyle name="Followed Hyperlink" xfId="17374" builtinId="9" hidden="1"/>
    <cellStyle name="Followed Hyperlink" xfId="17376" builtinId="9" hidden="1"/>
    <cellStyle name="Followed Hyperlink" xfId="17378" builtinId="9" hidden="1"/>
    <cellStyle name="Followed Hyperlink" xfId="17380" builtinId="9" hidden="1"/>
    <cellStyle name="Followed Hyperlink" xfId="17382" builtinId="9" hidden="1"/>
    <cellStyle name="Followed Hyperlink" xfId="17384" builtinId="9" hidden="1"/>
    <cellStyle name="Followed Hyperlink" xfId="17386" builtinId="9" hidden="1"/>
    <cellStyle name="Followed Hyperlink" xfId="17388" builtinId="9" hidden="1"/>
    <cellStyle name="Followed Hyperlink" xfId="17390" builtinId="9" hidden="1"/>
    <cellStyle name="Followed Hyperlink" xfId="17392" builtinId="9" hidden="1"/>
    <cellStyle name="Followed Hyperlink" xfId="17394" builtinId="9" hidden="1"/>
    <cellStyle name="Followed Hyperlink" xfId="17396" builtinId="9" hidden="1"/>
    <cellStyle name="Followed Hyperlink" xfId="17398" builtinId="9" hidden="1"/>
    <cellStyle name="Followed Hyperlink" xfId="17400" builtinId="9" hidden="1"/>
    <cellStyle name="Followed Hyperlink" xfId="17402" builtinId="9" hidden="1"/>
    <cellStyle name="Followed Hyperlink" xfId="17404" builtinId="9" hidden="1"/>
    <cellStyle name="Followed Hyperlink" xfId="17406" builtinId="9" hidden="1"/>
    <cellStyle name="Followed Hyperlink" xfId="17408" builtinId="9" hidden="1"/>
    <cellStyle name="Followed Hyperlink" xfId="17410" builtinId="9" hidden="1"/>
    <cellStyle name="Followed Hyperlink" xfId="17412" builtinId="9" hidden="1"/>
    <cellStyle name="Followed Hyperlink" xfId="17414" builtinId="9" hidden="1"/>
    <cellStyle name="Followed Hyperlink" xfId="17416" builtinId="9" hidden="1"/>
    <cellStyle name="Followed Hyperlink" xfId="17418" builtinId="9" hidden="1"/>
    <cellStyle name="Followed Hyperlink" xfId="17420" builtinId="9" hidden="1"/>
    <cellStyle name="Followed Hyperlink" xfId="17422" builtinId="9" hidden="1"/>
    <cellStyle name="Followed Hyperlink" xfId="17424" builtinId="9" hidden="1"/>
    <cellStyle name="Followed Hyperlink" xfId="17426" builtinId="9" hidden="1"/>
    <cellStyle name="Followed Hyperlink" xfId="17428" builtinId="9" hidden="1"/>
    <cellStyle name="Followed Hyperlink" xfId="17430" builtinId="9" hidden="1"/>
    <cellStyle name="Followed Hyperlink" xfId="17432" builtinId="9" hidden="1"/>
    <cellStyle name="Followed Hyperlink" xfId="17434" builtinId="9" hidden="1"/>
    <cellStyle name="Followed Hyperlink" xfId="17436" builtinId="9" hidden="1"/>
    <cellStyle name="Followed Hyperlink" xfId="17438" builtinId="9" hidden="1"/>
    <cellStyle name="Followed Hyperlink" xfId="17440" builtinId="9" hidden="1"/>
    <cellStyle name="Followed Hyperlink" xfId="17442" builtinId="9" hidden="1"/>
    <cellStyle name="Followed Hyperlink" xfId="17444" builtinId="9" hidden="1"/>
    <cellStyle name="Followed Hyperlink" xfId="17446" builtinId="9" hidden="1"/>
    <cellStyle name="Followed Hyperlink" xfId="17448" builtinId="9" hidden="1"/>
    <cellStyle name="Followed Hyperlink" xfId="17450" builtinId="9" hidden="1"/>
    <cellStyle name="Followed Hyperlink" xfId="17452" builtinId="9" hidden="1"/>
    <cellStyle name="Followed Hyperlink" xfId="17454" builtinId="9" hidden="1"/>
    <cellStyle name="Followed Hyperlink" xfId="17456" builtinId="9" hidden="1"/>
    <cellStyle name="Followed Hyperlink" xfId="17458" builtinId="9" hidden="1"/>
    <cellStyle name="Followed Hyperlink" xfId="17460" builtinId="9" hidden="1"/>
    <cellStyle name="Followed Hyperlink" xfId="17462" builtinId="9" hidden="1"/>
    <cellStyle name="Followed Hyperlink" xfId="17464" builtinId="9" hidden="1"/>
    <cellStyle name="Followed Hyperlink" xfId="17466" builtinId="9" hidden="1"/>
    <cellStyle name="Followed Hyperlink" xfId="17468" builtinId="9" hidden="1"/>
    <cellStyle name="Followed Hyperlink" xfId="17470" builtinId="9" hidden="1"/>
    <cellStyle name="Followed Hyperlink" xfId="17472" builtinId="9" hidden="1"/>
    <cellStyle name="Followed Hyperlink" xfId="17474" builtinId="9" hidden="1"/>
    <cellStyle name="Followed Hyperlink" xfId="17476" builtinId="9" hidden="1"/>
    <cellStyle name="Followed Hyperlink" xfId="17478" builtinId="9" hidden="1"/>
    <cellStyle name="Followed Hyperlink" xfId="17480" builtinId="9" hidden="1"/>
    <cellStyle name="Followed Hyperlink" xfId="17482" builtinId="9" hidden="1"/>
    <cellStyle name="Followed Hyperlink" xfId="17484" builtinId="9" hidden="1"/>
    <cellStyle name="Followed Hyperlink" xfId="17486" builtinId="9" hidden="1"/>
    <cellStyle name="Followed Hyperlink" xfId="17488" builtinId="9" hidden="1"/>
    <cellStyle name="Followed Hyperlink" xfId="17490" builtinId="9" hidden="1"/>
    <cellStyle name="Followed Hyperlink" xfId="17492" builtinId="9" hidden="1"/>
    <cellStyle name="Followed Hyperlink" xfId="17494" builtinId="9" hidden="1"/>
    <cellStyle name="Followed Hyperlink" xfId="17496" builtinId="9" hidden="1"/>
    <cellStyle name="Followed Hyperlink" xfId="17498" builtinId="9" hidden="1"/>
    <cellStyle name="Followed Hyperlink" xfId="17500" builtinId="9" hidden="1"/>
    <cellStyle name="Followed Hyperlink" xfId="17502" builtinId="9" hidden="1"/>
    <cellStyle name="Followed Hyperlink" xfId="17504" builtinId="9" hidden="1"/>
    <cellStyle name="Followed Hyperlink" xfId="17506" builtinId="9" hidden="1"/>
    <cellStyle name="Followed Hyperlink" xfId="17508" builtinId="9" hidden="1"/>
    <cellStyle name="Followed Hyperlink" xfId="17510" builtinId="9" hidden="1"/>
    <cellStyle name="Followed Hyperlink" xfId="17512" builtinId="9" hidden="1"/>
    <cellStyle name="Followed Hyperlink" xfId="17514" builtinId="9" hidden="1"/>
    <cellStyle name="Followed Hyperlink" xfId="17516" builtinId="9" hidden="1"/>
    <cellStyle name="Followed Hyperlink" xfId="17518" builtinId="9" hidden="1"/>
    <cellStyle name="Followed Hyperlink" xfId="17520" builtinId="9" hidden="1"/>
    <cellStyle name="Followed Hyperlink" xfId="17522" builtinId="9" hidden="1"/>
    <cellStyle name="Followed Hyperlink" xfId="17524" builtinId="9" hidden="1"/>
    <cellStyle name="Followed Hyperlink" xfId="17526" builtinId="9" hidden="1"/>
    <cellStyle name="Followed Hyperlink" xfId="17528" builtinId="9" hidden="1"/>
    <cellStyle name="Followed Hyperlink" xfId="17530" builtinId="9" hidden="1"/>
    <cellStyle name="Followed Hyperlink" xfId="17532" builtinId="9" hidden="1"/>
    <cellStyle name="Followed Hyperlink" xfId="17534" builtinId="9" hidden="1"/>
    <cellStyle name="Followed Hyperlink" xfId="17536" builtinId="9" hidden="1"/>
    <cellStyle name="Followed Hyperlink" xfId="17538" builtinId="9" hidden="1"/>
    <cellStyle name="Followed Hyperlink" xfId="17540" builtinId="9" hidden="1"/>
    <cellStyle name="Followed Hyperlink" xfId="17542" builtinId="9" hidden="1"/>
    <cellStyle name="Followed Hyperlink" xfId="17544" builtinId="9" hidden="1"/>
    <cellStyle name="Followed Hyperlink" xfId="17546" builtinId="9" hidden="1"/>
    <cellStyle name="Followed Hyperlink" xfId="17548" builtinId="9" hidden="1"/>
    <cellStyle name="Followed Hyperlink" xfId="17550" builtinId="9" hidden="1"/>
    <cellStyle name="Followed Hyperlink" xfId="17552" builtinId="9" hidden="1"/>
    <cellStyle name="Followed Hyperlink" xfId="17554" builtinId="9" hidden="1"/>
    <cellStyle name="Followed Hyperlink" xfId="17556" builtinId="9" hidden="1"/>
    <cellStyle name="Followed Hyperlink" xfId="17558" builtinId="9" hidden="1"/>
    <cellStyle name="Followed Hyperlink" xfId="17560" builtinId="9" hidden="1"/>
    <cellStyle name="Followed Hyperlink" xfId="17562" builtinId="9" hidden="1"/>
    <cellStyle name="Followed Hyperlink" xfId="17564" builtinId="9" hidden="1"/>
    <cellStyle name="Followed Hyperlink" xfId="17566" builtinId="9" hidden="1"/>
    <cellStyle name="Followed Hyperlink" xfId="17568" builtinId="9" hidden="1"/>
    <cellStyle name="Followed Hyperlink" xfId="17570" builtinId="9" hidden="1"/>
    <cellStyle name="Followed Hyperlink" xfId="17572" builtinId="9" hidden="1"/>
    <cellStyle name="Followed Hyperlink" xfId="17574" builtinId="9" hidden="1"/>
    <cellStyle name="Followed Hyperlink" xfId="17576" builtinId="9" hidden="1"/>
    <cellStyle name="Followed Hyperlink" xfId="17578" builtinId="9" hidden="1"/>
    <cellStyle name="Followed Hyperlink" xfId="17580" builtinId="9" hidden="1"/>
    <cellStyle name="Followed Hyperlink" xfId="17582" builtinId="9" hidden="1"/>
    <cellStyle name="Followed Hyperlink" xfId="17584" builtinId="9" hidden="1"/>
    <cellStyle name="Followed Hyperlink" xfId="17586" builtinId="9" hidden="1"/>
    <cellStyle name="Followed Hyperlink" xfId="17588" builtinId="9" hidden="1"/>
    <cellStyle name="Followed Hyperlink" xfId="17590" builtinId="9" hidden="1"/>
    <cellStyle name="Followed Hyperlink" xfId="17592" builtinId="9" hidden="1"/>
    <cellStyle name="Followed Hyperlink" xfId="17594" builtinId="9" hidden="1"/>
    <cellStyle name="Followed Hyperlink" xfId="17596" builtinId="9" hidden="1"/>
    <cellStyle name="Followed Hyperlink" xfId="17598" builtinId="9" hidden="1"/>
    <cellStyle name="Followed Hyperlink" xfId="17600" builtinId="9" hidden="1"/>
    <cellStyle name="Followed Hyperlink" xfId="17602" builtinId="9" hidden="1"/>
    <cellStyle name="Followed Hyperlink" xfId="17604" builtinId="9" hidden="1"/>
    <cellStyle name="Followed Hyperlink" xfId="17606" builtinId="9" hidden="1"/>
    <cellStyle name="Followed Hyperlink" xfId="17608" builtinId="9" hidden="1"/>
    <cellStyle name="Followed Hyperlink" xfId="17610" builtinId="9" hidden="1"/>
    <cellStyle name="Followed Hyperlink" xfId="17612" builtinId="9" hidden="1"/>
    <cellStyle name="Followed Hyperlink" xfId="17614" builtinId="9" hidden="1"/>
    <cellStyle name="Followed Hyperlink" xfId="17616" builtinId="9" hidden="1"/>
    <cellStyle name="Followed Hyperlink" xfId="17618" builtinId="9" hidden="1"/>
    <cellStyle name="Followed Hyperlink" xfId="17620" builtinId="9" hidden="1"/>
    <cellStyle name="Followed Hyperlink" xfId="17622" builtinId="9" hidden="1"/>
    <cellStyle name="Followed Hyperlink" xfId="17624" builtinId="9" hidden="1"/>
    <cellStyle name="Followed Hyperlink" xfId="17626" builtinId="9" hidden="1"/>
    <cellStyle name="Followed Hyperlink" xfId="17628" builtinId="9" hidden="1"/>
    <cellStyle name="Followed Hyperlink" xfId="17630" builtinId="9" hidden="1"/>
    <cellStyle name="Followed Hyperlink" xfId="17632" builtinId="9" hidden="1"/>
    <cellStyle name="Followed Hyperlink" xfId="17634" builtinId="9" hidden="1"/>
    <cellStyle name="Followed Hyperlink" xfId="17636" builtinId="9" hidden="1"/>
    <cellStyle name="Followed Hyperlink" xfId="17638" builtinId="9" hidden="1"/>
    <cellStyle name="Followed Hyperlink" xfId="17640" builtinId="9" hidden="1"/>
    <cellStyle name="Followed Hyperlink" xfId="17642" builtinId="9" hidden="1"/>
    <cellStyle name="Followed Hyperlink" xfId="17644" builtinId="9" hidden="1"/>
    <cellStyle name="Followed Hyperlink" xfId="17646" builtinId="9" hidden="1"/>
    <cellStyle name="Followed Hyperlink" xfId="17648" builtinId="9" hidden="1"/>
    <cellStyle name="Followed Hyperlink" xfId="17650" builtinId="9" hidden="1"/>
    <cellStyle name="Followed Hyperlink" xfId="17652" builtinId="9" hidden="1"/>
    <cellStyle name="Followed Hyperlink" xfId="17654" builtinId="9" hidden="1"/>
    <cellStyle name="Followed Hyperlink" xfId="17656" builtinId="9" hidden="1"/>
    <cellStyle name="Followed Hyperlink" xfId="17658" builtinId="9" hidden="1"/>
    <cellStyle name="Followed Hyperlink" xfId="17660" builtinId="9" hidden="1"/>
    <cellStyle name="Followed Hyperlink" xfId="17662" builtinId="9" hidden="1"/>
    <cellStyle name="Followed Hyperlink" xfId="17664" builtinId="9" hidden="1"/>
    <cellStyle name="Followed Hyperlink" xfId="17666" builtinId="9" hidden="1"/>
    <cellStyle name="Followed Hyperlink" xfId="17668" builtinId="9" hidden="1"/>
    <cellStyle name="Followed Hyperlink" xfId="17670" builtinId="9" hidden="1"/>
    <cellStyle name="Followed Hyperlink" xfId="17672" builtinId="9" hidden="1"/>
    <cellStyle name="Followed Hyperlink" xfId="17674" builtinId="9" hidden="1"/>
    <cellStyle name="Followed Hyperlink" xfId="17676" builtinId="9" hidden="1"/>
    <cellStyle name="Followed Hyperlink" xfId="17678" builtinId="9" hidden="1"/>
    <cellStyle name="Followed Hyperlink" xfId="17680" builtinId="9" hidden="1"/>
    <cellStyle name="Followed Hyperlink" xfId="17682" builtinId="9" hidden="1"/>
    <cellStyle name="Followed Hyperlink" xfId="17684" builtinId="9" hidden="1"/>
    <cellStyle name="Followed Hyperlink" xfId="17686" builtinId="9" hidden="1"/>
    <cellStyle name="Followed Hyperlink" xfId="17688" builtinId="9" hidden="1"/>
    <cellStyle name="Followed Hyperlink" xfId="17690" builtinId="9" hidden="1"/>
    <cellStyle name="Followed Hyperlink" xfId="17692" builtinId="9" hidden="1"/>
    <cellStyle name="Followed Hyperlink" xfId="17694" builtinId="9" hidden="1"/>
    <cellStyle name="Followed Hyperlink" xfId="17696" builtinId="9" hidden="1"/>
    <cellStyle name="Followed Hyperlink" xfId="17698" builtinId="9" hidden="1"/>
    <cellStyle name="Followed Hyperlink" xfId="17700" builtinId="9" hidden="1"/>
    <cellStyle name="Followed Hyperlink" xfId="17702" builtinId="9" hidden="1"/>
    <cellStyle name="Followed Hyperlink" xfId="17704" builtinId="9" hidden="1"/>
    <cellStyle name="Followed Hyperlink" xfId="17706" builtinId="9" hidden="1"/>
    <cellStyle name="Followed Hyperlink" xfId="17708" builtinId="9" hidden="1"/>
    <cellStyle name="Followed Hyperlink" xfId="17710" builtinId="9" hidden="1"/>
    <cellStyle name="Followed Hyperlink" xfId="17712" builtinId="9" hidden="1"/>
    <cellStyle name="Followed Hyperlink" xfId="17714" builtinId="9" hidden="1"/>
    <cellStyle name="Followed Hyperlink" xfId="17716" builtinId="9" hidden="1"/>
    <cellStyle name="Followed Hyperlink" xfId="17718" builtinId="9" hidden="1"/>
    <cellStyle name="Followed Hyperlink" xfId="17720" builtinId="9" hidden="1"/>
    <cellStyle name="Followed Hyperlink" xfId="17722" builtinId="9" hidden="1"/>
    <cellStyle name="Followed Hyperlink" xfId="17724" builtinId="9" hidden="1"/>
    <cellStyle name="Followed Hyperlink" xfId="17726" builtinId="9" hidden="1"/>
    <cellStyle name="Followed Hyperlink" xfId="17728" builtinId="9" hidden="1"/>
    <cellStyle name="Followed Hyperlink" xfId="17730" builtinId="9" hidden="1"/>
    <cellStyle name="Followed Hyperlink" xfId="17732" builtinId="9" hidden="1"/>
    <cellStyle name="Followed Hyperlink" xfId="17734" builtinId="9" hidden="1"/>
    <cellStyle name="Followed Hyperlink" xfId="17736" builtinId="9" hidden="1"/>
    <cellStyle name="Followed Hyperlink" xfId="17738" builtinId="9" hidden="1"/>
    <cellStyle name="Followed Hyperlink" xfId="17740" builtinId="9" hidden="1"/>
    <cellStyle name="Followed Hyperlink" xfId="17742" builtinId="9" hidden="1"/>
    <cellStyle name="Followed Hyperlink" xfId="17744" builtinId="9" hidden="1"/>
    <cellStyle name="Followed Hyperlink" xfId="17746" builtinId="9" hidden="1"/>
    <cellStyle name="Followed Hyperlink" xfId="17748" builtinId="9" hidden="1"/>
    <cellStyle name="Followed Hyperlink" xfId="17750" builtinId="9" hidden="1"/>
    <cellStyle name="Followed Hyperlink" xfId="17752" builtinId="9" hidden="1"/>
    <cellStyle name="Followed Hyperlink" xfId="17754" builtinId="9" hidden="1"/>
    <cellStyle name="Followed Hyperlink" xfId="17756" builtinId="9" hidden="1"/>
    <cellStyle name="Followed Hyperlink" xfId="17758" builtinId="9" hidden="1"/>
    <cellStyle name="Followed Hyperlink" xfId="17760" builtinId="9" hidden="1"/>
    <cellStyle name="Followed Hyperlink" xfId="17762" builtinId="9" hidden="1"/>
    <cellStyle name="Followed Hyperlink" xfId="17764" builtinId="9" hidden="1"/>
    <cellStyle name="Followed Hyperlink" xfId="17766" builtinId="9" hidden="1"/>
    <cellStyle name="Followed Hyperlink" xfId="17768" builtinId="9" hidden="1"/>
    <cellStyle name="Followed Hyperlink" xfId="17770" builtinId="9" hidden="1"/>
    <cellStyle name="Followed Hyperlink" xfId="17772" builtinId="9" hidden="1"/>
    <cellStyle name="Followed Hyperlink" xfId="17774" builtinId="9" hidden="1"/>
    <cellStyle name="Followed Hyperlink" xfId="17776" builtinId="9" hidden="1"/>
    <cellStyle name="Followed Hyperlink" xfId="17778" builtinId="9" hidden="1"/>
    <cellStyle name="Followed Hyperlink" xfId="17780" builtinId="9" hidden="1"/>
    <cellStyle name="Followed Hyperlink" xfId="17782" builtinId="9" hidden="1"/>
    <cellStyle name="Followed Hyperlink" xfId="17784" builtinId="9" hidden="1"/>
    <cellStyle name="Followed Hyperlink" xfId="17786" builtinId="9" hidden="1"/>
    <cellStyle name="Followed Hyperlink" xfId="17788" builtinId="9" hidden="1"/>
    <cellStyle name="Followed Hyperlink" xfId="17790" builtinId="9" hidden="1"/>
    <cellStyle name="Followed Hyperlink" xfId="17792" builtinId="9" hidden="1"/>
    <cellStyle name="Followed Hyperlink" xfId="17794" builtinId="9" hidden="1"/>
    <cellStyle name="Followed Hyperlink" xfId="17796" builtinId="9" hidden="1"/>
    <cellStyle name="Followed Hyperlink" xfId="17798" builtinId="9" hidden="1"/>
    <cellStyle name="Followed Hyperlink" xfId="17800" builtinId="9" hidden="1"/>
    <cellStyle name="Followed Hyperlink" xfId="17802" builtinId="9" hidden="1"/>
    <cellStyle name="Followed Hyperlink" xfId="17804" builtinId="9" hidden="1"/>
    <cellStyle name="Followed Hyperlink" xfId="17806" builtinId="9" hidden="1"/>
    <cellStyle name="Followed Hyperlink" xfId="17808" builtinId="9" hidden="1"/>
    <cellStyle name="Followed Hyperlink" xfId="17810" builtinId="9" hidden="1"/>
    <cellStyle name="Followed Hyperlink" xfId="17812" builtinId="9" hidden="1"/>
    <cellStyle name="Followed Hyperlink" xfId="17814" builtinId="9" hidden="1"/>
    <cellStyle name="Followed Hyperlink" xfId="17816" builtinId="9" hidden="1"/>
    <cellStyle name="Followed Hyperlink" xfId="17818" builtinId="9" hidden="1"/>
    <cellStyle name="Followed Hyperlink" xfId="17820" builtinId="9" hidden="1"/>
    <cellStyle name="Followed Hyperlink" xfId="17822" builtinId="9" hidden="1"/>
    <cellStyle name="Followed Hyperlink" xfId="17824" builtinId="9" hidden="1"/>
    <cellStyle name="Followed Hyperlink" xfId="17826" builtinId="9" hidden="1"/>
    <cellStyle name="Followed Hyperlink" xfId="17828" builtinId="9" hidden="1"/>
    <cellStyle name="Followed Hyperlink" xfId="17830" builtinId="9" hidden="1"/>
    <cellStyle name="Followed Hyperlink" xfId="17832" builtinId="9" hidden="1"/>
    <cellStyle name="Followed Hyperlink" xfId="17834" builtinId="9" hidden="1"/>
    <cellStyle name="Followed Hyperlink" xfId="17836" builtinId="9" hidden="1"/>
    <cellStyle name="Followed Hyperlink" xfId="17838" builtinId="9" hidden="1"/>
    <cellStyle name="Followed Hyperlink" xfId="17840" builtinId="9" hidden="1"/>
    <cellStyle name="Followed Hyperlink" xfId="17842" builtinId="9" hidden="1"/>
    <cellStyle name="Followed Hyperlink" xfId="17844" builtinId="9" hidden="1"/>
    <cellStyle name="Followed Hyperlink" xfId="17846" builtinId="9" hidden="1"/>
    <cellStyle name="Followed Hyperlink" xfId="17848" builtinId="9" hidden="1"/>
    <cellStyle name="Followed Hyperlink" xfId="17850" builtinId="9" hidden="1"/>
    <cellStyle name="Followed Hyperlink" xfId="17852" builtinId="9" hidden="1"/>
    <cellStyle name="Followed Hyperlink" xfId="17854" builtinId="9" hidden="1"/>
    <cellStyle name="Followed Hyperlink" xfId="17856" builtinId="9" hidden="1"/>
    <cellStyle name="Followed Hyperlink" xfId="17858" builtinId="9" hidden="1"/>
    <cellStyle name="Followed Hyperlink" xfId="17860" builtinId="9" hidden="1"/>
    <cellStyle name="Followed Hyperlink" xfId="17862" builtinId="9" hidden="1"/>
    <cellStyle name="Followed Hyperlink" xfId="17864" builtinId="9" hidden="1"/>
    <cellStyle name="Followed Hyperlink" xfId="17866" builtinId="9" hidden="1"/>
    <cellStyle name="Followed Hyperlink" xfId="17868" builtinId="9" hidden="1"/>
    <cellStyle name="Followed Hyperlink" xfId="17870" builtinId="9" hidden="1"/>
    <cellStyle name="Followed Hyperlink" xfId="17872" builtinId="9" hidden="1"/>
    <cellStyle name="Followed Hyperlink" xfId="17874" builtinId="9" hidden="1"/>
    <cellStyle name="Followed Hyperlink" xfId="17876" builtinId="9" hidden="1"/>
    <cellStyle name="Followed Hyperlink" xfId="17878" builtinId="9" hidden="1"/>
    <cellStyle name="Followed Hyperlink" xfId="17880" builtinId="9" hidden="1"/>
    <cellStyle name="Followed Hyperlink" xfId="17882" builtinId="9" hidden="1"/>
    <cellStyle name="Followed Hyperlink" xfId="17884" builtinId="9" hidden="1"/>
    <cellStyle name="Followed Hyperlink" xfId="17886" builtinId="9" hidden="1"/>
    <cellStyle name="Followed Hyperlink" xfId="17888" builtinId="9" hidden="1"/>
    <cellStyle name="Followed Hyperlink" xfId="17890" builtinId="9" hidden="1"/>
    <cellStyle name="Followed Hyperlink" xfId="17892" builtinId="9" hidden="1"/>
    <cellStyle name="Followed Hyperlink" xfId="17894" builtinId="9" hidden="1"/>
    <cellStyle name="Followed Hyperlink" xfId="17896" builtinId="9" hidden="1"/>
    <cellStyle name="Followed Hyperlink" xfId="17898" builtinId="9" hidden="1"/>
    <cellStyle name="Followed Hyperlink" xfId="17900" builtinId="9" hidden="1"/>
    <cellStyle name="Followed Hyperlink" xfId="17902" builtinId="9" hidden="1"/>
    <cellStyle name="Followed Hyperlink" xfId="17904" builtinId="9" hidden="1"/>
    <cellStyle name="Followed Hyperlink" xfId="17906" builtinId="9" hidden="1"/>
    <cellStyle name="Followed Hyperlink" xfId="17908" builtinId="9" hidden="1"/>
    <cellStyle name="Followed Hyperlink" xfId="17910" builtinId="9" hidden="1"/>
    <cellStyle name="Followed Hyperlink" xfId="17912" builtinId="9" hidden="1"/>
    <cellStyle name="Followed Hyperlink" xfId="17914" builtinId="9" hidden="1"/>
    <cellStyle name="Followed Hyperlink" xfId="17916" builtinId="9" hidden="1"/>
    <cellStyle name="Followed Hyperlink" xfId="17918" builtinId="9" hidden="1"/>
    <cellStyle name="Followed Hyperlink" xfId="17920" builtinId="9" hidden="1"/>
    <cellStyle name="Followed Hyperlink" xfId="17922" builtinId="9" hidden="1"/>
    <cellStyle name="Followed Hyperlink" xfId="17924" builtinId="9" hidden="1"/>
    <cellStyle name="Followed Hyperlink" xfId="17926" builtinId="9" hidden="1"/>
    <cellStyle name="Followed Hyperlink" xfId="17928" builtinId="9" hidden="1"/>
    <cellStyle name="Followed Hyperlink" xfId="17930" builtinId="9" hidden="1"/>
    <cellStyle name="Followed Hyperlink" xfId="17932" builtinId="9" hidden="1"/>
    <cellStyle name="Followed Hyperlink" xfId="17934" builtinId="9" hidden="1"/>
    <cellStyle name="Followed Hyperlink" xfId="17936" builtinId="9" hidden="1"/>
    <cellStyle name="Followed Hyperlink" xfId="17938" builtinId="9" hidden="1"/>
    <cellStyle name="Followed Hyperlink" xfId="17940" builtinId="9" hidden="1"/>
    <cellStyle name="Followed Hyperlink" xfId="17942" builtinId="9" hidden="1"/>
    <cellStyle name="Followed Hyperlink" xfId="17944" builtinId="9" hidden="1"/>
    <cellStyle name="Followed Hyperlink" xfId="17946" builtinId="9" hidden="1"/>
    <cellStyle name="Followed Hyperlink" xfId="17948" builtinId="9" hidden="1"/>
    <cellStyle name="Followed Hyperlink" xfId="17950" builtinId="9" hidden="1"/>
    <cellStyle name="Followed Hyperlink" xfId="17952" builtinId="9" hidden="1"/>
    <cellStyle name="Followed Hyperlink" xfId="17954" builtinId="9" hidden="1"/>
    <cellStyle name="Followed Hyperlink" xfId="17956" builtinId="9" hidden="1"/>
    <cellStyle name="Followed Hyperlink" xfId="17958" builtinId="9" hidden="1"/>
    <cellStyle name="Followed Hyperlink" xfId="17960" builtinId="9" hidden="1"/>
    <cellStyle name="Followed Hyperlink" xfId="17962" builtinId="9" hidden="1"/>
    <cellStyle name="Followed Hyperlink" xfId="17964" builtinId="9" hidden="1"/>
    <cellStyle name="Followed Hyperlink" xfId="17966" builtinId="9" hidden="1"/>
    <cellStyle name="Followed Hyperlink" xfId="17968" builtinId="9" hidden="1"/>
    <cellStyle name="Followed Hyperlink" xfId="17970" builtinId="9" hidden="1"/>
    <cellStyle name="Followed Hyperlink" xfId="17972" builtinId="9" hidden="1"/>
    <cellStyle name="Followed Hyperlink" xfId="17974" builtinId="9" hidden="1"/>
    <cellStyle name="Followed Hyperlink" xfId="17976" builtinId="9" hidden="1"/>
    <cellStyle name="Followed Hyperlink" xfId="17978" builtinId="9" hidden="1"/>
    <cellStyle name="Followed Hyperlink" xfId="17980" builtinId="9" hidden="1"/>
    <cellStyle name="Followed Hyperlink" xfId="17982" builtinId="9" hidden="1"/>
    <cellStyle name="Followed Hyperlink" xfId="17984" builtinId="9" hidden="1"/>
    <cellStyle name="Followed Hyperlink" xfId="17986" builtinId="9" hidden="1"/>
    <cellStyle name="Followed Hyperlink" xfId="17988" builtinId="9" hidden="1"/>
    <cellStyle name="Followed Hyperlink" xfId="17990" builtinId="9" hidden="1"/>
    <cellStyle name="Followed Hyperlink" xfId="17992" builtinId="9" hidden="1"/>
    <cellStyle name="Followed Hyperlink" xfId="17994" builtinId="9" hidden="1"/>
    <cellStyle name="Followed Hyperlink" xfId="17996" builtinId="9" hidden="1"/>
    <cellStyle name="Followed Hyperlink" xfId="17998" builtinId="9" hidden="1"/>
    <cellStyle name="Followed Hyperlink" xfId="18000" builtinId="9" hidden="1"/>
    <cellStyle name="Followed Hyperlink" xfId="18002" builtinId="9" hidden="1"/>
    <cellStyle name="Followed Hyperlink" xfId="18004" builtinId="9" hidden="1"/>
    <cellStyle name="Followed Hyperlink" xfId="18006" builtinId="9" hidden="1"/>
    <cellStyle name="Followed Hyperlink" xfId="18008" builtinId="9" hidden="1"/>
    <cellStyle name="Followed Hyperlink" xfId="18010" builtinId="9" hidden="1"/>
    <cellStyle name="Followed Hyperlink" xfId="18012" builtinId="9" hidden="1"/>
    <cellStyle name="Followed Hyperlink" xfId="18014" builtinId="9" hidden="1"/>
    <cellStyle name="Followed Hyperlink" xfId="18016" builtinId="9" hidden="1"/>
    <cellStyle name="Followed Hyperlink" xfId="18018" builtinId="9" hidden="1"/>
    <cellStyle name="Followed Hyperlink" xfId="18020" builtinId="9" hidden="1"/>
    <cellStyle name="Followed Hyperlink" xfId="18022" builtinId="9" hidden="1"/>
    <cellStyle name="Followed Hyperlink" xfId="18024" builtinId="9" hidden="1"/>
    <cellStyle name="Followed Hyperlink" xfId="18028" builtinId="9" hidden="1"/>
    <cellStyle name="Followed Hyperlink" xfId="18030" builtinId="9" hidden="1"/>
    <cellStyle name="Followed Hyperlink" xfId="18032" builtinId="9" hidden="1"/>
    <cellStyle name="Followed Hyperlink" xfId="18034" builtinId="9" hidden="1"/>
    <cellStyle name="Followed Hyperlink" xfId="18036" builtinId="9" hidden="1"/>
    <cellStyle name="Followed Hyperlink" xfId="18038" builtinId="9" hidden="1"/>
    <cellStyle name="Followed Hyperlink" xfId="18040" builtinId="9" hidden="1"/>
    <cellStyle name="Followed Hyperlink" xfId="18042" builtinId="9" hidden="1"/>
    <cellStyle name="Followed Hyperlink" xfId="18044" builtinId="9" hidden="1"/>
    <cellStyle name="Followed Hyperlink" xfId="18046" builtinId="9" hidden="1"/>
    <cellStyle name="Followed Hyperlink" xfId="18048" builtinId="9" hidden="1"/>
    <cellStyle name="Followed Hyperlink" xfId="18050" builtinId="9" hidden="1"/>
    <cellStyle name="Followed Hyperlink" xfId="18052" builtinId="9" hidden="1"/>
    <cellStyle name="Followed Hyperlink" xfId="18054" builtinId="9" hidden="1"/>
    <cellStyle name="Followed Hyperlink" xfId="18056" builtinId="9" hidden="1"/>
    <cellStyle name="Followed Hyperlink" xfId="18058" builtinId="9" hidden="1"/>
    <cellStyle name="Followed Hyperlink" xfId="18060" builtinId="9" hidden="1"/>
    <cellStyle name="Followed Hyperlink" xfId="18062" builtinId="9" hidden="1"/>
    <cellStyle name="Followed Hyperlink" xfId="18064" builtinId="9" hidden="1"/>
    <cellStyle name="Followed Hyperlink" xfId="18066" builtinId="9" hidden="1"/>
    <cellStyle name="Followed Hyperlink" xfId="18068" builtinId="9" hidden="1"/>
    <cellStyle name="Followed Hyperlink" xfId="18070" builtinId="9" hidden="1"/>
    <cellStyle name="Followed Hyperlink" xfId="18072" builtinId="9" hidden="1"/>
    <cellStyle name="Followed Hyperlink" xfId="18074" builtinId="9" hidden="1"/>
    <cellStyle name="Followed Hyperlink" xfId="18076" builtinId="9" hidden="1"/>
    <cellStyle name="Followed Hyperlink" xfId="18078" builtinId="9" hidden="1"/>
    <cellStyle name="Followed Hyperlink" xfId="18080" builtinId="9" hidden="1"/>
    <cellStyle name="Followed Hyperlink" xfId="18082" builtinId="9" hidden="1"/>
    <cellStyle name="Followed Hyperlink" xfId="18084" builtinId="9" hidden="1"/>
    <cellStyle name="Followed Hyperlink" xfId="18086" builtinId="9" hidden="1"/>
    <cellStyle name="Followed Hyperlink" xfId="18088" builtinId="9" hidden="1"/>
    <cellStyle name="Followed Hyperlink" xfId="18090" builtinId="9" hidden="1"/>
    <cellStyle name="Followed Hyperlink" xfId="18092" builtinId="9" hidden="1"/>
    <cellStyle name="Followed Hyperlink" xfId="18094" builtinId="9" hidden="1"/>
    <cellStyle name="Followed Hyperlink" xfId="18096" builtinId="9" hidden="1"/>
    <cellStyle name="Followed Hyperlink" xfId="18098" builtinId="9" hidden="1"/>
    <cellStyle name="Followed Hyperlink" xfId="18100" builtinId="9" hidden="1"/>
    <cellStyle name="Followed Hyperlink" xfId="18102" builtinId="9" hidden="1"/>
    <cellStyle name="Followed Hyperlink" xfId="18104" builtinId="9" hidden="1"/>
    <cellStyle name="Followed Hyperlink" xfId="18106" builtinId="9" hidden="1"/>
    <cellStyle name="Followed Hyperlink" xfId="18108" builtinId="9" hidden="1"/>
    <cellStyle name="Followed Hyperlink" xfId="18110" builtinId="9" hidden="1"/>
    <cellStyle name="Followed Hyperlink" xfId="18112" builtinId="9" hidden="1"/>
    <cellStyle name="Followed Hyperlink" xfId="18114" builtinId="9" hidden="1"/>
    <cellStyle name="Followed Hyperlink" xfId="18116" builtinId="9" hidden="1"/>
    <cellStyle name="Followed Hyperlink" xfId="18118" builtinId="9" hidden="1"/>
    <cellStyle name="Followed Hyperlink" xfId="18120" builtinId="9" hidden="1"/>
    <cellStyle name="Followed Hyperlink" xfId="18122" builtinId="9" hidden="1"/>
    <cellStyle name="Followed Hyperlink" xfId="18124" builtinId="9" hidden="1"/>
    <cellStyle name="Followed Hyperlink" xfId="18126" builtinId="9" hidden="1"/>
    <cellStyle name="Followed Hyperlink" xfId="18128" builtinId="9" hidden="1"/>
    <cellStyle name="Followed Hyperlink" xfId="18130" builtinId="9" hidden="1"/>
    <cellStyle name="Followed Hyperlink" xfId="18132" builtinId="9" hidden="1"/>
    <cellStyle name="Followed Hyperlink" xfId="18134" builtinId="9" hidden="1"/>
    <cellStyle name="Followed Hyperlink" xfId="18136" builtinId="9" hidden="1"/>
    <cellStyle name="Followed Hyperlink" xfId="18138" builtinId="9" hidden="1"/>
    <cellStyle name="Followed Hyperlink" xfId="18140" builtinId="9" hidden="1"/>
    <cellStyle name="Followed Hyperlink" xfId="18142" builtinId="9" hidden="1"/>
    <cellStyle name="Followed Hyperlink" xfId="18144" builtinId="9" hidden="1"/>
    <cellStyle name="Followed Hyperlink" xfId="18146" builtinId="9" hidden="1"/>
    <cellStyle name="Followed Hyperlink" xfId="18148" builtinId="9" hidden="1"/>
    <cellStyle name="Followed Hyperlink" xfId="18150" builtinId="9" hidden="1"/>
    <cellStyle name="Followed Hyperlink" xfId="18152" builtinId="9" hidden="1"/>
    <cellStyle name="Followed Hyperlink" xfId="18154" builtinId="9" hidden="1"/>
    <cellStyle name="Followed Hyperlink" xfId="18156" builtinId="9" hidden="1"/>
    <cellStyle name="Followed Hyperlink" xfId="18158" builtinId="9" hidden="1"/>
    <cellStyle name="Followed Hyperlink" xfId="18160" builtinId="9" hidden="1"/>
    <cellStyle name="Followed Hyperlink" xfId="18162" builtinId="9" hidden="1"/>
    <cellStyle name="Followed Hyperlink" xfId="18164" builtinId="9" hidden="1"/>
    <cellStyle name="Followed Hyperlink" xfId="18166" builtinId="9" hidden="1"/>
    <cellStyle name="Followed Hyperlink" xfId="18168" builtinId="9" hidden="1"/>
    <cellStyle name="Followed Hyperlink" xfId="18170" builtinId="9" hidden="1"/>
    <cellStyle name="Followed Hyperlink" xfId="18172" builtinId="9" hidden="1"/>
    <cellStyle name="Followed Hyperlink" xfId="18174" builtinId="9" hidden="1"/>
    <cellStyle name="Followed Hyperlink" xfId="18176" builtinId="9" hidden="1"/>
    <cellStyle name="Followed Hyperlink" xfId="18178" builtinId="9" hidden="1"/>
    <cellStyle name="Followed Hyperlink" xfId="18180" builtinId="9" hidden="1"/>
    <cellStyle name="Followed Hyperlink" xfId="18182" builtinId="9" hidden="1"/>
    <cellStyle name="Followed Hyperlink" xfId="18184" builtinId="9" hidden="1"/>
    <cellStyle name="Followed Hyperlink" xfId="18186" builtinId="9" hidden="1"/>
    <cellStyle name="Followed Hyperlink" xfId="18188" builtinId="9" hidden="1"/>
    <cellStyle name="Followed Hyperlink" xfId="18190" builtinId="9" hidden="1"/>
    <cellStyle name="Followed Hyperlink" xfId="18192" builtinId="9" hidden="1"/>
    <cellStyle name="Followed Hyperlink" xfId="18194" builtinId="9" hidden="1"/>
    <cellStyle name="Followed Hyperlink" xfId="18196" builtinId="9" hidden="1"/>
    <cellStyle name="Followed Hyperlink" xfId="18198" builtinId="9" hidden="1"/>
    <cellStyle name="Followed Hyperlink" xfId="18200" builtinId="9" hidden="1"/>
    <cellStyle name="Followed Hyperlink" xfId="18202" builtinId="9" hidden="1"/>
    <cellStyle name="Followed Hyperlink" xfId="18204" builtinId="9" hidden="1"/>
    <cellStyle name="Followed Hyperlink" xfId="18206" builtinId="9" hidden="1"/>
    <cellStyle name="Followed Hyperlink" xfId="18208" builtinId="9" hidden="1"/>
    <cellStyle name="Followed Hyperlink" xfId="18210" builtinId="9" hidden="1"/>
    <cellStyle name="Followed Hyperlink" xfId="18212" builtinId="9" hidden="1"/>
    <cellStyle name="Followed Hyperlink" xfId="18214" builtinId="9" hidden="1"/>
    <cellStyle name="Followed Hyperlink" xfId="18216" builtinId="9" hidden="1"/>
    <cellStyle name="Followed Hyperlink" xfId="18218" builtinId="9" hidden="1"/>
    <cellStyle name="Followed Hyperlink" xfId="18220" builtinId="9" hidden="1"/>
    <cellStyle name="Followed Hyperlink" xfId="18222" builtinId="9" hidden="1"/>
    <cellStyle name="Followed Hyperlink" xfId="18224" builtinId="9" hidden="1"/>
    <cellStyle name="Followed Hyperlink" xfId="18226" builtinId="9" hidden="1"/>
    <cellStyle name="Followed Hyperlink" xfId="18228" builtinId="9" hidden="1"/>
    <cellStyle name="Followed Hyperlink" xfId="18230" builtinId="9" hidden="1"/>
    <cellStyle name="Followed Hyperlink" xfId="18232" builtinId="9" hidden="1"/>
    <cellStyle name="Followed Hyperlink" xfId="18234" builtinId="9" hidden="1"/>
    <cellStyle name="Followed Hyperlink" xfId="18236" builtinId="9" hidden="1"/>
    <cellStyle name="Followed Hyperlink" xfId="18238" builtinId="9" hidden="1"/>
    <cellStyle name="Followed Hyperlink" xfId="18240" builtinId="9" hidden="1"/>
    <cellStyle name="Followed Hyperlink" xfId="18242" builtinId="9" hidden="1"/>
    <cellStyle name="Followed Hyperlink" xfId="18244" builtinId="9" hidden="1"/>
    <cellStyle name="Followed Hyperlink" xfId="18246" builtinId="9" hidden="1"/>
    <cellStyle name="Followed Hyperlink" xfId="18248" builtinId="9" hidden="1"/>
    <cellStyle name="Followed Hyperlink" xfId="18250" builtinId="9" hidden="1"/>
    <cellStyle name="Followed Hyperlink" xfId="18252" builtinId="9" hidden="1"/>
    <cellStyle name="Followed Hyperlink" xfId="18254" builtinId="9" hidden="1"/>
    <cellStyle name="Followed Hyperlink" xfId="18256" builtinId="9" hidden="1"/>
    <cellStyle name="Followed Hyperlink" xfId="18258" builtinId="9" hidden="1"/>
    <cellStyle name="Followed Hyperlink" xfId="18260" builtinId="9" hidden="1"/>
    <cellStyle name="Followed Hyperlink" xfId="18262" builtinId="9" hidden="1"/>
    <cellStyle name="Followed Hyperlink" xfId="18264" builtinId="9" hidden="1"/>
    <cellStyle name="Followed Hyperlink" xfId="18266" builtinId="9" hidden="1"/>
    <cellStyle name="Followed Hyperlink" xfId="18268" builtinId="9" hidden="1"/>
    <cellStyle name="Followed Hyperlink" xfId="18270" builtinId="9" hidden="1"/>
    <cellStyle name="Followed Hyperlink" xfId="18272" builtinId="9" hidden="1"/>
    <cellStyle name="Followed Hyperlink" xfId="18274" builtinId="9" hidden="1"/>
    <cellStyle name="Followed Hyperlink" xfId="18276" builtinId="9" hidden="1"/>
    <cellStyle name="Followed Hyperlink" xfId="18278" builtinId="9" hidden="1"/>
    <cellStyle name="Followed Hyperlink" xfId="18280" builtinId="9" hidden="1"/>
    <cellStyle name="Followed Hyperlink" xfId="18282" builtinId="9" hidden="1"/>
    <cellStyle name="Followed Hyperlink" xfId="18284" builtinId="9" hidden="1"/>
    <cellStyle name="Followed Hyperlink" xfId="18286" builtinId="9" hidden="1"/>
    <cellStyle name="Followed Hyperlink" xfId="18288" builtinId="9" hidden="1"/>
    <cellStyle name="Followed Hyperlink" xfId="18290" builtinId="9" hidden="1"/>
    <cellStyle name="Followed Hyperlink" xfId="18292" builtinId="9" hidden="1"/>
    <cellStyle name="Followed Hyperlink" xfId="18294" builtinId="9" hidden="1"/>
    <cellStyle name="Followed Hyperlink" xfId="18296" builtinId="9" hidden="1"/>
    <cellStyle name="Followed Hyperlink" xfId="18298" builtinId="9" hidden="1"/>
    <cellStyle name="Followed Hyperlink" xfId="18300" builtinId="9" hidden="1"/>
    <cellStyle name="Followed Hyperlink" xfId="18302" builtinId="9" hidden="1"/>
    <cellStyle name="Followed Hyperlink" xfId="18304" builtinId="9" hidden="1"/>
    <cellStyle name="Followed Hyperlink" xfId="18306" builtinId="9" hidden="1"/>
    <cellStyle name="Followed Hyperlink" xfId="18308" builtinId="9" hidden="1"/>
    <cellStyle name="Followed Hyperlink" xfId="18310" builtinId="9" hidden="1"/>
    <cellStyle name="Followed Hyperlink" xfId="18312" builtinId="9" hidden="1"/>
    <cellStyle name="Followed Hyperlink" xfId="18314" builtinId="9" hidden="1"/>
    <cellStyle name="Followed Hyperlink" xfId="18316" builtinId="9" hidden="1"/>
    <cellStyle name="Followed Hyperlink" xfId="18318" builtinId="9" hidden="1"/>
    <cellStyle name="Followed Hyperlink" xfId="18320" builtinId="9" hidden="1"/>
    <cellStyle name="Followed Hyperlink" xfId="18322" builtinId="9" hidden="1"/>
    <cellStyle name="Followed Hyperlink" xfId="18324" builtinId="9" hidden="1"/>
    <cellStyle name="Followed Hyperlink" xfId="18326" builtinId="9" hidden="1"/>
    <cellStyle name="Followed Hyperlink" xfId="18328" builtinId="9" hidden="1"/>
    <cellStyle name="Followed Hyperlink" xfId="18330" builtinId="9" hidden="1"/>
    <cellStyle name="Followed Hyperlink" xfId="18332" builtinId="9" hidden="1"/>
    <cellStyle name="Followed Hyperlink" xfId="18334" builtinId="9" hidden="1"/>
    <cellStyle name="Followed Hyperlink" xfId="18336" builtinId="9" hidden="1"/>
    <cellStyle name="Followed Hyperlink" xfId="18338" builtinId="9" hidden="1"/>
    <cellStyle name="Followed Hyperlink" xfId="18340" builtinId="9" hidden="1"/>
    <cellStyle name="Followed Hyperlink" xfId="18342" builtinId="9" hidden="1"/>
    <cellStyle name="Followed Hyperlink" xfId="18344" builtinId="9" hidden="1"/>
    <cellStyle name="Followed Hyperlink" xfId="18346" builtinId="9" hidden="1"/>
    <cellStyle name="Followed Hyperlink" xfId="18348" builtinId="9" hidden="1"/>
    <cellStyle name="Followed Hyperlink" xfId="18350" builtinId="9" hidden="1"/>
    <cellStyle name="Followed Hyperlink" xfId="18352" builtinId="9" hidden="1"/>
    <cellStyle name="Followed Hyperlink" xfId="18354" builtinId="9" hidden="1"/>
    <cellStyle name="Followed Hyperlink" xfId="18356" builtinId="9" hidden="1"/>
    <cellStyle name="Followed Hyperlink" xfId="18358" builtinId="9" hidden="1"/>
    <cellStyle name="Followed Hyperlink" xfId="18360" builtinId="9" hidden="1"/>
    <cellStyle name="Followed Hyperlink" xfId="18362" builtinId="9" hidden="1"/>
    <cellStyle name="Followed Hyperlink" xfId="18364" builtinId="9" hidden="1"/>
    <cellStyle name="Followed Hyperlink" xfId="18366" builtinId="9" hidden="1"/>
    <cellStyle name="Followed Hyperlink" xfId="18368" builtinId="9" hidden="1"/>
    <cellStyle name="Followed Hyperlink" xfId="18370" builtinId="9" hidden="1"/>
    <cellStyle name="Followed Hyperlink" xfId="18372" builtinId="9" hidden="1"/>
    <cellStyle name="Followed Hyperlink" xfId="18374" builtinId="9" hidden="1"/>
    <cellStyle name="Followed Hyperlink" xfId="18376" builtinId="9" hidden="1"/>
    <cellStyle name="Followed Hyperlink" xfId="18378" builtinId="9" hidden="1"/>
    <cellStyle name="Followed Hyperlink" xfId="18380" builtinId="9" hidden="1"/>
    <cellStyle name="Followed Hyperlink" xfId="18382" builtinId="9" hidden="1"/>
    <cellStyle name="Followed Hyperlink" xfId="18384" builtinId="9" hidden="1"/>
    <cellStyle name="Followed Hyperlink" xfId="18386" builtinId="9" hidden="1"/>
    <cellStyle name="Followed Hyperlink" xfId="18388" builtinId="9" hidden="1"/>
    <cellStyle name="Followed Hyperlink" xfId="18390" builtinId="9" hidden="1"/>
    <cellStyle name="Followed Hyperlink" xfId="18392" builtinId="9" hidden="1"/>
    <cellStyle name="Followed Hyperlink" xfId="18394" builtinId="9" hidden="1"/>
    <cellStyle name="Followed Hyperlink" xfId="18396" builtinId="9" hidden="1"/>
    <cellStyle name="Followed Hyperlink" xfId="18398" builtinId="9" hidden="1"/>
    <cellStyle name="Followed Hyperlink" xfId="18400" builtinId="9" hidden="1"/>
    <cellStyle name="Followed Hyperlink" xfId="18402" builtinId="9" hidden="1"/>
    <cellStyle name="Followed Hyperlink" xfId="18404" builtinId="9" hidden="1"/>
    <cellStyle name="Followed Hyperlink" xfId="18406" builtinId="9" hidden="1"/>
    <cellStyle name="Followed Hyperlink" xfId="18408" builtinId="9" hidden="1"/>
    <cellStyle name="Followed Hyperlink" xfId="18410" builtinId="9" hidden="1"/>
    <cellStyle name="Followed Hyperlink" xfId="18412" builtinId="9" hidden="1"/>
    <cellStyle name="Followed Hyperlink" xfId="18414" builtinId="9" hidden="1"/>
    <cellStyle name="Followed Hyperlink" xfId="18416" builtinId="9" hidden="1"/>
    <cellStyle name="Followed Hyperlink" xfId="18418" builtinId="9" hidden="1"/>
    <cellStyle name="Followed Hyperlink" xfId="18420" builtinId="9" hidden="1"/>
    <cellStyle name="Followed Hyperlink" xfId="18422" builtinId="9" hidden="1"/>
    <cellStyle name="Followed Hyperlink" xfId="18424" builtinId="9" hidden="1"/>
    <cellStyle name="Followed Hyperlink" xfId="18426" builtinId="9" hidden="1"/>
    <cellStyle name="Followed Hyperlink" xfId="18428" builtinId="9" hidden="1"/>
    <cellStyle name="Followed Hyperlink" xfId="18430" builtinId="9" hidden="1"/>
    <cellStyle name="Followed Hyperlink" xfId="18432" builtinId="9" hidden="1"/>
    <cellStyle name="Followed Hyperlink" xfId="18434" builtinId="9" hidden="1"/>
    <cellStyle name="Followed Hyperlink" xfId="18436" builtinId="9" hidden="1"/>
    <cellStyle name="Followed Hyperlink" xfId="18438" builtinId="9" hidden="1"/>
    <cellStyle name="Followed Hyperlink" xfId="18440" builtinId="9" hidden="1"/>
    <cellStyle name="Followed Hyperlink" xfId="18442" builtinId="9" hidden="1"/>
    <cellStyle name="Followed Hyperlink" xfId="18444" builtinId="9" hidden="1"/>
    <cellStyle name="Followed Hyperlink" xfId="18446" builtinId="9" hidden="1"/>
    <cellStyle name="Followed Hyperlink" xfId="18448" builtinId="9" hidden="1"/>
    <cellStyle name="Followed Hyperlink" xfId="18450" builtinId="9" hidden="1"/>
    <cellStyle name="Followed Hyperlink" xfId="18452" builtinId="9" hidden="1"/>
    <cellStyle name="Followed Hyperlink" xfId="18454" builtinId="9" hidden="1"/>
    <cellStyle name="Followed Hyperlink" xfId="18456" builtinId="9" hidden="1"/>
    <cellStyle name="Followed Hyperlink" xfId="18458" builtinId="9" hidden="1"/>
    <cellStyle name="Followed Hyperlink" xfId="18460" builtinId="9" hidden="1"/>
    <cellStyle name="Followed Hyperlink" xfId="18462" builtinId="9" hidden="1"/>
    <cellStyle name="Followed Hyperlink" xfId="18464" builtinId="9" hidden="1"/>
    <cellStyle name="Followed Hyperlink" xfId="18466" builtinId="9" hidden="1"/>
    <cellStyle name="Followed Hyperlink" xfId="18468" builtinId="9" hidden="1"/>
    <cellStyle name="Followed Hyperlink" xfId="18470" builtinId="9" hidden="1"/>
    <cellStyle name="Followed Hyperlink" xfId="18472" builtinId="9" hidden="1"/>
    <cellStyle name="Followed Hyperlink" xfId="18474" builtinId="9" hidden="1"/>
    <cellStyle name="Followed Hyperlink" xfId="18476" builtinId="9" hidden="1"/>
    <cellStyle name="Followed Hyperlink" xfId="18478" builtinId="9" hidden="1"/>
    <cellStyle name="Followed Hyperlink" xfId="18480" builtinId="9" hidden="1"/>
    <cellStyle name="Followed Hyperlink" xfId="18482" builtinId="9" hidden="1"/>
    <cellStyle name="Followed Hyperlink" xfId="18484" builtinId="9" hidden="1"/>
    <cellStyle name="Followed Hyperlink" xfId="18486" builtinId="9" hidden="1"/>
    <cellStyle name="Followed Hyperlink" xfId="18488" builtinId="9" hidden="1"/>
    <cellStyle name="Followed Hyperlink" xfId="18490" builtinId="9" hidden="1"/>
    <cellStyle name="Followed Hyperlink" xfId="18492" builtinId="9" hidden="1"/>
    <cellStyle name="Followed Hyperlink" xfId="18494" builtinId="9" hidden="1"/>
    <cellStyle name="Followed Hyperlink" xfId="18496" builtinId="9" hidden="1"/>
    <cellStyle name="Followed Hyperlink" xfId="18498" builtinId="9" hidden="1"/>
    <cellStyle name="Followed Hyperlink" xfId="18500" builtinId="9" hidden="1"/>
    <cellStyle name="Followed Hyperlink" xfId="18502" builtinId="9" hidden="1"/>
    <cellStyle name="Followed Hyperlink" xfId="18504" builtinId="9" hidden="1"/>
    <cellStyle name="Followed Hyperlink" xfId="18506" builtinId="9" hidden="1"/>
    <cellStyle name="Followed Hyperlink" xfId="18508" builtinId="9" hidden="1"/>
    <cellStyle name="Followed Hyperlink" xfId="18510" builtinId="9" hidden="1"/>
    <cellStyle name="Followed Hyperlink" xfId="18512" builtinId="9" hidden="1"/>
    <cellStyle name="Followed Hyperlink" xfId="18514" builtinId="9" hidden="1"/>
    <cellStyle name="Followed Hyperlink" xfId="18516" builtinId="9" hidden="1"/>
    <cellStyle name="Followed Hyperlink" xfId="18518" builtinId="9" hidden="1"/>
    <cellStyle name="Followed Hyperlink" xfId="18520" builtinId="9" hidden="1"/>
    <cellStyle name="Followed Hyperlink" xfId="18522" builtinId="9" hidden="1"/>
    <cellStyle name="Followed Hyperlink" xfId="18524" builtinId="9" hidden="1"/>
    <cellStyle name="Followed Hyperlink" xfId="18526" builtinId="9" hidden="1"/>
    <cellStyle name="Followed Hyperlink" xfId="18528" builtinId="9" hidden="1"/>
    <cellStyle name="Followed Hyperlink" xfId="18530" builtinId="9" hidden="1"/>
    <cellStyle name="Followed Hyperlink" xfId="18532" builtinId="9" hidden="1"/>
    <cellStyle name="Followed Hyperlink" xfId="18534" builtinId="9" hidden="1"/>
    <cellStyle name="Followed Hyperlink" xfId="18536" builtinId="9" hidden="1"/>
    <cellStyle name="Followed Hyperlink" xfId="18538" builtinId="9" hidden="1"/>
    <cellStyle name="Followed Hyperlink" xfId="18540" builtinId="9" hidden="1"/>
    <cellStyle name="Followed Hyperlink" xfId="18542" builtinId="9" hidden="1"/>
    <cellStyle name="Followed Hyperlink" xfId="18544" builtinId="9" hidden="1"/>
    <cellStyle name="Followed Hyperlink" xfId="18546" builtinId="9" hidden="1"/>
    <cellStyle name="Followed Hyperlink" xfId="18548" builtinId="9" hidden="1"/>
    <cellStyle name="Followed Hyperlink" xfId="18550" builtinId="9" hidden="1"/>
    <cellStyle name="Followed Hyperlink" xfId="18552" builtinId="9" hidden="1"/>
    <cellStyle name="Followed Hyperlink" xfId="18554" builtinId="9" hidden="1"/>
    <cellStyle name="Followed Hyperlink" xfId="18556" builtinId="9" hidden="1"/>
    <cellStyle name="Followed Hyperlink" xfId="18558" builtinId="9" hidden="1"/>
    <cellStyle name="Followed Hyperlink" xfId="18560" builtinId="9" hidden="1"/>
    <cellStyle name="Followed Hyperlink" xfId="18562" builtinId="9" hidden="1"/>
    <cellStyle name="Followed Hyperlink" xfId="18564" builtinId="9" hidden="1"/>
    <cellStyle name="Followed Hyperlink" xfId="18566" builtinId="9" hidden="1"/>
    <cellStyle name="Followed Hyperlink" xfId="18568" builtinId="9" hidden="1"/>
    <cellStyle name="Followed Hyperlink" xfId="18570" builtinId="9" hidden="1"/>
    <cellStyle name="Followed Hyperlink" xfId="18572" builtinId="9" hidden="1"/>
    <cellStyle name="Followed Hyperlink" xfId="18574" builtinId="9" hidden="1"/>
    <cellStyle name="Followed Hyperlink" xfId="18576" builtinId="9" hidden="1"/>
    <cellStyle name="Followed Hyperlink" xfId="18578" builtinId="9" hidden="1"/>
    <cellStyle name="Followed Hyperlink" xfId="18580" builtinId="9" hidden="1"/>
    <cellStyle name="Followed Hyperlink" xfId="18582" builtinId="9" hidden="1"/>
    <cellStyle name="Followed Hyperlink" xfId="18584" builtinId="9" hidden="1"/>
    <cellStyle name="Followed Hyperlink" xfId="18586" builtinId="9" hidden="1"/>
    <cellStyle name="Followed Hyperlink" xfId="18588" builtinId="9" hidden="1"/>
    <cellStyle name="Followed Hyperlink" xfId="18590" builtinId="9" hidden="1"/>
    <cellStyle name="Followed Hyperlink" xfId="18592" builtinId="9" hidden="1"/>
    <cellStyle name="Followed Hyperlink" xfId="18594" builtinId="9" hidden="1"/>
    <cellStyle name="Followed Hyperlink" xfId="18596" builtinId="9" hidden="1"/>
    <cellStyle name="Followed Hyperlink" xfId="18598" builtinId="9" hidden="1"/>
    <cellStyle name="Followed Hyperlink" xfId="18600" builtinId="9" hidden="1"/>
    <cellStyle name="Followed Hyperlink" xfId="18602" builtinId="9" hidden="1"/>
    <cellStyle name="Followed Hyperlink" xfId="18604" builtinId="9" hidden="1"/>
    <cellStyle name="Followed Hyperlink" xfId="18606" builtinId="9" hidden="1"/>
    <cellStyle name="Followed Hyperlink" xfId="18608" builtinId="9" hidden="1"/>
    <cellStyle name="Followed Hyperlink" xfId="18610" builtinId="9" hidden="1"/>
    <cellStyle name="Followed Hyperlink" xfId="18612" builtinId="9" hidden="1"/>
    <cellStyle name="Followed Hyperlink" xfId="18614" builtinId="9" hidden="1"/>
    <cellStyle name="Followed Hyperlink" xfId="18616" builtinId="9" hidden="1"/>
    <cellStyle name="Followed Hyperlink" xfId="18618" builtinId="9" hidden="1"/>
    <cellStyle name="Followed Hyperlink" xfId="18620" builtinId="9" hidden="1"/>
    <cellStyle name="Followed Hyperlink" xfId="18622" builtinId="9" hidden="1"/>
    <cellStyle name="Followed Hyperlink" xfId="18624" builtinId="9" hidden="1"/>
    <cellStyle name="Followed Hyperlink" xfId="18626" builtinId="9" hidden="1"/>
    <cellStyle name="Followed Hyperlink" xfId="18628" builtinId="9" hidden="1"/>
    <cellStyle name="Followed Hyperlink" xfId="18630" builtinId="9" hidden="1"/>
    <cellStyle name="Followed Hyperlink" xfId="18632" builtinId="9" hidden="1"/>
    <cellStyle name="Followed Hyperlink" xfId="18634" builtinId="9" hidden="1"/>
    <cellStyle name="Followed Hyperlink" xfId="18636" builtinId="9" hidden="1"/>
    <cellStyle name="Followed Hyperlink" xfId="18638" builtinId="9" hidden="1"/>
    <cellStyle name="Followed Hyperlink" xfId="18640" builtinId="9" hidden="1"/>
    <cellStyle name="Followed Hyperlink" xfId="18642" builtinId="9" hidden="1"/>
    <cellStyle name="Followed Hyperlink" xfId="18644" builtinId="9" hidden="1"/>
    <cellStyle name="Followed Hyperlink" xfId="18646" builtinId="9" hidden="1"/>
    <cellStyle name="Followed Hyperlink" xfId="18648" builtinId="9" hidden="1"/>
    <cellStyle name="Followed Hyperlink" xfId="18650" builtinId="9" hidden="1"/>
    <cellStyle name="Followed Hyperlink" xfId="18652" builtinId="9" hidden="1"/>
    <cellStyle name="Followed Hyperlink" xfId="18654" builtinId="9" hidden="1"/>
    <cellStyle name="Followed Hyperlink" xfId="18656" builtinId="9" hidden="1"/>
    <cellStyle name="Followed Hyperlink" xfId="18658" builtinId="9" hidden="1"/>
    <cellStyle name="Followed Hyperlink" xfId="18660" builtinId="9" hidden="1"/>
    <cellStyle name="Followed Hyperlink" xfId="18662" builtinId="9" hidden="1"/>
    <cellStyle name="Followed Hyperlink" xfId="18664" builtinId="9" hidden="1"/>
    <cellStyle name="Followed Hyperlink" xfId="18666" builtinId="9" hidden="1"/>
    <cellStyle name="Followed Hyperlink" xfId="18668" builtinId="9" hidden="1"/>
    <cellStyle name="Followed Hyperlink" xfId="18670" builtinId="9" hidden="1"/>
    <cellStyle name="Followed Hyperlink" xfId="18672" builtinId="9" hidden="1"/>
    <cellStyle name="Followed Hyperlink" xfId="18674" builtinId="9" hidden="1"/>
    <cellStyle name="Followed Hyperlink" xfId="18676" builtinId="9" hidden="1"/>
    <cellStyle name="Followed Hyperlink" xfId="18678" builtinId="9" hidden="1"/>
    <cellStyle name="Followed Hyperlink" xfId="18680" builtinId="9" hidden="1"/>
    <cellStyle name="Followed Hyperlink" xfId="18682" builtinId="9" hidden="1"/>
    <cellStyle name="Followed Hyperlink" xfId="18684" builtinId="9" hidden="1"/>
    <cellStyle name="Followed Hyperlink" xfId="18686" builtinId="9" hidden="1"/>
    <cellStyle name="Followed Hyperlink" xfId="18688" builtinId="9" hidden="1"/>
    <cellStyle name="Followed Hyperlink" xfId="18690" builtinId="9" hidden="1"/>
    <cellStyle name="Followed Hyperlink" xfId="18692" builtinId="9" hidden="1"/>
    <cellStyle name="Followed Hyperlink" xfId="18694" builtinId="9" hidden="1"/>
    <cellStyle name="Followed Hyperlink" xfId="18696" builtinId="9" hidden="1"/>
    <cellStyle name="Followed Hyperlink" xfId="18698" builtinId="9" hidden="1"/>
    <cellStyle name="Followed Hyperlink" xfId="18700" builtinId="9" hidden="1"/>
    <cellStyle name="Followed Hyperlink" xfId="18702" builtinId="9" hidden="1"/>
    <cellStyle name="Followed Hyperlink" xfId="18704" builtinId="9" hidden="1"/>
    <cellStyle name="Followed Hyperlink" xfId="18706" builtinId="9" hidden="1"/>
    <cellStyle name="Followed Hyperlink" xfId="18708" builtinId="9" hidden="1"/>
    <cellStyle name="Followed Hyperlink" xfId="18710" builtinId="9" hidden="1"/>
    <cellStyle name="Followed Hyperlink" xfId="18712" builtinId="9" hidden="1"/>
    <cellStyle name="Followed Hyperlink" xfId="18714" builtinId="9" hidden="1"/>
    <cellStyle name="Followed Hyperlink" xfId="18716" builtinId="9" hidden="1"/>
    <cellStyle name="Followed Hyperlink" xfId="18718" builtinId="9" hidden="1"/>
    <cellStyle name="Followed Hyperlink" xfId="18720" builtinId="9" hidden="1"/>
    <cellStyle name="Followed Hyperlink" xfId="18722" builtinId="9" hidden="1"/>
    <cellStyle name="Followed Hyperlink" xfId="18724" builtinId="9" hidden="1"/>
    <cellStyle name="Followed Hyperlink" xfId="18726" builtinId="9" hidden="1"/>
    <cellStyle name="Followed Hyperlink" xfId="18728" builtinId="9" hidden="1"/>
    <cellStyle name="Followed Hyperlink" xfId="18730" builtinId="9" hidden="1"/>
    <cellStyle name="Followed Hyperlink" xfId="18732" builtinId="9" hidden="1"/>
    <cellStyle name="Followed Hyperlink" xfId="18734" builtinId="9" hidden="1"/>
    <cellStyle name="Followed Hyperlink" xfId="18736" builtinId="9" hidden="1"/>
    <cellStyle name="Followed Hyperlink" xfId="18738" builtinId="9" hidden="1"/>
    <cellStyle name="Followed Hyperlink" xfId="18740" builtinId="9" hidden="1"/>
    <cellStyle name="Followed Hyperlink" xfId="18742" builtinId="9" hidden="1"/>
    <cellStyle name="Followed Hyperlink" xfId="18744" builtinId="9" hidden="1"/>
    <cellStyle name="Followed Hyperlink" xfId="18746" builtinId="9" hidden="1"/>
    <cellStyle name="Followed Hyperlink" xfId="18748" builtinId="9" hidden="1"/>
    <cellStyle name="Followed Hyperlink" xfId="18750" builtinId="9" hidden="1"/>
    <cellStyle name="Followed Hyperlink" xfId="18752" builtinId="9" hidden="1"/>
    <cellStyle name="Followed Hyperlink" xfId="18754" builtinId="9" hidden="1"/>
    <cellStyle name="Followed Hyperlink" xfId="18756" builtinId="9" hidden="1"/>
    <cellStyle name="Followed Hyperlink" xfId="18758" builtinId="9" hidden="1"/>
    <cellStyle name="Followed Hyperlink" xfId="18760" builtinId="9" hidden="1"/>
    <cellStyle name="Followed Hyperlink" xfId="18762" builtinId="9" hidden="1"/>
    <cellStyle name="Followed Hyperlink" xfId="18764" builtinId="9" hidden="1"/>
    <cellStyle name="Followed Hyperlink" xfId="18766" builtinId="9" hidden="1"/>
    <cellStyle name="Followed Hyperlink" xfId="18768" builtinId="9" hidden="1"/>
    <cellStyle name="Followed Hyperlink" xfId="18770" builtinId="9" hidden="1"/>
    <cellStyle name="Followed Hyperlink" xfId="18772" builtinId="9" hidden="1"/>
    <cellStyle name="Followed Hyperlink" xfId="18774" builtinId="9" hidden="1"/>
    <cellStyle name="Followed Hyperlink" xfId="18776" builtinId="9" hidden="1"/>
    <cellStyle name="Followed Hyperlink" xfId="18778" builtinId="9" hidden="1"/>
    <cellStyle name="Followed Hyperlink" xfId="18780" builtinId="9" hidden="1"/>
    <cellStyle name="Followed Hyperlink" xfId="18782" builtinId="9" hidden="1"/>
    <cellStyle name="Followed Hyperlink" xfId="18784" builtinId="9" hidden="1"/>
    <cellStyle name="Followed Hyperlink" xfId="18786" builtinId="9" hidden="1"/>
    <cellStyle name="Followed Hyperlink" xfId="18788" builtinId="9" hidden="1"/>
    <cellStyle name="Followed Hyperlink" xfId="18790" builtinId="9" hidden="1"/>
    <cellStyle name="Followed Hyperlink" xfId="18792" builtinId="9" hidden="1"/>
    <cellStyle name="Followed Hyperlink" xfId="18794" builtinId="9" hidden="1"/>
    <cellStyle name="Followed Hyperlink" xfId="18796" builtinId="9" hidden="1"/>
    <cellStyle name="Followed Hyperlink" xfId="18798" builtinId="9" hidden="1"/>
    <cellStyle name="Followed Hyperlink" xfId="18800" builtinId="9" hidden="1"/>
    <cellStyle name="Followed Hyperlink" xfId="18802" builtinId="9" hidden="1"/>
    <cellStyle name="Followed Hyperlink" xfId="18804" builtinId="9" hidden="1"/>
    <cellStyle name="Followed Hyperlink" xfId="18806" builtinId="9" hidden="1"/>
    <cellStyle name="Followed Hyperlink" xfId="18808" builtinId="9" hidden="1"/>
    <cellStyle name="Followed Hyperlink" xfId="18810" builtinId="9" hidden="1"/>
    <cellStyle name="Followed Hyperlink" xfId="18812" builtinId="9" hidden="1"/>
    <cellStyle name="Followed Hyperlink" xfId="18814" builtinId="9" hidden="1"/>
    <cellStyle name="Followed Hyperlink" xfId="18816" builtinId="9" hidden="1"/>
    <cellStyle name="Followed Hyperlink" xfId="18818" builtinId="9" hidden="1"/>
    <cellStyle name="Followed Hyperlink" xfId="18820" builtinId="9" hidden="1"/>
    <cellStyle name="Followed Hyperlink" xfId="18822" builtinId="9" hidden="1"/>
    <cellStyle name="Followed Hyperlink" xfId="18824" builtinId="9" hidden="1"/>
    <cellStyle name="Followed Hyperlink" xfId="18826" builtinId="9" hidden="1"/>
    <cellStyle name="Followed Hyperlink" xfId="18828" builtinId="9" hidden="1"/>
    <cellStyle name="Followed Hyperlink" xfId="18830" builtinId="9" hidden="1"/>
    <cellStyle name="Followed Hyperlink" xfId="18832" builtinId="9" hidden="1"/>
    <cellStyle name="Followed Hyperlink" xfId="18834" builtinId="9" hidden="1"/>
    <cellStyle name="Followed Hyperlink" xfId="18836" builtinId="9" hidden="1"/>
    <cellStyle name="Followed Hyperlink" xfId="18838" builtinId="9" hidden="1"/>
    <cellStyle name="Followed Hyperlink" xfId="18840" builtinId="9" hidden="1"/>
    <cellStyle name="Followed Hyperlink" xfId="18842" builtinId="9" hidden="1"/>
    <cellStyle name="Followed Hyperlink" xfId="18844" builtinId="9" hidden="1"/>
    <cellStyle name="Followed Hyperlink" xfId="18846" builtinId="9" hidden="1"/>
    <cellStyle name="Followed Hyperlink" xfId="18848" builtinId="9" hidden="1"/>
    <cellStyle name="Followed Hyperlink" xfId="18850" builtinId="9" hidden="1"/>
    <cellStyle name="Followed Hyperlink" xfId="18852" builtinId="9" hidden="1"/>
    <cellStyle name="Followed Hyperlink" xfId="18854" builtinId="9" hidden="1"/>
    <cellStyle name="Followed Hyperlink" xfId="18856" builtinId="9" hidden="1"/>
    <cellStyle name="Followed Hyperlink" xfId="18858" builtinId="9" hidden="1"/>
    <cellStyle name="Followed Hyperlink" xfId="18860" builtinId="9" hidden="1"/>
    <cellStyle name="Followed Hyperlink" xfId="18862" builtinId="9" hidden="1"/>
    <cellStyle name="Followed Hyperlink" xfId="18864" builtinId="9" hidden="1"/>
    <cellStyle name="Followed Hyperlink" xfId="18866" builtinId="9" hidden="1"/>
    <cellStyle name="Followed Hyperlink" xfId="18868" builtinId="9" hidden="1"/>
    <cellStyle name="Followed Hyperlink" xfId="18870" builtinId="9" hidden="1"/>
    <cellStyle name="Followed Hyperlink" xfId="18872" builtinId="9" hidden="1"/>
    <cellStyle name="Followed Hyperlink" xfId="18874" builtinId="9" hidden="1"/>
    <cellStyle name="Followed Hyperlink" xfId="18876" builtinId="9" hidden="1"/>
    <cellStyle name="Followed Hyperlink" xfId="18878" builtinId="9" hidden="1"/>
    <cellStyle name="Followed Hyperlink" xfId="18880" builtinId="9" hidden="1"/>
    <cellStyle name="Followed Hyperlink" xfId="18882" builtinId="9" hidden="1"/>
    <cellStyle name="Followed Hyperlink" xfId="18884" builtinId="9" hidden="1"/>
    <cellStyle name="Followed Hyperlink" xfId="18886" builtinId="9" hidden="1"/>
    <cellStyle name="Followed Hyperlink" xfId="18888" builtinId="9" hidden="1"/>
    <cellStyle name="Followed Hyperlink" xfId="18890" builtinId="9" hidden="1"/>
    <cellStyle name="Followed Hyperlink" xfId="18892" builtinId="9" hidden="1"/>
    <cellStyle name="Followed Hyperlink" xfId="18894" builtinId="9" hidden="1"/>
    <cellStyle name="Followed Hyperlink" xfId="18896" builtinId="9" hidden="1"/>
    <cellStyle name="Followed Hyperlink" xfId="18898" builtinId="9" hidden="1"/>
    <cellStyle name="Followed Hyperlink" xfId="18900" builtinId="9" hidden="1"/>
    <cellStyle name="Followed Hyperlink" xfId="18902" builtinId="9" hidden="1"/>
    <cellStyle name="Followed Hyperlink" xfId="18904" builtinId="9" hidden="1"/>
    <cellStyle name="Followed Hyperlink" xfId="18906" builtinId="9" hidden="1"/>
    <cellStyle name="Followed Hyperlink" xfId="18908" builtinId="9" hidden="1"/>
    <cellStyle name="Followed Hyperlink" xfId="18910" builtinId="9" hidden="1"/>
    <cellStyle name="Followed Hyperlink" xfId="18912" builtinId="9" hidden="1"/>
    <cellStyle name="Followed Hyperlink" xfId="18914" builtinId="9" hidden="1"/>
    <cellStyle name="Followed Hyperlink" xfId="18916" builtinId="9" hidden="1"/>
    <cellStyle name="Followed Hyperlink" xfId="18918" builtinId="9" hidden="1"/>
    <cellStyle name="Followed Hyperlink" xfId="18920" builtinId="9" hidden="1"/>
    <cellStyle name="Followed Hyperlink" xfId="18922" builtinId="9" hidden="1"/>
    <cellStyle name="Followed Hyperlink" xfId="18924" builtinId="9" hidden="1"/>
    <cellStyle name="Followed Hyperlink" xfId="18926" builtinId="9" hidden="1"/>
    <cellStyle name="Followed Hyperlink" xfId="18928" builtinId="9" hidden="1"/>
    <cellStyle name="Followed Hyperlink" xfId="18930" builtinId="9" hidden="1"/>
    <cellStyle name="Followed Hyperlink" xfId="18932" builtinId="9" hidden="1"/>
    <cellStyle name="Followed Hyperlink" xfId="18934" builtinId="9" hidden="1"/>
    <cellStyle name="Followed Hyperlink" xfId="18936" builtinId="9" hidden="1"/>
    <cellStyle name="Followed Hyperlink" xfId="18938" builtinId="9" hidden="1"/>
    <cellStyle name="Followed Hyperlink" xfId="18940" builtinId="9" hidden="1"/>
    <cellStyle name="Followed Hyperlink" xfId="18942" builtinId="9" hidden="1"/>
    <cellStyle name="Followed Hyperlink" xfId="18944" builtinId="9" hidden="1"/>
    <cellStyle name="Followed Hyperlink" xfId="18946" builtinId="9" hidden="1"/>
    <cellStyle name="Followed Hyperlink" xfId="18948" builtinId="9" hidden="1"/>
    <cellStyle name="Followed Hyperlink" xfId="18950" builtinId="9" hidden="1"/>
    <cellStyle name="Followed Hyperlink" xfId="18952" builtinId="9" hidden="1"/>
    <cellStyle name="Followed Hyperlink" xfId="18954" builtinId="9" hidden="1"/>
    <cellStyle name="Followed Hyperlink" xfId="18956" builtinId="9" hidden="1"/>
    <cellStyle name="Followed Hyperlink" xfId="18958" builtinId="9" hidden="1"/>
    <cellStyle name="Followed Hyperlink" xfId="18960" builtinId="9" hidden="1"/>
    <cellStyle name="Followed Hyperlink" xfId="18962" builtinId="9" hidden="1"/>
    <cellStyle name="Followed Hyperlink" xfId="18964" builtinId="9" hidden="1"/>
    <cellStyle name="Followed Hyperlink" xfId="18966" builtinId="9" hidden="1"/>
    <cellStyle name="Followed Hyperlink" xfId="18968" builtinId="9" hidden="1"/>
    <cellStyle name="Followed Hyperlink" xfId="18970" builtinId="9" hidden="1"/>
    <cellStyle name="Followed Hyperlink" xfId="18972" builtinId="9" hidden="1"/>
    <cellStyle name="Followed Hyperlink" xfId="18974" builtinId="9" hidden="1"/>
    <cellStyle name="Followed Hyperlink" xfId="18976" builtinId="9" hidden="1"/>
    <cellStyle name="Followed Hyperlink" xfId="18978" builtinId="9" hidden="1"/>
    <cellStyle name="Followed Hyperlink" xfId="18980" builtinId="9" hidden="1"/>
    <cellStyle name="Followed Hyperlink" xfId="18982" builtinId="9" hidden="1"/>
    <cellStyle name="Followed Hyperlink" xfId="18984" builtinId="9" hidden="1"/>
    <cellStyle name="Followed Hyperlink" xfId="18986" builtinId="9" hidden="1"/>
    <cellStyle name="Followed Hyperlink" xfId="18988" builtinId="9" hidden="1"/>
    <cellStyle name="Followed Hyperlink" xfId="18990" builtinId="9" hidden="1"/>
    <cellStyle name="Followed Hyperlink" xfId="18992" builtinId="9" hidden="1"/>
    <cellStyle name="Followed Hyperlink" xfId="18994" builtinId="9" hidden="1"/>
    <cellStyle name="Followed Hyperlink" xfId="18996" builtinId="9" hidden="1"/>
    <cellStyle name="Followed Hyperlink" xfId="18998" builtinId="9" hidden="1"/>
    <cellStyle name="Followed Hyperlink" xfId="19000" builtinId="9" hidden="1"/>
    <cellStyle name="Followed Hyperlink" xfId="19002" builtinId="9" hidden="1"/>
    <cellStyle name="Followed Hyperlink" xfId="19004" builtinId="9" hidden="1"/>
    <cellStyle name="Followed Hyperlink" xfId="19006" builtinId="9" hidden="1"/>
    <cellStyle name="Followed Hyperlink" xfId="19008" builtinId="9" hidden="1"/>
    <cellStyle name="Followed Hyperlink" xfId="19010" builtinId="9" hidden="1"/>
    <cellStyle name="Followed Hyperlink" xfId="19012" builtinId="9" hidden="1"/>
    <cellStyle name="Followed Hyperlink" xfId="19014" builtinId="9" hidden="1"/>
    <cellStyle name="Followed Hyperlink" xfId="19016" builtinId="9" hidden="1"/>
    <cellStyle name="Followed Hyperlink" xfId="19018" builtinId="9" hidden="1"/>
    <cellStyle name="Followed Hyperlink" xfId="19020" builtinId="9" hidden="1"/>
    <cellStyle name="Followed Hyperlink" xfId="19022" builtinId="9" hidden="1"/>
    <cellStyle name="Followed Hyperlink" xfId="19024" builtinId="9" hidden="1"/>
    <cellStyle name="Followed Hyperlink" xfId="19026" builtinId="9" hidden="1"/>
    <cellStyle name="Followed Hyperlink" xfId="19028" builtinId="9" hidden="1"/>
    <cellStyle name="Followed Hyperlink" xfId="19030" builtinId="9" hidden="1"/>
    <cellStyle name="Followed Hyperlink" xfId="19032" builtinId="9" hidden="1"/>
    <cellStyle name="Followed Hyperlink" xfId="19034" builtinId="9" hidden="1"/>
    <cellStyle name="Followed Hyperlink" xfId="19036" builtinId="9" hidden="1"/>
    <cellStyle name="Followed Hyperlink" xfId="19038" builtinId="9" hidden="1"/>
    <cellStyle name="Followed Hyperlink" xfId="19040" builtinId="9" hidden="1"/>
    <cellStyle name="Followed Hyperlink" xfId="19042" builtinId="9" hidden="1"/>
    <cellStyle name="Followed Hyperlink" xfId="19044" builtinId="9" hidden="1"/>
    <cellStyle name="Followed Hyperlink" xfId="19046" builtinId="9" hidden="1"/>
    <cellStyle name="Followed Hyperlink" xfId="19048" builtinId="9" hidden="1"/>
    <cellStyle name="Followed Hyperlink" xfId="19050" builtinId="9" hidden="1"/>
    <cellStyle name="Followed Hyperlink" xfId="19052" builtinId="9" hidden="1"/>
    <cellStyle name="Followed Hyperlink" xfId="19054" builtinId="9" hidden="1"/>
    <cellStyle name="Followed Hyperlink" xfId="19056" builtinId="9" hidden="1"/>
    <cellStyle name="Followed Hyperlink" xfId="19058" builtinId="9" hidden="1"/>
    <cellStyle name="Followed Hyperlink" xfId="19060" builtinId="9" hidden="1"/>
    <cellStyle name="Followed Hyperlink" xfId="19062" builtinId="9" hidden="1"/>
    <cellStyle name="Followed Hyperlink" xfId="19064" builtinId="9" hidden="1"/>
    <cellStyle name="Followed Hyperlink" xfId="19066" builtinId="9" hidden="1"/>
    <cellStyle name="Followed Hyperlink" xfId="19068" builtinId="9" hidden="1"/>
    <cellStyle name="Followed Hyperlink" xfId="19070" builtinId="9" hidden="1"/>
    <cellStyle name="Followed Hyperlink" xfId="19072" builtinId="9" hidden="1"/>
    <cellStyle name="Followed Hyperlink" xfId="19074" builtinId="9" hidden="1"/>
    <cellStyle name="Followed Hyperlink" xfId="19076" builtinId="9" hidden="1"/>
    <cellStyle name="Followed Hyperlink" xfId="19078" builtinId="9" hidden="1"/>
    <cellStyle name="Followed Hyperlink" xfId="19080" builtinId="9" hidden="1"/>
    <cellStyle name="Followed Hyperlink" xfId="19082" builtinId="9" hidden="1"/>
    <cellStyle name="Followed Hyperlink" xfId="19084" builtinId="9" hidden="1"/>
    <cellStyle name="Followed Hyperlink" xfId="19086" builtinId="9" hidden="1"/>
    <cellStyle name="Followed Hyperlink" xfId="19088" builtinId="9" hidden="1"/>
    <cellStyle name="Followed Hyperlink" xfId="19090" builtinId="9" hidden="1"/>
    <cellStyle name="Followed Hyperlink" xfId="19092" builtinId="9" hidden="1"/>
    <cellStyle name="Followed Hyperlink" xfId="19094" builtinId="9" hidden="1"/>
    <cellStyle name="Followed Hyperlink" xfId="19096" builtinId="9" hidden="1"/>
    <cellStyle name="Followed Hyperlink" xfId="19098" builtinId="9" hidden="1"/>
    <cellStyle name="Followed Hyperlink" xfId="19100" builtinId="9" hidden="1"/>
    <cellStyle name="Followed Hyperlink" xfId="19102" builtinId="9" hidden="1"/>
    <cellStyle name="Followed Hyperlink" xfId="19104" builtinId="9" hidden="1"/>
    <cellStyle name="Followed Hyperlink" xfId="19106" builtinId="9" hidden="1"/>
    <cellStyle name="Followed Hyperlink" xfId="19108" builtinId="9" hidden="1"/>
    <cellStyle name="Followed Hyperlink" xfId="19110" builtinId="9" hidden="1"/>
    <cellStyle name="Followed Hyperlink" xfId="19112" builtinId="9" hidden="1"/>
    <cellStyle name="Followed Hyperlink" xfId="19114" builtinId="9" hidden="1"/>
    <cellStyle name="Followed Hyperlink" xfId="19116" builtinId="9" hidden="1"/>
    <cellStyle name="Followed Hyperlink" xfId="19118" builtinId="9" hidden="1"/>
    <cellStyle name="Followed Hyperlink" xfId="19120" builtinId="9" hidden="1"/>
    <cellStyle name="Followed Hyperlink" xfId="19122" builtinId="9" hidden="1"/>
    <cellStyle name="Followed Hyperlink" xfId="19124" builtinId="9" hidden="1"/>
    <cellStyle name="Followed Hyperlink" xfId="19126" builtinId="9" hidden="1"/>
    <cellStyle name="Followed Hyperlink" xfId="19128" builtinId="9" hidden="1"/>
    <cellStyle name="Followed Hyperlink" xfId="19130" builtinId="9" hidden="1"/>
    <cellStyle name="Followed Hyperlink" xfId="19132" builtinId="9" hidden="1"/>
    <cellStyle name="Followed Hyperlink" xfId="19134" builtinId="9" hidden="1"/>
    <cellStyle name="Followed Hyperlink" xfId="19136" builtinId="9" hidden="1"/>
    <cellStyle name="Followed Hyperlink" xfId="19138" builtinId="9" hidden="1"/>
    <cellStyle name="Followed Hyperlink" xfId="19140" builtinId="9" hidden="1"/>
    <cellStyle name="Followed Hyperlink" xfId="19142" builtinId="9" hidden="1"/>
    <cellStyle name="Followed Hyperlink" xfId="19144" builtinId="9" hidden="1"/>
    <cellStyle name="Followed Hyperlink" xfId="19146" builtinId="9" hidden="1"/>
    <cellStyle name="Followed Hyperlink" xfId="19148" builtinId="9" hidden="1"/>
    <cellStyle name="Followed Hyperlink" xfId="19150" builtinId="9" hidden="1"/>
    <cellStyle name="Followed Hyperlink" xfId="19152" builtinId="9" hidden="1"/>
    <cellStyle name="Followed Hyperlink" xfId="19154" builtinId="9" hidden="1"/>
    <cellStyle name="Followed Hyperlink" xfId="19156" builtinId="9" hidden="1"/>
    <cellStyle name="Followed Hyperlink" xfId="19158" builtinId="9" hidden="1"/>
    <cellStyle name="Followed Hyperlink" xfId="19160" builtinId="9" hidden="1"/>
    <cellStyle name="Followed Hyperlink" xfId="19162" builtinId="9" hidden="1"/>
    <cellStyle name="Followed Hyperlink" xfId="19164" builtinId="9" hidden="1"/>
    <cellStyle name="Followed Hyperlink" xfId="19166" builtinId="9" hidden="1"/>
    <cellStyle name="Followed Hyperlink" xfId="19168" builtinId="9" hidden="1"/>
    <cellStyle name="Followed Hyperlink" xfId="19170" builtinId="9" hidden="1"/>
    <cellStyle name="Followed Hyperlink" xfId="19172" builtinId="9" hidden="1"/>
    <cellStyle name="Followed Hyperlink" xfId="19174" builtinId="9" hidden="1"/>
    <cellStyle name="Followed Hyperlink" xfId="19176" builtinId="9" hidden="1"/>
    <cellStyle name="Followed Hyperlink" xfId="19178" builtinId="9" hidden="1"/>
    <cellStyle name="Followed Hyperlink" xfId="19180" builtinId="9" hidden="1"/>
    <cellStyle name="Followed Hyperlink" xfId="19182" builtinId="9" hidden="1"/>
    <cellStyle name="Followed Hyperlink" xfId="19184" builtinId="9" hidden="1"/>
    <cellStyle name="Followed Hyperlink" xfId="19186" builtinId="9" hidden="1"/>
    <cellStyle name="Followed Hyperlink" xfId="19188" builtinId="9" hidden="1"/>
    <cellStyle name="Followed Hyperlink" xfId="19190" builtinId="9" hidden="1"/>
    <cellStyle name="Followed Hyperlink" xfId="19192" builtinId="9" hidden="1"/>
    <cellStyle name="Followed Hyperlink" xfId="19194" builtinId="9" hidden="1"/>
    <cellStyle name="Followed Hyperlink" xfId="19196" builtinId="9" hidden="1"/>
    <cellStyle name="Followed Hyperlink" xfId="19198" builtinId="9" hidden="1"/>
    <cellStyle name="Followed Hyperlink" xfId="19200" builtinId="9" hidden="1"/>
    <cellStyle name="Followed Hyperlink" xfId="19202" builtinId="9" hidden="1"/>
    <cellStyle name="Followed Hyperlink" xfId="19204" builtinId="9" hidden="1"/>
    <cellStyle name="Followed Hyperlink" xfId="19206" builtinId="9" hidden="1"/>
    <cellStyle name="Followed Hyperlink" xfId="19208" builtinId="9" hidden="1"/>
    <cellStyle name="Followed Hyperlink" xfId="19210" builtinId="9" hidden="1"/>
    <cellStyle name="Followed Hyperlink" xfId="19212" builtinId="9" hidden="1"/>
    <cellStyle name="Followed Hyperlink" xfId="19214" builtinId="9" hidden="1"/>
    <cellStyle name="Followed Hyperlink" xfId="19216" builtinId="9" hidden="1"/>
    <cellStyle name="Followed Hyperlink" xfId="19218" builtinId="9" hidden="1"/>
    <cellStyle name="Followed Hyperlink" xfId="19220" builtinId="9" hidden="1"/>
    <cellStyle name="Followed Hyperlink" xfId="19222" builtinId="9" hidden="1"/>
    <cellStyle name="Followed Hyperlink" xfId="19224" builtinId="9" hidden="1"/>
    <cellStyle name="Followed Hyperlink" xfId="19226" builtinId="9" hidden="1"/>
    <cellStyle name="Followed Hyperlink" xfId="19228" builtinId="9" hidden="1"/>
    <cellStyle name="Followed Hyperlink" xfId="19230" builtinId="9" hidden="1"/>
    <cellStyle name="Followed Hyperlink" xfId="19232" builtinId="9" hidden="1"/>
    <cellStyle name="Followed Hyperlink" xfId="19234" builtinId="9" hidden="1"/>
    <cellStyle name="Followed Hyperlink" xfId="19236" builtinId="9" hidden="1"/>
    <cellStyle name="Followed Hyperlink" xfId="19238" builtinId="9" hidden="1"/>
    <cellStyle name="Followed Hyperlink" xfId="19240" builtinId="9" hidden="1"/>
    <cellStyle name="Followed Hyperlink" xfId="19242" builtinId="9" hidden="1"/>
    <cellStyle name="Followed Hyperlink" xfId="19244" builtinId="9" hidden="1"/>
    <cellStyle name="Followed Hyperlink" xfId="19246" builtinId="9" hidden="1"/>
    <cellStyle name="Followed Hyperlink" xfId="19248" builtinId="9" hidden="1"/>
    <cellStyle name="Followed Hyperlink" xfId="19250" builtinId="9" hidden="1"/>
    <cellStyle name="Followed Hyperlink" xfId="19252" builtinId="9" hidden="1"/>
    <cellStyle name="Followed Hyperlink" xfId="19254" builtinId="9" hidden="1"/>
    <cellStyle name="Followed Hyperlink" xfId="19256" builtinId="9" hidden="1"/>
    <cellStyle name="Followed Hyperlink" xfId="19258" builtinId="9" hidden="1"/>
    <cellStyle name="Followed Hyperlink" xfId="19260" builtinId="9" hidden="1"/>
    <cellStyle name="Followed Hyperlink" xfId="19262" builtinId="9" hidden="1"/>
    <cellStyle name="Followed Hyperlink" xfId="19264" builtinId="9" hidden="1"/>
    <cellStyle name="Followed Hyperlink" xfId="19266" builtinId="9" hidden="1"/>
    <cellStyle name="Followed Hyperlink" xfId="19268" builtinId="9" hidden="1"/>
    <cellStyle name="Followed Hyperlink" xfId="19270" builtinId="9" hidden="1"/>
    <cellStyle name="Followed Hyperlink" xfId="19272" builtinId="9" hidden="1"/>
    <cellStyle name="Followed Hyperlink" xfId="19274" builtinId="9" hidden="1"/>
    <cellStyle name="Followed Hyperlink" xfId="19276" builtinId="9" hidden="1"/>
    <cellStyle name="Followed Hyperlink" xfId="19278" builtinId="9" hidden="1"/>
    <cellStyle name="Followed Hyperlink" xfId="19280" builtinId="9" hidden="1"/>
    <cellStyle name="Followed Hyperlink" xfId="19282" builtinId="9" hidden="1"/>
    <cellStyle name="Followed Hyperlink" xfId="19284" builtinId="9" hidden="1"/>
    <cellStyle name="Followed Hyperlink" xfId="19286" builtinId="9" hidden="1"/>
    <cellStyle name="Followed Hyperlink" xfId="19288" builtinId="9" hidden="1"/>
    <cellStyle name="Followed Hyperlink" xfId="19290" builtinId="9" hidden="1"/>
    <cellStyle name="Followed Hyperlink" xfId="19292" builtinId="9" hidden="1"/>
    <cellStyle name="Followed Hyperlink" xfId="19294" builtinId="9" hidden="1"/>
    <cellStyle name="Followed Hyperlink" xfId="19296" builtinId="9" hidden="1"/>
    <cellStyle name="Followed Hyperlink" xfId="19298" builtinId="9" hidden="1"/>
    <cellStyle name="Followed Hyperlink" xfId="19300" builtinId="9" hidden="1"/>
    <cellStyle name="Followed Hyperlink" xfId="19302" builtinId="9" hidden="1"/>
    <cellStyle name="Followed Hyperlink" xfId="19304" builtinId="9" hidden="1"/>
    <cellStyle name="Followed Hyperlink" xfId="19306" builtinId="9" hidden="1"/>
    <cellStyle name="Followed Hyperlink" xfId="19308" builtinId="9" hidden="1"/>
    <cellStyle name="Followed Hyperlink" xfId="19310" builtinId="9" hidden="1"/>
    <cellStyle name="Followed Hyperlink" xfId="19312" builtinId="9" hidden="1"/>
    <cellStyle name="Followed Hyperlink" xfId="19314" builtinId="9" hidden="1"/>
    <cellStyle name="Followed Hyperlink" xfId="19316" builtinId="9" hidden="1"/>
    <cellStyle name="Followed Hyperlink" xfId="19318" builtinId="9" hidden="1"/>
    <cellStyle name="Followed Hyperlink" xfId="19320" builtinId="9" hidden="1"/>
    <cellStyle name="Followed Hyperlink" xfId="19322" builtinId="9" hidden="1"/>
    <cellStyle name="Followed Hyperlink" xfId="19324" builtinId="9" hidden="1"/>
    <cellStyle name="Followed Hyperlink" xfId="19326" builtinId="9" hidden="1"/>
    <cellStyle name="Followed Hyperlink" xfId="19328" builtinId="9" hidden="1"/>
    <cellStyle name="Followed Hyperlink" xfId="19330" builtinId="9" hidden="1"/>
    <cellStyle name="Followed Hyperlink" xfId="19332" builtinId="9" hidden="1"/>
    <cellStyle name="Followed Hyperlink" xfId="19334" builtinId="9" hidden="1"/>
    <cellStyle name="Followed Hyperlink" xfId="19336" builtinId="9" hidden="1"/>
    <cellStyle name="Followed Hyperlink" xfId="19338" builtinId="9" hidden="1"/>
    <cellStyle name="Followed Hyperlink" xfId="19340" builtinId="9" hidden="1"/>
    <cellStyle name="Followed Hyperlink" xfId="19342" builtinId="9" hidden="1"/>
    <cellStyle name="Followed Hyperlink" xfId="19344" builtinId="9" hidden="1"/>
    <cellStyle name="Followed Hyperlink" xfId="19346" builtinId="9" hidden="1"/>
    <cellStyle name="Followed Hyperlink" xfId="19348" builtinId="9" hidden="1"/>
    <cellStyle name="Followed Hyperlink" xfId="19350" builtinId="9" hidden="1"/>
    <cellStyle name="Followed Hyperlink" xfId="19352" builtinId="9" hidden="1"/>
    <cellStyle name="Followed Hyperlink" xfId="19354" builtinId="9" hidden="1"/>
    <cellStyle name="Followed Hyperlink" xfId="19356" builtinId="9" hidden="1"/>
    <cellStyle name="Followed Hyperlink" xfId="19358" builtinId="9" hidden="1"/>
    <cellStyle name="Followed Hyperlink" xfId="19360" builtinId="9" hidden="1"/>
    <cellStyle name="Followed Hyperlink" xfId="19362" builtinId="9" hidden="1"/>
    <cellStyle name="Followed Hyperlink" xfId="19364" builtinId="9" hidden="1"/>
    <cellStyle name="Followed Hyperlink" xfId="19366" builtinId="9" hidden="1"/>
    <cellStyle name="Followed Hyperlink" xfId="19368" builtinId="9" hidden="1"/>
    <cellStyle name="Followed Hyperlink" xfId="19370" builtinId="9" hidden="1"/>
    <cellStyle name="Followed Hyperlink" xfId="19372" builtinId="9" hidden="1"/>
    <cellStyle name="Followed Hyperlink" xfId="19374" builtinId="9" hidden="1"/>
    <cellStyle name="Followed Hyperlink" xfId="19376" builtinId="9" hidden="1"/>
    <cellStyle name="Followed Hyperlink" xfId="19378" builtinId="9" hidden="1"/>
    <cellStyle name="Followed Hyperlink" xfId="19380" builtinId="9" hidden="1"/>
    <cellStyle name="Followed Hyperlink" xfId="19382" builtinId="9" hidden="1"/>
    <cellStyle name="Followed Hyperlink" xfId="19384" builtinId="9" hidden="1"/>
    <cellStyle name="Followed Hyperlink" xfId="19386" builtinId="9" hidden="1"/>
    <cellStyle name="Followed Hyperlink" xfId="19388" builtinId="9" hidden="1"/>
    <cellStyle name="Followed Hyperlink" xfId="19390" builtinId="9" hidden="1"/>
    <cellStyle name="Followed Hyperlink" xfId="19392" builtinId="9" hidden="1"/>
    <cellStyle name="Followed Hyperlink" xfId="19394" builtinId="9" hidden="1"/>
    <cellStyle name="Followed Hyperlink" xfId="19396" builtinId="9" hidden="1"/>
    <cellStyle name="Followed Hyperlink" xfId="19398" builtinId="9" hidden="1"/>
    <cellStyle name="Followed Hyperlink" xfId="19400" builtinId="9" hidden="1"/>
    <cellStyle name="Followed Hyperlink" xfId="19402" builtinId="9" hidden="1"/>
    <cellStyle name="Followed Hyperlink" xfId="19404" builtinId="9" hidden="1"/>
    <cellStyle name="Followed Hyperlink" xfId="19406" builtinId="9" hidden="1"/>
    <cellStyle name="Followed Hyperlink" xfId="19408" builtinId="9" hidden="1"/>
    <cellStyle name="Followed Hyperlink" xfId="19410" builtinId="9" hidden="1"/>
    <cellStyle name="Followed Hyperlink" xfId="19412" builtinId="9" hidden="1"/>
    <cellStyle name="Followed Hyperlink" xfId="19414" builtinId="9" hidden="1"/>
    <cellStyle name="Followed Hyperlink" xfId="19416" builtinId="9" hidden="1"/>
    <cellStyle name="Followed Hyperlink" xfId="19418" builtinId="9" hidden="1"/>
    <cellStyle name="Followed Hyperlink" xfId="19420" builtinId="9" hidden="1"/>
    <cellStyle name="Followed Hyperlink" xfId="19422" builtinId="9" hidden="1"/>
    <cellStyle name="Followed Hyperlink" xfId="19424" builtinId="9" hidden="1"/>
    <cellStyle name="Followed Hyperlink" xfId="19426" builtinId="9" hidden="1"/>
    <cellStyle name="Followed Hyperlink" xfId="19428" builtinId="9" hidden="1"/>
    <cellStyle name="Followed Hyperlink" xfId="19430" builtinId="9" hidden="1"/>
    <cellStyle name="Followed Hyperlink" xfId="19432" builtinId="9" hidden="1"/>
    <cellStyle name="Followed Hyperlink" xfId="19434" builtinId="9" hidden="1"/>
    <cellStyle name="Followed Hyperlink" xfId="19436" builtinId="9" hidden="1"/>
    <cellStyle name="Followed Hyperlink" xfId="19438" builtinId="9" hidden="1"/>
    <cellStyle name="Followed Hyperlink" xfId="19440" builtinId="9" hidden="1"/>
    <cellStyle name="Followed Hyperlink" xfId="19442" builtinId="9" hidden="1"/>
    <cellStyle name="Followed Hyperlink" xfId="19444" builtinId="9" hidden="1"/>
    <cellStyle name="Followed Hyperlink" xfId="19446" builtinId="9" hidden="1"/>
    <cellStyle name="Followed Hyperlink" xfId="19448" builtinId="9" hidden="1"/>
    <cellStyle name="Followed Hyperlink" xfId="19450" builtinId="9" hidden="1"/>
    <cellStyle name="Followed Hyperlink" xfId="19452" builtinId="9" hidden="1"/>
    <cellStyle name="Followed Hyperlink" xfId="19454" builtinId="9" hidden="1"/>
    <cellStyle name="Followed Hyperlink" xfId="19456" builtinId="9" hidden="1"/>
    <cellStyle name="Followed Hyperlink" xfId="19458" builtinId="9" hidden="1"/>
    <cellStyle name="Followed Hyperlink" xfId="19460" builtinId="9" hidden="1"/>
    <cellStyle name="Followed Hyperlink" xfId="19462" builtinId="9" hidden="1"/>
    <cellStyle name="Followed Hyperlink" xfId="19464" builtinId="9" hidden="1"/>
    <cellStyle name="Followed Hyperlink" xfId="19466" builtinId="9" hidden="1"/>
    <cellStyle name="Followed Hyperlink" xfId="19468" builtinId="9" hidden="1"/>
    <cellStyle name="Followed Hyperlink" xfId="19470" builtinId="9" hidden="1"/>
    <cellStyle name="Followed Hyperlink" xfId="19472" builtinId="9" hidden="1"/>
    <cellStyle name="Followed Hyperlink" xfId="19474" builtinId="9" hidden="1"/>
    <cellStyle name="Followed Hyperlink" xfId="19476" builtinId="9" hidden="1"/>
    <cellStyle name="Followed Hyperlink" xfId="19478" builtinId="9" hidden="1"/>
    <cellStyle name="Followed Hyperlink" xfId="19480" builtinId="9" hidden="1"/>
    <cellStyle name="Followed Hyperlink" xfId="19482" builtinId="9" hidden="1"/>
    <cellStyle name="Followed Hyperlink" xfId="19484" builtinId="9" hidden="1"/>
    <cellStyle name="Followed Hyperlink" xfId="19486" builtinId="9" hidden="1"/>
    <cellStyle name="Followed Hyperlink" xfId="19488" builtinId="9" hidden="1"/>
    <cellStyle name="Followed Hyperlink" xfId="19490" builtinId="9" hidden="1"/>
    <cellStyle name="Followed Hyperlink" xfId="19492" builtinId="9" hidden="1"/>
    <cellStyle name="Followed Hyperlink" xfId="19494" builtinId="9" hidden="1"/>
    <cellStyle name="Followed Hyperlink" xfId="19496" builtinId="9" hidden="1"/>
    <cellStyle name="Followed Hyperlink" xfId="19498" builtinId="9" hidden="1"/>
    <cellStyle name="Followed Hyperlink" xfId="19500" builtinId="9" hidden="1"/>
    <cellStyle name="Followed Hyperlink" xfId="19502" builtinId="9" hidden="1"/>
    <cellStyle name="Followed Hyperlink" xfId="19504" builtinId="9" hidden="1"/>
    <cellStyle name="Followed Hyperlink" xfId="19506" builtinId="9" hidden="1"/>
    <cellStyle name="Followed Hyperlink" xfId="19508" builtinId="9" hidden="1"/>
    <cellStyle name="Followed Hyperlink" xfId="19510" builtinId="9" hidden="1"/>
    <cellStyle name="Followed Hyperlink" xfId="19512" builtinId="9" hidden="1"/>
    <cellStyle name="Followed Hyperlink" xfId="19514" builtinId="9" hidden="1"/>
    <cellStyle name="Followed Hyperlink" xfId="19516" builtinId="9" hidden="1"/>
    <cellStyle name="Followed Hyperlink" xfId="19518" builtinId="9" hidden="1"/>
    <cellStyle name="Followed Hyperlink" xfId="19520" builtinId="9" hidden="1"/>
    <cellStyle name="Followed Hyperlink" xfId="19522" builtinId="9" hidden="1"/>
    <cellStyle name="Followed Hyperlink" xfId="19524" builtinId="9" hidden="1"/>
    <cellStyle name="Followed Hyperlink" xfId="19526" builtinId="9" hidden="1"/>
    <cellStyle name="Followed Hyperlink" xfId="19528" builtinId="9" hidden="1"/>
    <cellStyle name="Followed Hyperlink" xfId="19530" builtinId="9" hidden="1"/>
    <cellStyle name="Followed Hyperlink" xfId="19532" builtinId="9" hidden="1"/>
    <cellStyle name="Followed Hyperlink" xfId="19534" builtinId="9" hidden="1"/>
    <cellStyle name="Followed Hyperlink" xfId="19536" builtinId="9" hidden="1"/>
    <cellStyle name="Followed Hyperlink" xfId="19538" builtinId="9" hidden="1"/>
    <cellStyle name="Followed Hyperlink" xfId="19540" builtinId="9" hidden="1"/>
    <cellStyle name="Followed Hyperlink" xfId="19542" builtinId="9" hidden="1"/>
    <cellStyle name="Followed Hyperlink" xfId="19544" builtinId="9" hidden="1"/>
    <cellStyle name="Followed Hyperlink" xfId="19546" builtinId="9" hidden="1"/>
    <cellStyle name="Followed Hyperlink" xfId="19548" builtinId="9" hidden="1"/>
    <cellStyle name="Followed Hyperlink" xfId="19550" builtinId="9" hidden="1"/>
    <cellStyle name="Followed Hyperlink" xfId="19552" builtinId="9" hidden="1"/>
    <cellStyle name="Followed Hyperlink" xfId="19554" builtinId="9" hidden="1"/>
    <cellStyle name="Followed Hyperlink" xfId="19556" builtinId="9" hidden="1"/>
    <cellStyle name="Followed Hyperlink" xfId="19558" builtinId="9" hidden="1"/>
    <cellStyle name="Followed Hyperlink" xfId="19560" builtinId="9" hidden="1"/>
    <cellStyle name="Followed Hyperlink" xfId="19562" builtinId="9" hidden="1"/>
    <cellStyle name="Followed Hyperlink" xfId="19564" builtinId="9" hidden="1"/>
    <cellStyle name="Followed Hyperlink" xfId="19566" builtinId="9" hidden="1"/>
    <cellStyle name="Followed Hyperlink" xfId="19568" builtinId="9" hidden="1"/>
    <cellStyle name="Followed Hyperlink" xfId="19570" builtinId="9" hidden="1"/>
    <cellStyle name="Followed Hyperlink" xfId="19572" builtinId="9" hidden="1"/>
    <cellStyle name="Followed Hyperlink" xfId="19574" builtinId="9" hidden="1"/>
    <cellStyle name="Followed Hyperlink" xfId="19576" builtinId="9" hidden="1"/>
    <cellStyle name="Followed Hyperlink" xfId="19578" builtinId="9" hidden="1"/>
    <cellStyle name="Followed Hyperlink" xfId="19580" builtinId="9" hidden="1"/>
    <cellStyle name="Followed Hyperlink" xfId="19582" builtinId="9" hidden="1"/>
    <cellStyle name="Followed Hyperlink" xfId="19584" builtinId="9" hidden="1"/>
    <cellStyle name="Followed Hyperlink" xfId="19586" builtinId="9" hidden="1"/>
    <cellStyle name="Followed Hyperlink" xfId="19588" builtinId="9" hidden="1"/>
    <cellStyle name="Followed Hyperlink" xfId="19590" builtinId="9" hidden="1"/>
    <cellStyle name="Followed Hyperlink" xfId="19592" builtinId="9" hidden="1"/>
    <cellStyle name="Followed Hyperlink" xfId="19594" builtinId="9" hidden="1"/>
    <cellStyle name="Followed Hyperlink" xfId="19596" builtinId="9" hidden="1"/>
    <cellStyle name="Followed Hyperlink" xfId="19598" builtinId="9" hidden="1"/>
    <cellStyle name="Followed Hyperlink" xfId="19600" builtinId="9" hidden="1"/>
    <cellStyle name="Followed Hyperlink" xfId="19602" builtinId="9" hidden="1"/>
    <cellStyle name="Followed Hyperlink" xfId="19604" builtinId="9" hidden="1"/>
    <cellStyle name="Followed Hyperlink" xfId="19606" builtinId="9" hidden="1"/>
    <cellStyle name="Followed Hyperlink" xfId="19608" builtinId="9" hidden="1"/>
    <cellStyle name="Followed Hyperlink" xfId="19610" builtinId="9" hidden="1"/>
    <cellStyle name="Followed Hyperlink" xfId="19612" builtinId="9" hidden="1"/>
    <cellStyle name="Followed Hyperlink" xfId="19614" builtinId="9" hidden="1"/>
    <cellStyle name="Followed Hyperlink" xfId="19616" builtinId="9" hidden="1"/>
    <cellStyle name="Followed Hyperlink" xfId="19618" builtinId="9" hidden="1"/>
    <cellStyle name="Followed Hyperlink" xfId="19620" builtinId="9" hidden="1"/>
    <cellStyle name="Followed Hyperlink" xfId="19622" builtinId="9" hidden="1"/>
    <cellStyle name="Followed Hyperlink" xfId="19624" builtinId="9" hidden="1"/>
    <cellStyle name="Followed Hyperlink" xfId="19626" builtinId="9" hidden="1"/>
    <cellStyle name="Followed Hyperlink" xfId="19628" builtinId="9" hidden="1"/>
    <cellStyle name="Followed Hyperlink" xfId="19630" builtinId="9" hidden="1"/>
    <cellStyle name="Followed Hyperlink" xfId="19632" builtinId="9" hidden="1"/>
    <cellStyle name="Followed Hyperlink" xfId="19634" builtinId="9" hidden="1"/>
    <cellStyle name="Followed Hyperlink" xfId="19636" builtinId="9" hidden="1"/>
    <cellStyle name="Followed Hyperlink" xfId="19638" builtinId="9" hidden="1"/>
    <cellStyle name="Followed Hyperlink" xfId="19640" builtinId="9" hidden="1"/>
    <cellStyle name="Followed Hyperlink" xfId="19642" builtinId="9" hidden="1"/>
    <cellStyle name="Followed Hyperlink" xfId="19644" builtinId="9" hidden="1"/>
    <cellStyle name="Followed Hyperlink" xfId="19646" builtinId="9" hidden="1"/>
    <cellStyle name="Followed Hyperlink" xfId="19648" builtinId="9" hidden="1"/>
    <cellStyle name="Followed Hyperlink" xfId="19650" builtinId="9" hidden="1"/>
    <cellStyle name="Followed Hyperlink" xfId="19652" builtinId="9" hidden="1"/>
    <cellStyle name="Followed Hyperlink" xfId="19654" builtinId="9" hidden="1"/>
    <cellStyle name="Followed Hyperlink" xfId="19656" builtinId="9" hidden="1"/>
    <cellStyle name="Followed Hyperlink" xfId="19658" builtinId="9" hidden="1"/>
    <cellStyle name="Followed Hyperlink" xfId="19660" builtinId="9" hidden="1"/>
    <cellStyle name="Followed Hyperlink" xfId="19662" builtinId="9" hidden="1"/>
    <cellStyle name="Followed Hyperlink" xfId="19664" builtinId="9" hidden="1"/>
    <cellStyle name="Followed Hyperlink" xfId="19666" builtinId="9" hidden="1"/>
    <cellStyle name="Followed Hyperlink" xfId="19668" builtinId="9" hidden="1"/>
    <cellStyle name="Followed Hyperlink" xfId="19670" builtinId="9" hidden="1"/>
    <cellStyle name="Followed Hyperlink" xfId="19672" builtinId="9" hidden="1"/>
    <cellStyle name="Followed Hyperlink" xfId="19674" builtinId="9" hidden="1"/>
    <cellStyle name="Followed Hyperlink" xfId="19676" builtinId="9" hidden="1"/>
    <cellStyle name="Followed Hyperlink" xfId="19678" builtinId="9" hidden="1"/>
    <cellStyle name="Followed Hyperlink" xfId="19680" builtinId="9" hidden="1"/>
    <cellStyle name="Followed Hyperlink" xfId="19682" builtinId="9" hidden="1"/>
    <cellStyle name="Followed Hyperlink" xfId="19684" builtinId="9" hidden="1"/>
    <cellStyle name="Followed Hyperlink" xfId="19686" builtinId="9" hidden="1"/>
    <cellStyle name="Followed Hyperlink" xfId="19688" builtinId="9" hidden="1"/>
    <cellStyle name="Followed Hyperlink" xfId="19690" builtinId="9" hidden="1"/>
    <cellStyle name="Followed Hyperlink" xfId="19692" builtinId="9" hidden="1"/>
    <cellStyle name="Followed Hyperlink" xfId="19694" builtinId="9" hidden="1"/>
    <cellStyle name="Followed Hyperlink" xfId="19696" builtinId="9" hidden="1"/>
    <cellStyle name="Followed Hyperlink" xfId="19698" builtinId="9" hidden="1"/>
    <cellStyle name="Followed Hyperlink" xfId="19700" builtinId="9" hidden="1"/>
    <cellStyle name="Followed Hyperlink" xfId="19702" builtinId="9" hidden="1"/>
    <cellStyle name="Followed Hyperlink" xfId="19704" builtinId="9" hidden="1"/>
    <cellStyle name="Followed Hyperlink" xfId="19706" builtinId="9" hidden="1"/>
    <cellStyle name="Followed Hyperlink" xfId="19708" builtinId="9" hidden="1"/>
    <cellStyle name="Followed Hyperlink" xfId="19710" builtinId="9" hidden="1"/>
    <cellStyle name="Followed Hyperlink" xfId="19712" builtinId="9" hidden="1"/>
    <cellStyle name="Followed Hyperlink" xfId="19714" builtinId="9" hidden="1"/>
    <cellStyle name="Followed Hyperlink" xfId="19716" builtinId="9" hidden="1"/>
    <cellStyle name="Followed Hyperlink" xfId="19718" builtinId="9" hidden="1"/>
    <cellStyle name="Followed Hyperlink" xfId="19720" builtinId="9" hidden="1"/>
    <cellStyle name="Followed Hyperlink" xfId="19722" builtinId="9" hidden="1"/>
    <cellStyle name="Followed Hyperlink" xfId="19724" builtinId="9" hidden="1"/>
    <cellStyle name="Followed Hyperlink" xfId="19726" builtinId="9" hidden="1"/>
    <cellStyle name="Followed Hyperlink" xfId="19728" builtinId="9" hidden="1"/>
    <cellStyle name="Followed Hyperlink" xfId="19730" builtinId="9" hidden="1"/>
    <cellStyle name="Followed Hyperlink" xfId="19732" builtinId="9" hidden="1"/>
    <cellStyle name="Followed Hyperlink" xfId="19734" builtinId="9" hidden="1"/>
    <cellStyle name="Followed Hyperlink" xfId="19736" builtinId="9" hidden="1"/>
    <cellStyle name="Followed Hyperlink" xfId="19738" builtinId="9" hidden="1"/>
    <cellStyle name="Followed Hyperlink" xfId="19740" builtinId="9" hidden="1"/>
    <cellStyle name="Followed Hyperlink" xfId="19742" builtinId="9" hidden="1"/>
    <cellStyle name="Followed Hyperlink" xfId="19744" builtinId="9" hidden="1"/>
    <cellStyle name="Followed Hyperlink" xfId="19746" builtinId="9" hidden="1"/>
    <cellStyle name="Followed Hyperlink" xfId="19748" builtinId="9" hidden="1"/>
    <cellStyle name="Followed Hyperlink" xfId="19750" builtinId="9" hidden="1"/>
    <cellStyle name="Followed Hyperlink" xfId="19752" builtinId="9" hidden="1"/>
    <cellStyle name="Followed Hyperlink" xfId="19754" builtinId="9" hidden="1"/>
    <cellStyle name="Followed Hyperlink" xfId="19756" builtinId="9" hidden="1"/>
    <cellStyle name="Followed Hyperlink" xfId="19758" builtinId="9" hidden="1"/>
    <cellStyle name="Followed Hyperlink" xfId="19760" builtinId="9" hidden="1"/>
    <cellStyle name="Followed Hyperlink" xfId="19762" builtinId="9" hidden="1"/>
    <cellStyle name="Followed Hyperlink" xfId="19764" builtinId="9" hidden="1"/>
    <cellStyle name="Followed Hyperlink" xfId="19766" builtinId="9" hidden="1"/>
    <cellStyle name="Followed Hyperlink" xfId="19768" builtinId="9" hidden="1"/>
    <cellStyle name="Followed Hyperlink" xfId="19770" builtinId="9" hidden="1"/>
    <cellStyle name="Followed Hyperlink" xfId="19772" builtinId="9" hidden="1"/>
    <cellStyle name="Followed Hyperlink" xfId="19774" builtinId="9" hidden="1"/>
    <cellStyle name="Followed Hyperlink" xfId="19776" builtinId="9" hidden="1"/>
    <cellStyle name="Followed Hyperlink" xfId="19778" builtinId="9" hidden="1"/>
    <cellStyle name="Followed Hyperlink" xfId="19780" builtinId="9" hidden="1"/>
    <cellStyle name="Followed Hyperlink" xfId="19782" builtinId="9" hidden="1"/>
    <cellStyle name="Followed Hyperlink" xfId="19784" builtinId="9" hidden="1"/>
    <cellStyle name="Followed Hyperlink" xfId="19786" builtinId="9" hidden="1"/>
    <cellStyle name="Followed Hyperlink" xfId="19788" builtinId="9" hidden="1"/>
    <cellStyle name="Followed Hyperlink" xfId="19790" builtinId="9" hidden="1"/>
    <cellStyle name="Followed Hyperlink" xfId="19792" builtinId="9" hidden="1"/>
    <cellStyle name="Followed Hyperlink" xfId="19794" builtinId="9" hidden="1"/>
    <cellStyle name="Followed Hyperlink" xfId="19796" builtinId="9" hidden="1"/>
    <cellStyle name="Followed Hyperlink" xfId="19798" builtinId="9" hidden="1"/>
    <cellStyle name="Followed Hyperlink" xfId="19800" builtinId="9" hidden="1"/>
    <cellStyle name="Followed Hyperlink" xfId="19802" builtinId="9" hidden="1"/>
    <cellStyle name="Followed Hyperlink" xfId="19804" builtinId="9" hidden="1"/>
    <cellStyle name="Followed Hyperlink" xfId="19806" builtinId="9" hidden="1"/>
    <cellStyle name="Followed Hyperlink" xfId="19808" builtinId="9" hidden="1"/>
    <cellStyle name="Followed Hyperlink" xfId="19810" builtinId="9" hidden="1"/>
    <cellStyle name="Followed Hyperlink" xfId="19812" builtinId="9" hidden="1"/>
    <cellStyle name="Followed Hyperlink" xfId="19814" builtinId="9" hidden="1"/>
    <cellStyle name="Followed Hyperlink" xfId="19816" builtinId="9" hidden="1"/>
    <cellStyle name="Followed Hyperlink" xfId="19818" builtinId="9" hidden="1"/>
    <cellStyle name="Followed Hyperlink" xfId="19820" builtinId="9" hidden="1"/>
    <cellStyle name="Followed Hyperlink" xfId="19822" builtinId="9" hidden="1"/>
    <cellStyle name="Followed Hyperlink" xfId="19824" builtinId="9" hidden="1"/>
    <cellStyle name="Followed Hyperlink" xfId="19826" builtinId="9" hidden="1"/>
    <cellStyle name="Followed Hyperlink" xfId="19828" builtinId="9" hidden="1"/>
    <cellStyle name="Followed Hyperlink" xfId="19830" builtinId="9" hidden="1"/>
    <cellStyle name="Followed Hyperlink" xfId="19832" builtinId="9" hidden="1"/>
    <cellStyle name="Followed Hyperlink" xfId="19834" builtinId="9" hidden="1"/>
    <cellStyle name="Followed Hyperlink" xfId="19836" builtinId="9" hidden="1"/>
    <cellStyle name="Followed Hyperlink" xfId="19838" builtinId="9" hidden="1"/>
    <cellStyle name="Followed Hyperlink" xfId="19840" builtinId="9" hidden="1"/>
    <cellStyle name="Followed Hyperlink" xfId="19842" builtinId="9" hidden="1"/>
    <cellStyle name="Followed Hyperlink" xfId="19844" builtinId="9" hidden="1"/>
    <cellStyle name="Followed Hyperlink" xfId="19846" builtinId="9" hidden="1"/>
    <cellStyle name="Followed Hyperlink" xfId="19848" builtinId="9" hidden="1"/>
    <cellStyle name="Followed Hyperlink" xfId="19850" builtinId="9" hidden="1"/>
    <cellStyle name="Followed Hyperlink" xfId="19852" builtinId="9" hidden="1"/>
    <cellStyle name="Followed Hyperlink" xfId="19854" builtinId="9" hidden="1"/>
    <cellStyle name="Followed Hyperlink" xfId="19856" builtinId="9" hidden="1"/>
    <cellStyle name="Followed Hyperlink" xfId="19858" builtinId="9" hidden="1"/>
    <cellStyle name="Followed Hyperlink" xfId="19860" builtinId="9" hidden="1"/>
    <cellStyle name="Followed Hyperlink" xfId="19862" builtinId="9" hidden="1"/>
    <cellStyle name="Followed Hyperlink" xfId="19864" builtinId="9" hidden="1"/>
    <cellStyle name="Followed Hyperlink" xfId="19866" builtinId="9" hidden="1"/>
    <cellStyle name="Followed Hyperlink" xfId="19868" builtinId="9" hidden="1"/>
    <cellStyle name="Followed Hyperlink" xfId="19870" builtinId="9" hidden="1"/>
    <cellStyle name="Followed Hyperlink" xfId="19872" builtinId="9" hidden="1"/>
    <cellStyle name="Followed Hyperlink" xfId="19874" builtinId="9" hidden="1"/>
    <cellStyle name="Followed Hyperlink" xfId="19876" builtinId="9" hidden="1"/>
    <cellStyle name="Followed Hyperlink" xfId="19878" builtinId="9" hidden="1"/>
    <cellStyle name="Followed Hyperlink" xfId="19880" builtinId="9" hidden="1"/>
    <cellStyle name="Followed Hyperlink" xfId="19882" builtinId="9" hidden="1"/>
    <cellStyle name="Followed Hyperlink" xfId="19884" builtinId="9" hidden="1"/>
    <cellStyle name="Followed Hyperlink" xfId="19886" builtinId="9" hidden="1"/>
    <cellStyle name="Followed Hyperlink" xfId="19888" builtinId="9" hidden="1"/>
    <cellStyle name="Followed Hyperlink" xfId="19890" builtinId="9" hidden="1"/>
    <cellStyle name="Followed Hyperlink" xfId="19892" builtinId="9" hidden="1"/>
    <cellStyle name="Followed Hyperlink" xfId="19894" builtinId="9" hidden="1"/>
    <cellStyle name="Followed Hyperlink" xfId="19896" builtinId="9" hidden="1"/>
    <cellStyle name="Followed Hyperlink" xfId="19898" builtinId="9" hidden="1"/>
    <cellStyle name="Followed Hyperlink" xfId="19900" builtinId="9" hidden="1"/>
    <cellStyle name="Followed Hyperlink" xfId="19902" builtinId="9" hidden="1"/>
    <cellStyle name="Followed Hyperlink" xfId="19904" builtinId="9" hidden="1"/>
    <cellStyle name="Followed Hyperlink" xfId="19906" builtinId="9" hidden="1"/>
    <cellStyle name="Followed Hyperlink" xfId="19908" builtinId="9" hidden="1"/>
    <cellStyle name="Followed Hyperlink" xfId="19910" builtinId="9" hidden="1"/>
    <cellStyle name="Followed Hyperlink" xfId="19912" builtinId="9" hidden="1"/>
    <cellStyle name="Followed Hyperlink" xfId="19914" builtinId="9" hidden="1"/>
    <cellStyle name="Followed Hyperlink" xfId="19916" builtinId="9" hidden="1"/>
    <cellStyle name="Followed Hyperlink" xfId="19918" builtinId="9" hidden="1"/>
    <cellStyle name="Followed Hyperlink" xfId="19920" builtinId="9" hidden="1"/>
    <cellStyle name="Followed Hyperlink" xfId="19922" builtinId="9" hidden="1"/>
    <cellStyle name="Followed Hyperlink" xfId="19924" builtinId="9" hidden="1"/>
    <cellStyle name="Followed Hyperlink" xfId="19926" builtinId="9" hidden="1"/>
    <cellStyle name="Followed Hyperlink" xfId="19928" builtinId="9" hidden="1"/>
    <cellStyle name="Followed Hyperlink" xfId="19930" builtinId="9" hidden="1"/>
    <cellStyle name="Followed Hyperlink" xfId="19932" builtinId="9" hidden="1"/>
    <cellStyle name="Followed Hyperlink" xfId="19934" builtinId="9" hidden="1"/>
    <cellStyle name="Followed Hyperlink" xfId="19936" builtinId="9" hidden="1"/>
    <cellStyle name="Followed Hyperlink" xfId="19938" builtinId="9" hidden="1"/>
    <cellStyle name="Followed Hyperlink" xfId="19940" builtinId="9" hidden="1"/>
    <cellStyle name="Followed Hyperlink" xfId="19942" builtinId="9" hidden="1"/>
    <cellStyle name="Followed Hyperlink" xfId="19944" builtinId="9" hidden="1"/>
    <cellStyle name="Followed Hyperlink" xfId="19946" builtinId="9" hidden="1"/>
    <cellStyle name="Followed Hyperlink" xfId="19948" builtinId="9" hidden="1"/>
    <cellStyle name="Followed Hyperlink" xfId="19950" builtinId="9" hidden="1"/>
    <cellStyle name="Followed Hyperlink" xfId="19952" builtinId="9" hidden="1"/>
    <cellStyle name="Followed Hyperlink" xfId="19954" builtinId="9" hidden="1"/>
    <cellStyle name="Followed Hyperlink" xfId="19956" builtinId="9" hidden="1"/>
    <cellStyle name="Followed Hyperlink" xfId="19958" builtinId="9" hidden="1"/>
    <cellStyle name="Followed Hyperlink" xfId="19960" builtinId="9" hidden="1"/>
    <cellStyle name="Followed Hyperlink" xfId="19962" builtinId="9" hidden="1"/>
    <cellStyle name="Followed Hyperlink" xfId="19964" builtinId="9" hidden="1"/>
    <cellStyle name="Followed Hyperlink" xfId="19966" builtinId="9" hidden="1"/>
    <cellStyle name="Followed Hyperlink" xfId="19968" builtinId="9" hidden="1"/>
    <cellStyle name="Followed Hyperlink" xfId="19970" builtinId="9" hidden="1"/>
    <cellStyle name="Followed Hyperlink" xfId="19972" builtinId="9" hidden="1"/>
    <cellStyle name="Followed Hyperlink" xfId="19974" builtinId="9" hidden="1"/>
    <cellStyle name="Followed Hyperlink" xfId="19976" builtinId="9" hidden="1"/>
    <cellStyle name="Followed Hyperlink" xfId="19978" builtinId="9" hidden="1"/>
    <cellStyle name="Followed Hyperlink" xfId="19980" builtinId="9" hidden="1"/>
    <cellStyle name="Followed Hyperlink" xfId="19982" builtinId="9" hidden="1"/>
    <cellStyle name="Followed Hyperlink" xfId="19984" builtinId="9" hidden="1"/>
    <cellStyle name="Followed Hyperlink" xfId="19986" builtinId="9" hidden="1"/>
    <cellStyle name="Followed Hyperlink" xfId="19988" builtinId="9" hidden="1"/>
    <cellStyle name="Followed Hyperlink" xfId="19990" builtinId="9" hidden="1"/>
    <cellStyle name="Followed Hyperlink" xfId="19992" builtinId="9" hidden="1"/>
    <cellStyle name="Followed Hyperlink" xfId="19994" builtinId="9" hidden="1"/>
    <cellStyle name="Followed Hyperlink" xfId="19996" builtinId="9" hidden="1"/>
    <cellStyle name="Followed Hyperlink" xfId="19998" builtinId="9" hidden="1"/>
    <cellStyle name="Followed Hyperlink" xfId="20000" builtinId="9" hidden="1"/>
    <cellStyle name="Followed Hyperlink" xfId="20002" builtinId="9" hidden="1"/>
    <cellStyle name="Followed Hyperlink" xfId="20004" builtinId="9" hidden="1"/>
    <cellStyle name="Followed Hyperlink" xfId="20006" builtinId="9" hidden="1"/>
    <cellStyle name="Followed Hyperlink" xfId="20008" builtinId="9" hidden="1"/>
    <cellStyle name="Followed Hyperlink" xfId="20010" builtinId="9" hidden="1"/>
    <cellStyle name="Followed Hyperlink" xfId="20012" builtinId="9" hidden="1"/>
    <cellStyle name="Followed Hyperlink" xfId="20014" builtinId="9" hidden="1"/>
    <cellStyle name="Followed Hyperlink" xfId="20016" builtinId="9" hidden="1"/>
    <cellStyle name="Followed Hyperlink" xfId="20018" builtinId="9" hidden="1"/>
    <cellStyle name="Followed Hyperlink" xfId="20020" builtinId="9" hidden="1"/>
    <cellStyle name="Followed Hyperlink" xfId="20022" builtinId="9" hidden="1"/>
    <cellStyle name="Followed Hyperlink" xfId="20024" builtinId="9" hidden="1"/>
    <cellStyle name="Followed Hyperlink" xfId="20026" builtinId="9" hidden="1"/>
    <cellStyle name="Followed Hyperlink" xfId="20028" builtinId="9" hidden="1"/>
    <cellStyle name="Followed Hyperlink" xfId="20030" builtinId="9" hidden="1"/>
    <cellStyle name="Followed Hyperlink" xfId="20032" builtinId="9" hidden="1"/>
    <cellStyle name="Followed Hyperlink" xfId="20034" builtinId="9" hidden="1"/>
    <cellStyle name="Followed Hyperlink" xfId="20036" builtinId="9" hidden="1"/>
    <cellStyle name="Followed Hyperlink" xfId="20038" builtinId="9" hidden="1"/>
    <cellStyle name="Followed Hyperlink" xfId="20040" builtinId="9" hidden="1"/>
    <cellStyle name="Followed Hyperlink" xfId="20042" builtinId="9" hidden="1"/>
    <cellStyle name="Followed Hyperlink" xfId="20044" builtinId="9" hidden="1"/>
    <cellStyle name="Followed Hyperlink" xfId="20046" builtinId="9" hidden="1"/>
    <cellStyle name="Followed Hyperlink" xfId="20048" builtinId="9" hidden="1"/>
    <cellStyle name="Followed Hyperlink" xfId="20050" builtinId="9" hidden="1"/>
    <cellStyle name="Followed Hyperlink" xfId="20052" builtinId="9" hidden="1"/>
    <cellStyle name="Followed Hyperlink" xfId="20054" builtinId="9" hidden="1"/>
    <cellStyle name="Followed Hyperlink" xfId="20056" builtinId="9" hidden="1"/>
    <cellStyle name="Followed Hyperlink" xfId="20058" builtinId="9" hidden="1"/>
    <cellStyle name="Followed Hyperlink" xfId="20060" builtinId="9" hidden="1"/>
    <cellStyle name="Followed Hyperlink" xfId="20062" builtinId="9" hidden="1"/>
    <cellStyle name="Followed Hyperlink" xfId="20064" builtinId="9" hidden="1"/>
    <cellStyle name="Followed Hyperlink" xfId="20066" builtinId="9" hidden="1"/>
    <cellStyle name="Followed Hyperlink" xfId="20068" builtinId="9" hidden="1"/>
    <cellStyle name="Followed Hyperlink" xfId="20070" builtinId="9" hidden="1"/>
    <cellStyle name="Followed Hyperlink" xfId="20072" builtinId="9" hidden="1"/>
    <cellStyle name="Followed Hyperlink" xfId="20074" builtinId="9" hidden="1"/>
    <cellStyle name="Followed Hyperlink" xfId="20076" builtinId="9" hidden="1"/>
    <cellStyle name="Followed Hyperlink" xfId="20078" builtinId="9" hidden="1"/>
    <cellStyle name="Followed Hyperlink" xfId="20080" builtinId="9" hidden="1"/>
    <cellStyle name="Followed Hyperlink" xfId="20082" builtinId="9" hidden="1"/>
    <cellStyle name="Followed Hyperlink" xfId="20084" builtinId="9" hidden="1"/>
    <cellStyle name="Followed Hyperlink" xfId="20086" builtinId="9" hidden="1"/>
    <cellStyle name="Followed Hyperlink" xfId="20088" builtinId="9" hidden="1"/>
    <cellStyle name="Followed Hyperlink" xfId="20090" builtinId="9" hidden="1"/>
    <cellStyle name="Followed Hyperlink" xfId="20092" builtinId="9" hidden="1"/>
    <cellStyle name="Followed Hyperlink" xfId="20094" builtinId="9" hidden="1"/>
    <cellStyle name="Followed Hyperlink" xfId="20096" builtinId="9" hidden="1"/>
    <cellStyle name="Followed Hyperlink" xfId="20098" builtinId="9" hidden="1"/>
    <cellStyle name="Followed Hyperlink" xfId="20100" builtinId="9" hidden="1"/>
    <cellStyle name="Followed Hyperlink" xfId="20102" builtinId="9" hidden="1"/>
    <cellStyle name="Followed Hyperlink" xfId="20104" builtinId="9" hidden="1"/>
    <cellStyle name="Followed Hyperlink" xfId="20106" builtinId="9" hidden="1"/>
    <cellStyle name="Followed Hyperlink" xfId="20108" builtinId="9" hidden="1"/>
    <cellStyle name="Followed Hyperlink" xfId="20110" builtinId="9" hidden="1"/>
    <cellStyle name="Followed Hyperlink" xfId="20112" builtinId="9" hidden="1"/>
    <cellStyle name="Followed Hyperlink" xfId="20114" builtinId="9" hidden="1"/>
    <cellStyle name="Followed Hyperlink" xfId="20116" builtinId="9" hidden="1"/>
    <cellStyle name="Followed Hyperlink" xfId="20118" builtinId="9" hidden="1"/>
    <cellStyle name="Followed Hyperlink" xfId="20120" builtinId="9" hidden="1"/>
    <cellStyle name="Followed Hyperlink" xfId="20122" builtinId="9" hidden="1"/>
    <cellStyle name="Followed Hyperlink" xfId="20124" builtinId="9" hidden="1"/>
    <cellStyle name="Followed Hyperlink" xfId="20126" builtinId="9" hidden="1"/>
    <cellStyle name="Followed Hyperlink" xfId="20128" builtinId="9" hidden="1"/>
    <cellStyle name="Followed Hyperlink" xfId="20130" builtinId="9" hidden="1"/>
    <cellStyle name="Followed Hyperlink" xfId="20132" builtinId="9" hidden="1"/>
    <cellStyle name="Followed Hyperlink" xfId="20134" builtinId="9" hidden="1"/>
    <cellStyle name="Followed Hyperlink" xfId="20136" builtinId="9" hidden="1"/>
    <cellStyle name="Followed Hyperlink" xfId="20138" builtinId="9" hidden="1"/>
    <cellStyle name="Followed Hyperlink" xfId="20140" builtinId="9" hidden="1"/>
    <cellStyle name="Followed Hyperlink" xfId="20142" builtinId="9" hidden="1"/>
    <cellStyle name="Followed Hyperlink" xfId="20144" builtinId="9" hidden="1"/>
    <cellStyle name="Followed Hyperlink" xfId="20146" builtinId="9" hidden="1"/>
    <cellStyle name="Followed Hyperlink" xfId="20148" builtinId="9" hidden="1"/>
    <cellStyle name="Followed Hyperlink" xfId="20150" builtinId="9" hidden="1"/>
    <cellStyle name="Followed Hyperlink" xfId="20152" builtinId="9" hidden="1"/>
    <cellStyle name="Followed Hyperlink" xfId="20154" builtinId="9" hidden="1"/>
    <cellStyle name="Followed Hyperlink" xfId="20156" builtinId="9" hidden="1"/>
    <cellStyle name="Followed Hyperlink" xfId="20158" builtinId="9" hidden="1"/>
    <cellStyle name="Followed Hyperlink" xfId="20160" builtinId="9" hidden="1"/>
    <cellStyle name="Followed Hyperlink" xfId="20162" builtinId="9" hidden="1"/>
    <cellStyle name="Followed Hyperlink" xfId="20164" builtinId="9" hidden="1"/>
    <cellStyle name="Followed Hyperlink" xfId="20166" builtinId="9" hidden="1"/>
    <cellStyle name="Followed Hyperlink" xfId="20168" builtinId="9" hidden="1"/>
    <cellStyle name="Followed Hyperlink" xfId="20170" builtinId="9" hidden="1"/>
    <cellStyle name="Followed Hyperlink" xfId="20172" builtinId="9" hidden="1"/>
    <cellStyle name="Followed Hyperlink" xfId="20174" builtinId="9" hidden="1"/>
    <cellStyle name="Followed Hyperlink" xfId="20176" builtinId="9" hidden="1"/>
    <cellStyle name="Followed Hyperlink" xfId="20178" builtinId="9" hidden="1"/>
    <cellStyle name="Followed Hyperlink" xfId="20180" builtinId="9" hidden="1"/>
    <cellStyle name="Followed Hyperlink" xfId="20182" builtinId="9" hidden="1"/>
    <cellStyle name="Followed Hyperlink" xfId="20184" builtinId="9" hidden="1"/>
    <cellStyle name="Followed Hyperlink" xfId="20186" builtinId="9" hidden="1"/>
    <cellStyle name="Followed Hyperlink" xfId="20188" builtinId="9" hidden="1"/>
    <cellStyle name="Followed Hyperlink" xfId="20190" builtinId="9" hidden="1"/>
    <cellStyle name="Followed Hyperlink" xfId="20192" builtinId="9" hidden="1"/>
    <cellStyle name="Followed Hyperlink" xfId="20194" builtinId="9" hidden="1"/>
    <cellStyle name="Followed Hyperlink" xfId="20196" builtinId="9" hidden="1"/>
    <cellStyle name="Followed Hyperlink" xfId="20198" builtinId="9" hidden="1"/>
    <cellStyle name="Followed Hyperlink" xfId="20200" builtinId="9" hidden="1"/>
    <cellStyle name="Followed Hyperlink" xfId="20202" builtinId="9" hidden="1"/>
    <cellStyle name="Followed Hyperlink" xfId="20204" builtinId="9" hidden="1"/>
    <cellStyle name="Followed Hyperlink" xfId="20206" builtinId="9" hidden="1"/>
    <cellStyle name="Followed Hyperlink" xfId="20208" builtinId="9" hidden="1"/>
    <cellStyle name="Followed Hyperlink" xfId="20210" builtinId="9" hidden="1"/>
    <cellStyle name="Followed Hyperlink" xfId="20212" builtinId="9" hidden="1"/>
    <cellStyle name="Followed Hyperlink" xfId="20214" builtinId="9" hidden="1"/>
    <cellStyle name="Followed Hyperlink" xfId="20216" builtinId="9" hidden="1"/>
    <cellStyle name="Followed Hyperlink" xfId="20218" builtinId="9" hidden="1"/>
    <cellStyle name="Followed Hyperlink" xfId="20220" builtinId="9" hidden="1"/>
    <cellStyle name="Followed Hyperlink" xfId="20222" builtinId="9" hidden="1"/>
    <cellStyle name="Followed Hyperlink" xfId="20224" builtinId="9" hidden="1"/>
    <cellStyle name="Followed Hyperlink" xfId="20226" builtinId="9" hidden="1"/>
    <cellStyle name="Followed Hyperlink" xfId="20228" builtinId="9" hidden="1"/>
    <cellStyle name="Followed Hyperlink" xfId="20230" builtinId="9" hidden="1"/>
    <cellStyle name="Followed Hyperlink" xfId="20232" builtinId="9" hidden="1"/>
    <cellStyle name="Followed Hyperlink" xfId="20234" builtinId="9" hidden="1"/>
    <cellStyle name="Followed Hyperlink" xfId="20236" builtinId="9" hidden="1"/>
    <cellStyle name="Followed Hyperlink" xfId="20238" builtinId="9" hidden="1"/>
    <cellStyle name="Followed Hyperlink" xfId="20240" builtinId="9" hidden="1"/>
    <cellStyle name="Followed Hyperlink" xfId="20242" builtinId="9" hidden="1"/>
    <cellStyle name="Followed Hyperlink" xfId="20244" builtinId="9" hidden="1"/>
    <cellStyle name="Followed Hyperlink" xfId="20246" builtinId="9" hidden="1"/>
    <cellStyle name="Followed Hyperlink" xfId="20248" builtinId="9" hidden="1"/>
    <cellStyle name="Followed Hyperlink" xfId="20250" builtinId="9" hidden="1"/>
    <cellStyle name="Followed Hyperlink" xfId="20252" builtinId="9" hidden="1"/>
    <cellStyle name="Followed Hyperlink" xfId="20254" builtinId="9" hidden="1"/>
    <cellStyle name="Followed Hyperlink" xfId="20256" builtinId="9" hidden="1"/>
    <cellStyle name="Followed Hyperlink" xfId="20258" builtinId="9" hidden="1"/>
    <cellStyle name="Followed Hyperlink" xfId="20260" builtinId="9" hidden="1"/>
    <cellStyle name="Followed Hyperlink" xfId="20262" builtinId="9" hidden="1"/>
    <cellStyle name="Followed Hyperlink" xfId="20264" builtinId="9" hidden="1"/>
    <cellStyle name="Followed Hyperlink" xfId="20266" builtinId="9" hidden="1"/>
    <cellStyle name="Followed Hyperlink" xfId="20268" builtinId="9" hidden="1"/>
    <cellStyle name="Followed Hyperlink" xfId="20270" builtinId="9" hidden="1"/>
    <cellStyle name="Followed Hyperlink" xfId="20272" builtinId="9" hidden="1"/>
    <cellStyle name="Followed Hyperlink" xfId="20274" builtinId="9" hidden="1"/>
    <cellStyle name="Followed Hyperlink" xfId="20276" builtinId="9" hidden="1"/>
    <cellStyle name="Followed Hyperlink" xfId="20278" builtinId="9" hidden="1"/>
    <cellStyle name="Followed Hyperlink" xfId="20280" builtinId="9" hidden="1"/>
    <cellStyle name="Followed Hyperlink" xfId="20282" builtinId="9" hidden="1"/>
    <cellStyle name="Followed Hyperlink" xfId="20284" builtinId="9" hidden="1"/>
    <cellStyle name="Followed Hyperlink" xfId="20286" builtinId="9" hidden="1"/>
    <cellStyle name="Followed Hyperlink" xfId="20288" builtinId="9" hidden="1"/>
    <cellStyle name="Followed Hyperlink" xfId="20290" builtinId="9" hidden="1"/>
    <cellStyle name="Followed Hyperlink" xfId="20292" builtinId="9" hidden="1"/>
    <cellStyle name="Followed Hyperlink" xfId="20294" builtinId="9" hidden="1"/>
    <cellStyle name="Followed Hyperlink" xfId="20296" builtinId="9" hidden="1"/>
    <cellStyle name="Followed Hyperlink" xfId="20298" builtinId="9" hidden="1"/>
    <cellStyle name="Followed Hyperlink" xfId="20300" builtinId="9" hidden="1"/>
    <cellStyle name="Followed Hyperlink" xfId="20302" builtinId="9" hidden="1"/>
    <cellStyle name="Followed Hyperlink" xfId="20304" builtinId="9" hidden="1"/>
    <cellStyle name="Followed Hyperlink" xfId="20306" builtinId="9" hidden="1"/>
    <cellStyle name="Followed Hyperlink" xfId="20308" builtinId="9" hidden="1"/>
    <cellStyle name="Followed Hyperlink" xfId="20310" builtinId="9" hidden="1"/>
    <cellStyle name="Followed Hyperlink" xfId="20312" builtinId="9" hidden="1"/>
    <cellStyle name="Followed Hyperlink" xfId="20314" builtinId="9" hidden="1"/>
    <cellStyle name="Followed Hyperlink" xfId="20316" builtinId="9" hidden="1"/>
    <cellStyle name="Followed Hyperlink" xfId="20318" builtinId="9" hidden="1"/>
    <cellStyle name="Followed Hyperlink" xfId="20320" builtinId="9" hidden="1"/>
    <cellStyle name="Followed Hyperlink" xfId="20322" builtinId="9" hidden="1"/>
    <cellStyle name="Followed Hyperlink" xfId="20324" builtinId="9" hidden="1"/>
    <cellStyle name="Followed Hyperlink" xfId="20326" builtinId="9" hidden="1"/>
    <cellStyle name="Followed Hyperlink" xfId="20328" builtinId="9" hidden="1"/>
    <cellStyle name="Followed Hyperlink" xfId="20330" builtinId="9" hidden="1"/>
    <cellStyle name="Followed Hyperlink" xfId="20332" builtinId="9" hidden="1"/>
    <cellStyle name="Followed Hyperlink" xfId="20334" builtinId="9" hidden="1"/>
    <cellStyle name="Followed Hyperlink" xfId="20336" builtinId="9" hidden="1"/>
    <cellStyle name="Followed Hyperlink" xfId="20338" builtinId="9" hidden="1"/>
    <cellStyle name="Followed Hyperlink" xfId="20340" builtinId="9" hidden="1"/>
    <cellStyle name="Followed Hyperlink" xfId="20342" builtinId="9" hidden="1"/>
    <cellStyle name="Followed Hyperlink" xfId="20344" builtinId="9" hidden="1"/>
    <cellStyle name="Followed Hyperlink" xfId="20346" builtinId="9" hidden="1"/>
    <cellStyle name="Followed Hyperlink" xfId="20348" builtinId="9" hidden="1"/>
    <cellStyle name="Followed Hyperlink" xfId="20350" builtinId="9" hidden="1"/>
    <cellStyle name="Followed Hyperlink" xfId="20352" builtinId="9" hidden="1"/>
    <cellStyle name="Followed Hyperlink" xfId="20354" builtinId="9" hidden="1"/>
    <cellStyle name="Followed Hyperlink" xfId="20356" builtinId="9" hidden="1"/>
    <cellStyle name="Followed Hyperlink" xfId="20358" builtinId="9" hidden="1"/>
    <cellStyle name="Followed Hyperlink" xfId="20360" builtinId="9" hidden="1"/>
    <cellStyle name="Followed Hyperlink" xfId="20362" builtinId="9" hidden="1"/>
    <cellStyle name="Followed Hyperlink" xfId="20364" builtinId="9" hidden="1"/>
    <cellStyle name="Followed Hyperlink" xfId="20366" builtinId="9" hidden="1"/>
    <cellStyle name="Followed Hyperlink" xfId="20368" builtinId="9" hidden="1"/>
    <cellStyle name="Followed Hyperlink" xfId="20370" builtinId="9" hidden="1"/>
    <cellStyle name="Followed Hyperlink" xfId="20372" builtinId="9" hidden="1"/>
    <cellStyle name="Followed Hyperlink" xfId="20374" builtinId="9" hidden="1"/>
    <cellStyle name="Followed Hyperlink" xfId="20376" builtinId="9" hidden="1"/>
    <cellStyle name="Followed Hyperlink" xfId="20378" builtinId="9" hidden="1"/>
    <cellStyle name="Followed Hyperlink" xfId="20380" builtinId="9" hidden="1"/>
    <cellStyle name="Followed Hyperlink" xfId="20382" builtinId="9" hidden="1"/>
    <cellStyle name="Followed Hyperlink" xfId="20384" builtinId="9" hidden="1"/>
    <cellStyle name="Followed Hyperlink" xfId="20386" builtinId="9" hidden="1"/>
    <cellStyle name="Followed Hyperlink" xfId="20388" builtinId="9" hidden="1"/>
    <cellStyle name="Followed Hyperlink" xfId="20390" builtinId="9" hidden="1"/>
    <cellStyle name="Followed Hyperlink" xfId="20392" builtinId="9" hidden="1"/>
    <cellStyle name="Followed Hyperlink" xfId="20394" builtinId="9" hidden="1"/>
    <cellStyle name="Followed Hyperlink" xfId="20396" builtinId="9" hidden="1"/>
    <cellStyle name="Followed Hyperlink" xfId="20398" builtinId="9" hidden="1"/>
    <cellStyle name="Followed Hyperlink" xfId="20400" builtinId="9" hidden="1"/>
    <cellStyle name="Followed Hyperlink" xfId="20402" builtinId="9" hidden="1"/>
    <cellStyle name="Followed Hyperlink" xfId="20404" builtinId="9" hidden="1"/>
    <cellStyle name="Followed Hyperlink" xfId="20406" builtinId="9" hidden="1"/>
    <cellStyle name="Followed Hyperlink" xfId="20408" builtinId="9" hidden="1"/>
    <cellStyle name="Followed Hyperlink" xfId="20410" builtinId="9" hidden="1"/>
    <cellStyle name="Followed Hyperlink" xfId="20412" builtinId="9" hidden="1"/>
    <cellStyle name="Followed Hyperlink" xfId="20414" builtinId="9" hidden="1"/>
    <cellStyle name="Followed Hyperlink" xfId="20416" builtinId="9" hidden="1"/>
    <cellStyle name="Followed Hyperlink" xfId="20418" builtinId="9" hidden="1"/>
    <cellStyle name="Followed Hyperlink" xfId="20420" builtinId="9" hidden="1"/>
    <cellStyle name="Followed Hyperlink" xfId="20422" builtinId="9" hidden="1"/>
    <cellStyle name="Followed Hyperlink" xfId="20424" builtinId="9" hidden="1"/>
    <cellStyle name="Followed Hyperlink" xfId="20426" builtinId="9" hidden="1"/>
    <cellStyle name="Followed Hyperlink" xfId="20428" builtinId="9" hidden="1"/>
    <cellStyle name="Followed Hyperlink" xfId="20430" builtinId="9" hidden="1"/>
    <cellStyle name="Followed Hyperlink" xfId="20432" builtinId="9" hidden="1"/>
    <cellStyle name="Followed Hyperlink" xfId="20434" builtinId="9" hidden="1"/>
    <cellStyle name="Followed Hyperlink" xfId="20436" builtinId="9" hidden="1"/>
    <cellStyle name="Followed Hyperlink" xfId="20438" builtinId="9" hidden="1"/>
    <cellStyle name="Followed Hyperlink" xfId="20440" builtinId="9" hidden="1"/>
    <cellStyle name="Followed Hyperlink" xfId="20442" builtinId="9" hidden="1"/>
    <cellStyle name="Followed Hyperlink" xfId="20444" builtinId="9" hidden="1"/>
    <cellStyle name="Followed Hyperlink" xfId="20446" builtinId="9" hidden="1"/>
    <cellStyle name="Followed Hyperlink" xfId="20448" builtinId="9" hidden="1"/>
    <cellStyle name="Followed Hyperlink" xfId="20450" builtinId="9" hidden="1"/>
    <cellStyle name="Followed Hyperlink" xfId="20452" builtinId="9" hidden="1"/>
    <cellStyle name="Followed Hyperlink" xfId="20454" builtinId="9" hidden="1"/>
    <cellStyle name="Followed Hyperlink" xfId="20456" builtinId="9" hidden="1"/>
    <cellStyle name="Followed Hyperlink" xfId="20458" builtinId="9" hidden="1"/>
    <cellStyle name="Followed Hyperlink" xfId="20460" builtinId="9" hidden="1"/>
    <cellStyle name="Followed Hyperlink" xfId="20462" builtinId="9" hidden="1"/>
    <cellStyle name="Followed Hyperlink" xfId="20464" builtinId="9" hidden="1"/>
    <cellStyle name="Followed Hyperlink" xfId="20466" builtinId="9" hidden="1"/>
    <cellStyle name="Followed Hyperlink" xfId="20468" builtinId="9" hidden="1"/>
    <cellStyle name="Followed Hyperlink" xfId="20470" builtinId="9" hidden="1"/>
    <cellStyle name="Followed Hyperlink" xfId="20472" builtinId="9" hidden="1"/>
    <cellStyle name="Followed Hyperlink" xfId="20474" builtinId="9" hidden="1"/>
    <cellStyle name="Followed Hyperlink" xfId="20476" builtinId="9" hidden="1"/>
    <cellStyle name="Followed Hyperlink" xfId="20478" builtinId="9" hidden="1"/>
    <cellStyle name="Followed Hyperlink" xfId="20480" builtinId="9" hidden="1"/>
    <cellStyle name="Followed Hyperlink" xfId="20482" builtinId="9" hidden="1"/>
    <cellStyle name="Followed Hyperlink" xfId="20484" builtinId="9" hidden="1"/>
    <cellStyle name="Followed Hyperlink" xfId="20486" builtinId="9" hidden="1"/>
    <cellStyle name="Followed Hyperlink" xfId="20488" builtinId="9" hidden="1"/>
    <cellStyle name="Followed Hyperlink" xfId="20490" builtinId="9" hidden="1"/>
    <cellStyle name="Followed Hyperlink" xfId="20492" builtinId="9" hidden="1"/>
    <cellStyle name="Followed Hyperlink" xfId="20494" builtinId="9" hidden="1"/>
    <cellStyle name="Followed Hyperlink" xfId="20496" builtinId="9" hidden="1"/>
    <cellStyle name="Followed Hyperlink" xfId="20498" builtinId="9" hidden="1"/>
    <cellStyle name="Followed Hyperlink" xfId="20500" builtinId="9" hidden="1"/>
    <cellStyle name="Followed Hyperlink" xfId="20502" builtinId="9" hidden="1"/>
    <cellStyle name="Followed Hyperlink" xfId="20504" builtinId="9" hidden="1"/>
    <cellStyle name="Followed Hyperlink" xfId="20506" builtinId="9" hidden="1"/>
    <cellStyle name="Followed Hyperlink" xfId="20508" builtinId="9" hidden="1"/>
    <cellStyle name="Followed Hyperlink" xfId="20510" builtinId="9" hidden="1"/>
    <cellStyle name="Followed Hyperlink" xfId="20512" builtinId="9" hidden="1"/>
    <cellStyle name="Followed Hyperlink" xfId="20514" builtinId="9" hidden="1"/>
    <cellStyle name="Followed Hyperlink" xfId="20516" builtinId="9" hidden="1"/>
    <cellStyle name="Followed Hyperlink" xfId="20518" builtinId="9" hidden="1"/>
    <cellStyle name="Followed Hyperlink" xfId="20520" builtinId="9" hidden="1"/>
    <cellStyle name="Followed Hyperlink" xfId="20522" builtinId="9" hidden="1"/>
    <cellStyle name="Followed Hyperlink" xfId="20524" builtinId="9" hidden="1"/>
    <cellStyle name="Followed Hyperlink" xfId="20526" builtinId="9" hidden="1"/>
    <cellStyle name="Followed Hyperlink" xfId="20528" builtinId="9" hidden="1"/>
    <cellStyle name="Followed Hyperlink" xfId="20530" builtinId="9" hidden="1"/>
    <cellStyle name="Followed Hyperlink" xfId="20532" builtinId="9" hidden="1"/>
    <cellStyle name="Followed Hyperlink" xfId="20534" builtinId="9" hidden="1"/>
    <cellStyle name="Followed Hyperlink" xfId="20536" builtinId="9" hidden="1"/>
    <cellStyle name="Followed Hyperlink" xfId="20538" builtinId="9" hidden="1"/>
    <cellStyle name="Followed Hyperlink" xfId="20540" builtinId="9" hidden="1"/>
    <cellStyle name="Followed Hyperlink" xfId="20542" builtinId="9" hidden="1"/>
    <cellStyle name="Followed Hyperlink" xfId="20544" builtinId="9" hidden="1"/>
    <cellStyle name="Followed Hyperlink" xfId="20546" builtinId="9" hidden="1"/>
    <cellStyle name="Followed Hyperlink" xfId="20548" builtinId="9" hidden="1"/>
    <cellStyle name="Followed Hyperlink" xfId="20550" builtinId="9" hidden="1"/>
    <cellStyle name="Followed Hyperlink" xfId="20552" builtinId="9" hidden="1"/>
    <cellStyle name="Followed Hyperlink" xfId="20554" builtinId="9" hidden="1"/>
    <cellStyle name="Followed Hyperlink" xfId="20556" builtinId="9" hidden="1"/>
    <cellStyle name="Followed Hyperlink" xfId="20558" builtinId="9" hidden="1"/>
    <cellStyle name="Followed Hyperlink" xfId="20560" builtinId="9" hidden="1"/>
    <cellStyle name="Followed Hyperlink" xfId="20562" builtinId="9" hidden="1"/>
    <cellStyle name="Followed Hyperlink" xfId="20564" builtinId="9" hidden="1"/>
    <cellStyle name="Followed Hyperlink" xfId="20566" builtinId="9" hidden="1"/>
    <cellStyle name="Followed Hyperlink" xfId="20568" builtinId="9" hidden="1"/>
    <cellStyle name="Followed Hyperlink" xfId="20570" builtinId="9" hidden="1"/>
    <cellStyle name="Followed Hyperlink" xfId="20572" builtinId="9" hidden="1"/>
    <cellStyle name="Followed Hyperlink" xfId="20574" builtinId="9" hidden="1"/>
    <cellStyle name="Followed Hyperlink" xfId="20576" builtinId="9" hidden="1"/>
    <cellStyle name="Followed Hyperlink" xfId="20578" builtinId="9" hidden="1"/>
    <cellStyle name="Followed Hyperlink" xfId="20580" builtinId="9" hidden="1"/>
    <cellStyle name="Followed Hyperlink" xfId="20582" builtinId="9" hidden="1"/>
    <cellStyle name="Followed Hyperlink" xfId="20584" builtinId="9" hidden="1"/>
    <cellStyle name="Followed Hyperlink" xfId="20586" builtinId="9" hidden="1"/>
    <cellStyle name="Followed Hyperlink" xfId="20588" builtinId="9" hidden="1"/>
    <cellStyle name="Followed Hyperlink" xfId="20590" builtinId="9" hidden="1"/>
    <cellStyle name="Followed Hyperlink" xfId="20592" builtinId="9" hidden="1"/>
    <cellStyle name="Followed Hyperlink" xfId="20594" builtinId="9" hidden="1"/>
    <cellStyle name="Followed Hyperlink" xfId="20596" builtinId="9" hidden="1"/>
    <cellStyle name="Followed Hyperlink" xfId="20598" builtinId="9" hidden="1"/>
    <cellStyle name="Followed Hyperlink" xfId="20600" builtinId="9" hidden="1"/>
    <cellStyle name="Followed Hyperlink" xfId="20602" builtinId="9" hidden="1"/>
    <cellStyle name="Followed Hyperlink" xfId="20604" builtinId="9" hidden="1"/>
    <cellStyle name="Followed Hyperlink" xfId="20606" builtinId="9" hidden="1"/>
    <cellStyle name="Followed Hyperlink" xfId="20608" builtinId="9" hidden="1"/>
    <cellStyle name="Followed Hyperlink" xfId="20610" builtinId="9" hidden="1"/>
    <cellStyle name="Followed Hyperlink" xfId="20612" builtinId="9" hidden="1"/>
    <cellStyle name="Followed Hyperlink" xfId="20614" builtinId="9" hidden="1"/>
    <cellStyle name="Followed Hyperlink" xfId="20616" builtinId="9" hidden="1"/>
    <cellStyle name="Followed Hyperlink" xfId="20618" builtinId="9" hidden="1"/>
    <cellStyle name="Followed Hyperlink" xfId="20620" builtinId="9" hidden="1"/>
    <cellStyle name="Followed Hyperlink" xfId="20622" builtinId="9" hidden="1"/>
    <cellStyle name="Followed Hyperlink" xfId="20624" builtinId="9" hidden="1"/>
    <cellStyle name="Followed Hyperlink" xfId="20626" builtinId="9" hidden="1"/>
    <cellStyle name="Followed Hyperlink" xfId="20628" builtinId="9" hidden="1"/>
    <cellStyle name="Followed Hyperlink" xfId="20630" builtinId="9" hidden="1"/>
    <cellStyle name="Followed Hyperlink" xfId="20632" builtinId="9" hidden="1"/>
    <cellStyle name="Followed Hyperlink" xfId="20634" builtinId="9" hidden="1"/>
    <cellStyle name="Followed Hyperlink" xfId="20636" builtinId="9" hidden="1"/>
    <cellStyle name="Followed Hyperlink" xfId="20638" builtinId="9" hidden="1"/>
    <cellStyle name="Followed Hyperlink" xfId="20640" builtinId="9" hidden="1"/>
    <cellStyle name="Followed Hyperlink" xfId="20642" builtinId="9" hidden="1"/>
    <cellStyle name="Followed Hyperlink" xfId="20644" builtinId="9" hidden="1"/>
    <cellStyle name="Followed Hyperlink" xfId="20646" builtinId="9" hidden="1"/>
    <cellStyle name="Followed Hyperlink" xfId="20648" builtinId="9" hidden="1"/>
    <cellStyle name="Followed Hyperlink" xfId="20650" builtinId="9" hidden="1"/>
    <cellStyle name="Followed Hyperlink" xfId="20652" builtinId="9" hidden="1"/>
    <cellStyle name="Followed Hyperlink" xfId="20654" builtinId="9" hidden="1"/>
    <cellStyle name="Followed Hyperlink" xfId="20656" builtinId="9" hidden="1"/>
    <cellStyle name="Followed Hyperlink" xfId="20658" builtinId="9" hidden="1"/>
    <cellStyle name="Followed Hyperlink" xfId="20660" builtinId="9" hidden="1"/>
    <cellStyle name="Followed Hyperlink" xfId="20662" builtinId="9" hidden="1"/>
    <cellStyle name="Followed Hyperlink" xfId="20664" builtinId="9" hidden="1"/>
    <cellStyle name="Followed Hyperlink" xfId="20666" builtinId="9" hidden="1"/>
    <cellStyle name="Followed Hyperlink" xfId="20668" builtinId="9" hidden="1"/>
    <cellStyle name="Followed Hyperlink" xfId="20670" builtinId="9" hidden="1"/>
    <cellStyle name="Followed Hyperlink" xfId="20672" builtinId="9" hidden="1"/>
    <cellStyle name="Followed Hyperlink" xfId="20674" builtinId="9" hidden="1"/>
    <cellStyle name="Followed Hyperlink" xfId="20676" builtinId="9" hidden="1"/>
    <cellStyle name="Followed Hyperlink" xfId="20678" builtinId="9" hidden="1"/>
    <cellStyle name="Followed Hyperlink" xfId="20680" builtinId="9" hidden="1"/>
    <cellStyle name="Followed Hyperlink" xfId="20682" builtinId="9" hidden="1"/>
    <cellStyle name="Followed Hyperlink" xfId="20684" builtinId="9" hidden="1"/>
    <cellStyle name="Followed Hyperlink" xfId="20686" builtinId="9" hidden="1"/>
    <cellStyle name="Followed Hyperlink" xfId="20688" builtinId="9" hidden="1"/>
    <cellStyle name="Followed Hyperlink" xfId="20690" builtinId="9" hidden="1"/>
    <cellStyle name="Followed Hyperlink" xfId="20692" builtinId="9" hidden="1"/>
    <cellStyle name="Followed Hyperlink" xfId="20694" builtinId="9" hidden="1"/>
    <cellStyle name="Followed Hyperlink" xfId="20696" builtinId="9" hidden="1"/>
    <cellStyle name="Followed Hyperlink" xfId="20698" builtinId="9" hidden="1"/>
    <cellStyle name="Followed Hyperlink" xfId="20700" builtinId="9" hidden="1"/>
    <cellStyle name="Followed Hyperlink" xfId="20702" builtinId="9" hidden="1"/>
    <cellStyle name="Followed Hyperlink" xfId="20704" builtinId="9" hidden="1"/>
    <cellStyle name="Followed Hyperlink" xfId="20706" builtinId="9" hidden="1"/>
    <cellStyle name="Followed Hyperlink" xfId="20708" builtinId="9" hidden="1"/>
    <cellStyle name="Followed Hyperlink" xfId="20710" builtinId="9" hidden="1"/>
    <cellStyle name="Followed Hyperlink" xfId="20712" builtinId="9" hidden="1"/>
    <cellStyle name="Followed Hyperlink" xfId="20714" builtinId="9" hidden="1"/>
    <cellStyle name="Followed Hyperlink" xfId="20716" builtinId="9" hidden="1"/>
    <cellStyle name="Followed Hyperlink" xfId="20718" builtinId="9" hidden="1"/>
    <cellStyle name="Followed Hyperlink" xfId="20720" builtinId="9" hidden="1"/>
    <cellStyle name="Followed Hyperlink" xfId="20722" builtinId="9" hidden="1"/>
    <cellStyle name="Followed Hyperlink" xfId="20724" builtinId="9" hidden="1"/>
    <cellStyle name="Followed Hyperlink" xfId="20726" builtinId="9" hidden="1"/>
    <cellStyle name="Followed Hyperlink" xfId="20728" builtinId="9" hidden="1"/>
    <cellStyle name="Followed Hyperlink" xfId="20730" builtinId="9" hidden="1"/>
    <cellStyle name="Followed Hyperlink" xfId="20732" builtinId="9" hidden="1"/>
    <cellStyle name="Followed Hyperlink" xfId="20734" builtinId="9" hidden="1"/>
    <cellStyle name="Followed Hyperlink" xfId="20736" builtinId="9" hidden="1"/>
    <cellStyle name="Followed Hyperlink" xfId="20738" builtinId="9" hidden="1"/>
    <cellStyle name="Followed Hyperlink" xfId="20740" builtinId="9" hidden="1"/>
    <cellStyle name="Followed Hyperlink" xfId="20742" builtinId="9" hidden="1"/>
    <cellStyle name="Followed Hyperlink" xfId="20744" builtinId="9" hidden="1"/>
    <cellStyle name="Followed Hyperlink" xfId="20746" builtinId="9" hidden="1"/>
    <cellStyle name="Followed Hyperlink" xfId="20748" builtinId="9" hidden="1"/>
    <cellStyle name="Followed Hyperlink" xfId="20750" builtinId="9" hidden="1"/>
    <cellStyle name="Followed Hyperlink" xfId="20752" builtinId="9" hidden="1"/>
    <cellStyle name="Followed Hyperlink" xfId="20754" builtinId="9" hidden="1"/>
    <cellStyle name="Followed Hyperlink" xfId="20756" builtinId="9" hidden="1"/>
    <cellStyle name="Followed Hyperlink" xfId="20758" builtinId="9" hidden="1"/>
    <cellStyle name="Followed Hyperlink" xfId="20760" builtinId="9" hidden="1"/>
    <cellStyle name="Followed Hyperlink" xfId="20762" builtinId="9" hidden="1"/>
    <cellStyle name="Followed Hyperlink" xfId="20764" builtinId="9" hidden="1"/>
    <cellStyle name="Followed Hyperlink" xfId="20766" builtinId="9" hidden="1"/>
    <cellStyle name="Followed Hyperlink" xfId="20768" builtinId="9" hidden="1"/>
    <cellStyle name="Followed Hyperlink" xfId="20770" builtinId="9" hidden="1"/>
    <cellStyle name="Followed Hyperlink" xfId="20772" builtinId="9" hidden="1"/>
    <cellStyle name="Followed Hyperlink" xfId="20774" builtinId="9" hidden="1"/>
    <cellStyle name="Followed Hyperlink" xfId="20776" builtinId="9" hidden="1"/>
    <cellStyle name="Followed Hyperlink" xfId="20778" builtinId="9" hidden="1"/>
    <cellStyle name="Followed Hyperlink" xfId="20780" builtinId="9" hidden="1"/>
    <cellStyle name="Followed Hyperlink" xfId="20782" builtinId="9" hidden="1"/>
    <cellStyle name="Followed Hyperlink" xfId="20784" builtinId="9" hidden="1"/>
    <cellStyle name="Followed Hyperlink" xfId="20786" builtinId="9" hidden="1"/>
    <cellStyle name="Followed Hyperlink" xfId="20788" builtinId="9" hidden="1"/>
    <cellStyle name="Followed Hyperlink" xfId="20790" builtinId="9" hidden="1"/>
    <cellStyle name="Followed Hyperlink" xfId="20792" builtinId="9" hidden="1"/>
    <cellStyle name="Followed Hyperlink" xfId="20794" builtinId="9" hidden="1"/>
    <cellStyle name="Followed Hyperlink" xfId="20796" builtinId="9" hidden="1"/>
    <cellStyle name="Followed Hyperlink" xfId="20798" builtinId="9" hidden="1"/>
    <cellStyle name="Followed Hyperlink" xfId="20800" builtinId="9" hidden="1"/>
    <cellStyle name="Followed Hyperlink" xfId="20802" builtinId="9" hidden="1"/>
    <cellStyle name="Followed Hyperlink" xfId="20804" builtinId="9" hidden="1"/>
    <cellStyle name="Followed Hyperlink" xfId="20806" builtinId="9" hidden="1"/>
    <cellStyle name="Followed Hyperlink" xfId="20808" builtinId="9" hidden="1"/>
    <cellStyle name="Followed Hyperlink" xfId="20810" builtinId="9" hidden="1"/>
    <cellStyle name="Followed Hyperlink" xfId="20812" builtinId="9" hidden="1"/>
    <cellStyle name="Followed Hyperlink" xfId="20814" builtinId="9" hidden="1"/>
    <cellStyle name="Followed Hyperlink" xfId="20816" builtinId="9" hidden="1"/>
    <cellStyle name="Followed Hyperlink" xfId="20818" builtinId="9" hidden="1"/>
    <cellStyle name="Followed Hyperlink" xfId="20820" builtinId="9" hidden="1"/>
    <cellStyle name="Followed Hyperlink" xfId="20822" builtinId="9" hidden="1"/>
    <cellStyle name="Followed Hyperlink" xfId="20824" builtinId="9" hidden="1"/>
    <cellStyle name="Followed Hyperlink" xfId="20826" builtinId="9" hidden="1"/>
    <cellStyle name="Followed Hyperlink" xfId="20828" builtinId="9" hidden="1"/>
    <cellStyle name="Followed Hyperlink" xfId="20830" builtinId="9" hidden="1"/>
    <cellStyle name="Followed Hyperlink" xfId="20832" builtinId="9" hidden="1"/>
    <cellStyle name="Followed Hyperlink" xfId="20834" builtinId="9" hidden="1"/>
    <cellStyle name="Followed Hyperlink" xfId="20836" builtinId="9" hidden="1"/>
    <cellStyle name="Followed Hyperlink" xfId="20838" builtinId="9" hidden="1"/>
    <cellStyle name="Followed Hyperlink" xfId="20840" builtinId="9" hidden="1"/>
    <cellStyle name="Followed Hyperlink" xfId="20842" builtinId="9" hidden="1"/>
    <cellStyle name="Followed Hyperlink" xfId="20844" builtinId="9" hidden="1"/>
    <cellStyle name="Followed Hyperlink" xfId="20846" builtinId="9" hidden="1"/>
    <cellStyle name="Followed Hyperlink" xfId="20848" builtinId="9" hidden="1"/>
    <cellStyle name="Followed Hyperlink" xfId="20850" builtinId="9" hidden="1"/>
    <cellStyle name="Followed Hyperlink" xfId="20852" builtinId="9" hidden="1"/>
    <cellStyle name="Followed Hyperlink" xfId="20854" builtinId="9" hidden="1"/>
    <cellStyle name="Followed Hyperlink" xfId="20856" builtinId="9" hidden="1"/>
    <cellStyle name="Followed Hyperlink" xfId="20858" builtinId="9" hidden="1"/>
    <cellStyle name="Followed Hyperlink" xfId="20860" builtinId="9" hidden="1"/>
    <cellStyle name="Followed Hyperlink" xfId="20862" builtinId="9" hidden="1"/>
    <cellStyle name="Followed Hyperlink" xfId="20864" builtinId="9" hidden="1"/>
    <cellStyle name="Followed Hyperlink" xfId="20866" builtinId="9" hidden="1"/>
    <cellStyle name="Followed Hyperlink" xfId="20868" builtinId="9" hidden="1"/>
    <cellStyle name="Followed Hyperlink" xfId="20870" builtinId="9" hidden="1"/>
    <cellStyle name="Followed Hyperlink" xfId="20872" builtinId="9" hidden="1"/>
    <cellStyle name="Followed Hyperlink" xfId="20874" builtinId="9" hidden="1"/>
    <cellStyle name="Followed Hyperlink" xfId="20876" builtinId="9" hidden="1"/>
    <cellStyle name="Followed Hyperlink" xfId="20878" builtinId="9" hidden="1"/>
    <cellStyle name="Followed Hyperlink" xfId="20880" builtinId="9" hidden="1"/>
    <cellStyle name="Followed Hyperlink" xfId="20882" builtinId="9" hidden="1"/>
    <cellStyle name="Followed Hyperlink" xfId="20884" builtinId="9" hidden="1"/>
    <cellStyle name="Followed Hyperlink" xfId="20886" builtinId="9" hidden="1"/>
    <cellStyle name="Followed Hyperlink" xfId="20888" builtinId="9" hidden="1"/>
    <cellStyle name="Followed Hyperlink" xfId="20890" builtinId="9" hidden="1"/>
    <cellStyle name="Followed Hyperlink" xfId="20892" builtinId="9" hidden="1"/>
    <cellStyle name="Followed Hyperlink" xfId="20894" builtinId="9" hidden="1"/>
    <cellStyle name="Followed Hyperlink" xfId="20896" builtinId="9" hidden="1"/>
    <cellStyle name="Followed Hyperlink" xfId="20898" builtinId="9" hidden="1"/>
    <cellStyle name="Followed Hyperlink" xfId="20900" builtinId="9" hidden="1"/>
    <cellStyle name="Followed Hyperlink" xfId="20902" builtinId="9" hidden="1"/>
    <cellStyle name="Followed Hyperlink" xfId="20904" builtinId="9" hidden="1"/>
    <cellStyle name="Followed Hyperlink" xfId="20906" builtinId="9" hidden="1"/>
    <cellStyle name="Followed Hyperlink" xfId="20908" builtinId="9" hidden="1"/>
    <cellStyle name="Followed Hyperlink" xfId="20910" builtinId="9" hidden="1"/>
    <cellStyle name="Followed Hyperlink" xfId="20912" builtinId="9" hidden="1"/>
    <cellStyle name="Followed Hyperlink" xfId="20914" builtinId="9" hidden="1"/>
    <cellStyle name="Followed Hyperlink" xfId="20916" builtinId="9" hidden="1"/>
    <cellStyle name="Followed Hyperlink" xfId="20918" builtinId="9" hidden="1"/>
    <cellStyle name="Followed Hyperlink" xfId="20920" builtinId="9" hidden="1"/>
    <cellStyle name="Followed Hyperlink" xfId="20922" builtinId="9" hidden="1"/>
    <cellStyle name="Followed Hyperlink" xfId="20924" builtinId="9" hidden="1"/>
    <cellStyle name="Followed Hyperlink" xfId="20926" builtinId="9" hidden="1"/>
    <cellStyle name="Followed Hyperlink" xfId="20928" builtinId="9" hidden="1"/>
    <cellStyle name="Followed Hyperlink" xfId="20930" builtinId="9" hidden="1"/>
    <cellStyle name="Followed Hyperlink" xfId="20932" builtinId="9" hidden="1"/>
    <cellStyle name="Followed Hyperlink" xfId="20934" builtinId="9" hidden="1"/>
    <cellStyle name="Followed Hyperlink" xfId="20936" builtinId="9" hidden="1"/>
    <cellStyle name="Followed Hyperlink" xfId="20938" builtinId="9" hidden="1"/>
    <cellStyle name="Followed Hyperlink" xfId="20940" builtinId="9" hidden="1"/>
    <cellStyle name="Followed Hyperlink" xfId="20942" builtinId="9" hidden="1"/>
    <cellStyle name="Followed Hyperlink" xfId="20944" builtinId="9" hidden="1"/>
    <cellStyle name="Followed Hyperlink" xfId="20946" builtinId="9" hidden="1"/>
    <cellStyle name="Followed Hyperlink" xfId="20948" builtinId="9" hidden="1"/>
    <cellStyle name="Followed Hyperlink" xfId="20950" builtinId="9" hidden="1"/>
    <cellStyle name="Followed Hyperlink" xfId="20952" builtinId="9" hidden="1"/>
    <cellStyle name="Followed Hyperlink" xfId="20954" builtinId="9" hidden="1"/>
    <cellStyle name="Followed Hyperlink" xfId="20956" builtinId="9" hidden="1"/>
    <cellStyle name="Followed Hyperlink" xfId="20958" builtinId="9" hidden="1"/>
    <cellStyle name="Followed Hyperlink" xfId="20960" builtinId="9" hidden="1"/>
    <cellStyle name="Followed Hyperlink" xfId="20962" builtinId="9" hidden="1"/>
    <cellStyle name="Followed Hyperlink" xfId="20964" builtinId="9" hidden="1"/>
    <cellStyle name="Followed Hyperlink" xfId="20966" builtinId="9" hidden="1"/>
    <cellStyle name="Followed Hyperlink" xfId="20968" builtinId="9" hidden="1"/>
    <cellStyle name="Followed Hyperlink" xfId="20970" builtinId="9" hidden="1"/>
    <cellStyle name="Followed Hyperlink" xfId="20972" builtinId="9" hidden="1"/>
    <cellStyle name="Followed Hyperlink" xfId="20974" builtinId="9" hidden="1"/>
    <cellStyle name="Followed Hyperlink" xfId="20976" builtinId="9" hidden="1"/>
    <cellStyle name="Followed Hyperlink" xfId="20978" builtinId="9" hidden="1"/>
    <cellStyle name="Followed Hyperlink" xfId="20980" builtinId="9" hidden="1"/>
    <cellStyle name="Followed Hyperlink" xfId="20982" builtinId="9" hidden="1"/>
    <cellStyle name="Followed Hyperlink" xfId="20984" builtinId="9" hidden="1"/>
    <cellStyle name="Followed Hyperlink" xfId="20986" builtinId="9" hidden="1"/>
    <cellStyle name="Followed Hyperlink" xfId="20988" builtinId="9" hidden="1"/>
    <cellStyle name="Followed Hyperlink" xfId="20990" builtinId="9" hidden="1"/>
    <cellStyle name="Followed Hyperlink" xfId="20992" builtinId="9" hidden="1"/>
    <cellStyle name="Followed Hyperlink" xfId="20994" builtinId="9" hidden="1"/>
    <cellStyle name="Followed Hyperlink" xfId="20996" builtinId="9" hidden="1"/>
    <cellStyle name="Followed Hyperlink" xfId="20998" builtinId="9" hidden="1"/>
    <cellStyle name="Followed Hyperlink" xfId="21000" builtinId="9" hidden="1"/>
    <cellStyle name="Followed Hyperlink" xfId="21002" builtinId="9" hidden="1"/>
    <cellStyle name="Followed Hyperlink" xfId="21004" builtinId="9" hidden="1"/>
    <cellStyle name="Followed Hyperlink" xfId="21006" builtinId="9" hidden="1"/>
    <cellStyle name="Followed Hyperlink" xfId="21008" builtinId="9" hidden="1"/>
    <cellStyle name="Followed Hyperlink" xfId="21010" builtinId="9" hidden="1"/>
    <cellStyle name="Followed Hyperlink" xfId="21012" builtinId="9" hidden="1"/>
    <cellStyle name="Followed Hyperlink" xfId="21014" builtinId="9" hidden="1"/>
    <cellStyle name="Followed Hyperlink" xfId="21016" builtinId="9" hidden="1"/>
    <cellStyle name="Followed Hyperlink" xfId="21018" builtinId="9" hidden="1"/>
    <cellStyle name="Followed Hyperlink" xfId="21020" builtinId="9" hidden="1"/>
    <cellStyle name="Followed Hyperlink" xfId="21022" builtinId="9" hidden="1"/>
    <cellStyle name="Followed Hyperlink" xfId="21024" builtinId="9" hidden="1"/>
    <cellStyle name="Followed Hyperlink" xfId="21026" builtinId="9" hidden="1"/>
    <cellStyle name="Followed Hyperlink" xfId="21028" builtinId="9" hidden="1"/>
    <cellStyle name="Followed Hyperlink" xfId="21030" builtinId="9" hidden="1"/>
    <cellStyle name="Followed Hyperlink" xfId="21032" builtinId="9" hidden="1"/>
    <cellStyle name="Followed Hyperlink" xfId="21034" builtinId="9" hidden="1"/>
    <cellStyle name="Followed Hyperlink" xfId="21036" builtinId="9" hidden="1"/>
    <cellStyle name="Followed Hyperlink" xfId="21038" builtinId="9" hidden="1"/>
    <cellStyle name="Followed Hyperlink" xfId="21040" builtinId="9" hidden="1"/>
    <cellStyle name="Followed Hyperlink" xfId="21042" builtinId="9" hidden="1"/>
    <cellStyle name="Followed Hyperlink" xfId="21044" builtinId="9" hidden="1"/>
    <cellStyle name="Followed Hyperlink" xfId="21046" builtinId="9" hidden="1"/>
    <cellStyle name="Followed Hyperlink" xfId="21048" builtinId="9" hidden="1"/>
    <cellStyle name="Followed Hyperlink" xfId="21050" builtinId="9" hidden="1"/>
    <cellStyle name="Followed Hyperlink" xfId="21052" builtinId="9" hidden="1"/>
    <cellStyle name="Followed Hyperlink" xfId="21054" builtinId="9" hidden="1"/>
    <cellStyle name="Followed Hyperlink" xfId="21056" builtinId="9" hidden="1"/>
    <cellStyle name="Followed Hyperlink" xfId="21058" builtinId="9" hidden="1"/>
    <cellStyle name="Followed Hyperlink" xfId="21060" builtinId="9" hidden="1"/>
    <cellStyle name="Followed Hyperlink" xfId="21062" builtinId="9" hidden="1"/>
    <cellStyle name="Followed Hyperlink" xfId="21064" builtinId="9" hidden="1"/>
    <cellStyle name="Followed Hyperlink" xfId="21066" builtinId="9" hidden="1"/>
    <cellStyle name="Followed Hyperlink" xfId="21068" builtinId="9" hidden="1"/>
    <cellStyle name="Followed Hyperlink" xfId="21070" builtinId="9" hidden="1"/>
    <cellStyle name="Followed Hyperlink" xfId="21072" builtinId="9" hidden="1"/>
    <cellStyle name="Followed Hyperlink" xfId="21074" builtinId="9" hidden="1"/>
    <cellStyle name="Followed Hyperlink" xfId="21076" builtinId="9" hidden="1"/>
    <cellStyle name="Followed Hyperlink" xfId="21078" builtinId="9" hidden="1"/>
    <cellStyle name="Followed Hyperlink" xfId="21080" builtinId="9" hidden="1"/>
    <cellStyle name="Followed Hyperlink" xfId="21082" builtinId="9" hidden="1"/>
    <cellStyle name="Followed Hyperlink" xfId="21084" builtinId="9" hidden="1"/>
    <cellStyle name="Followed Hyperlink" xfId="21086" builtinId="9" hidden="1"/>
    <cellStyle name="Followed Hyperlink" xfId="21088" builtinId="9" hidden="1"/>
    <cellStyle name="Followed Hyperlink" xfId="21090" builtinId="9" hidden="1"/>
    <cellStyle name="Followed Hyperlink" xfId="21092" builtinId="9" hidden="1"/>
    <cellStyle name="Followed Hyperlink" xfId="21094" builtinId="9" hidden="1"/>
    <cellStyle name="Followed Hyperlink" xfId="21096" builtinId="9" hidden="1"/>
    <cellStyle name="Followed Hyperlink" xfId="21098" builtinId="9" hidden="1"/>
    <cellStyle name="Followed Hyperlink" xfId="21100" builtinId="9" hidden="1"/>
    <cellStyle name="Followed Hyperlink" xfId="21102" builtinId="9" hidden="1"/>
    <cellStyle name="Followed Hyperlink" xfId="21104" builtinId="9" hidden="1"/>
    <cellStyle name="Followed Hyperlink" xfId="21106" builtinId="9" hidden="1"/>
    <cellStyle name="Followed Hyperlink" xfId="21108" builtinId="9" hidden="1"/>
    <cellStyle name="Followed Hyperlink" xfId="21110" builtinId="9" hidden="1"/>
    <cellStyle name="Followed Hyperlink" xfId="21112" builtinId="9" hidden="1"/>
    <cellStyle name="Followed Hyperlink" xfId="21114" builtinId="9" hidden="1"/>
    <cellStyle name="Followed Hyperlink" xfId="21116" builtinId="9" hidden="1"/>
    <cellStyle name="Followed Hyperlink" xfId="21118" builtinId="9" hidden="1"/>
    <cellStyle name="Followed Hyperlink" xfId="21120" builtinId="9" hidden="1"/>
    <cellStyle name="Followed Hyperlink" xfId="21122" builtinId="9" hidden="1"/>
    <cellStyle name="Followed Hyperlink" xfId="21124" builtinId="9" hidden="1"/>
    <cellStyle name="Followed Hyperlink" xfId="21126" builtinId="9" hidden="1"/>
    <cellStyle name="Followed Hyperlink" xfId="21128" builtinId="9" hidden="1"/>
    <cellStyle name="Followed Hyperlink" xfId="21130" builtinId="9" hidden="1"/>
    <cellStyle name="Followed Hyperlink" xfId="21132" builtinId="9" hidden="1"/>
    <cellStyle name="Followed Hyperlink" xfId="21134" builtinId="9" hidden="1"/>
    <cellStyle name="Followed Hyperlink" xfId="21136" builtinId="9" hidden="1"/>
    <cellStyle name="Followed Hyperlink" xfId="21138" builtinId="9" hidden="1"/>
    <cellStyle name="Followed Hyperlink" xfId="21140" builtinId="9" hidden="1"/>
    <cellStyle name="Followed Hyperlink" xfId="21142" builtinId="9" hidden="1"/>
    <cellStyle name="Followed Hyperlink" xfId="21144" builtinId="9" hidden="1"/>
    <cellStyle name="Followed Hyperlink" xfId="21146" builtinId="9" hidden="1"/>
    <cellStyle name="Followed Hyperlink" xfId="21148" builtinId="9" hidden="1"/>
    <cellStyle name="Followed Hyperlink" xfId="21150" builtinId="9" hidden="1"/>
    <cellStyle name="Followed Hyperlink" xfId="21152" builtinId="9" hidden="1"/>
    <cellStyle name="Followed Hyperlink" xfId="21154" builtinId="9" hidden="1"/>
    <cellStyle name="Followed Hyperlink" xfId="21156" builtinId="9" hidden="1"/>
    <cellStyle name="Followed Hyperlink" xfId="21158" builtinId="9" hidden="1"/>
    <cellStyle name="Followed Hyperlink" xfId="21160" builtinId="9" hidden="1"/>
    <cellStyle name="Followed Hyperlink" xfId="21162" builtinId="9" hidden="1"/>
    <cellStyle name="Followed Hyperlink" xfId="21164" builtinId="9" hidden="1"/>
    <cellStyle name="Followed Hyperlink" xfId="21166" builtinId="9" hidden="1"/>
    <cellStyle name="Followed Hyperlink" xfId="21168" builtinId="9" hidden="1"/>
    <cellStyle name="Followed Hyperlink" xfId="21170" builtinId="9" hidden="1"/>
    <cellStyle name="Followed Hyperlink" xfId="21172" builtinId="9" hidden="1"/>
    <cellStyle name="Followed Hyperlink" xfId="21174" builtinId="9" hidden="1"/>
    <cellStyle name="Followed Hyperlink" xfId="21176" builtinId="9" hidden="1"/>
    <cellStyle name="Followed Hyperlink" xfId="21178" builtinId="9" hidden="1"/>
    <cellStyle name="Followed Hyperlink" xfId="21180" builtinId="9" hidden="1"/>
    <cellStyle name="Followed Hyperlink" xfId="21182" builtinId="9" hidden="1"/>
    <cellStyle name="Followed Hyperlink" xfId="21184" builtinId="9" hidden="1"/>
    <cellStyle name="Followed Hyperlink" xfId="21186" builtinId="9" hidden="1"/>
    <cellStyle name="Followed Hyperlink" xfId="21188" builtinId="9" hidden="1"/>
    <cellStyle name="Followed Hyperlink" xfId="21190" builtinId="9" hidden="1"/>
    <cellStyle name="Followed Hyperlink" xfId="21192" builtinId="9" hidden="1"/>
    <cellStyle name="Followed Hyperlink" xfId="21194" builtinId="9" hidden="1"/>
    <cellStyle name="Followed Hyperlink" xfId="21196" builtinId="9" hidden="1"/>
    <cellStyle name="Followed Hyperlink" xfId="21198" builtinId="9" hidden="1"/>
    <cellStyle name="Followed Hyperlink" xfId="21200" builtinId="9" hidden="1"/>
    <cellStyle name="Followed Hyperlink" xfId="21202" builtinId="9" hidden="1"/>
    <cellStyle name="Followed Hyperlink" xfId="21204" builtinId="9" hidden="1"/>
    <cellStyle name="Followed Hyperlink" xfId="21206" builtinId="9" hidden="1"/>
    <cellStyle name="Followed Hyperlink" xfId="21208" builtinId="9" hidden="1"/>
    <cellStyle name="Followed Hyperlink" xfId="21210" builtinId="9" hidden="1"/>
    <cellStyle name="Followed Hyperlink" xfId="21212" builtinId="9" hidden="1"/>
    <cellStyle name="Followed Hyperlink" xfId="21214" builtinId="9" hidden="1"/>
    <cellStyle name="Followed Hyperlink" xfId="21216" builtinId="9" hidden="1"/>
    <cellStyle name="Followed Hyperlink" xfId="21218" builtinId="9" hidden="1"/>
    <cellStyle name="Followed Hyperlink" xfId="21220" builtinId="9" hidden="1"/>
    <cellStyle name="Followed Hyperlink" xfId="21222" builtinId="9" hidden="1"/>
    <cellStyle name="Followed Hyperlink" xfId="21224" builtinId="9" hidden="1"/>
    <cellStyle name="Followed Hyperlink" xfId="21226" builtinId="9" hidden="1"/>
    <cellStyle name="Followed Hyperlink" xfId="21228" builtinId="9" hidden="1"/>
    <cellStyle name="Followed Hyperlink" xfId="21230" builtinId="9" hidden="1"/>
    <cellStyle name="Followed Hyperlink" xfId="21232" builtinId="9" hidden="1"/>
    <cellStyle name="Followed Hyperlink" xfId="21234" builtinId="9" hidden="1"/>
    <cellStyle name="Followed Hyperlink" xfId="21236" builtinId="9" hidden="1"/>
    <cellStyle name="Followed Hyperlink" xfId="21238" builtinId="9" hidden="1"/>
    <cellStyle name="Followed Hyperlink" xfId="21240" builtinId="9" hidden="1"/>
    <cellStyle name="Followed Hyperlink" xfId="21242" builtinId="9" hidden="1"/>
    <cellStyle name="Followed Hyperlink" xfId="21244" builtinId="9" hidden="1"/>
    <cellStyle name="Followed Hyperlink" xfId="21246" builtinId="9" hidden="1"/>
    <cellStyle name="Followed Hyperlink" xfId="21248" builtinId="9" hidden="1"/>
    <cellStyle name="Followed Hyperlink" xfId="21250" builtinId="9" hidden="1"/>
    <cellStyle name="Followed Hyperlink" xfId="21252" builtinId="9" hidden="1"/>
    <cellStyle name="Followed Hyperlink" xfId="21254" builtinId="9" hidden="1"/>
    <cellStyle name="Followed Hyperlink" xfId="21256" builtinId="9" hidden="1"/>
    <cellStyle name="Followed Hyperlink" xfId="21258" builtinId="9" hidden="1"/>
    <cellStyle name="Followed Hyperlink" xfId="21260" builtinId="9" hidden="1"/>
    <cellStyle name="Followed Hyperlink" xfId="21262" builtinId="9" hidden="1"/>
    <cellStyle name="Followed Hyperlink" xfId="21264" builtinId="9" hidden="1"/>
    <cellStyle name="Followed Hyperlink" xfId="21266" builtinId="9" hidden="1"/>
    <cellStyle name="Followed Hyperlink" xfId="21268" builtinId="9" hidden="1"/>
    <cellStyle name="Followed Hyperlink" xfId="21270" builtinId="9" hidden="1"/>
    <cellStyle name="Followed Hyperlink" xfId="21272" builtinId="9" hidden="1"/>
    <cellStyle name="Followed Hyperlink" xfId="21274" builtinId="9" hidden="1"/>
    <cellStyle name="Followed Hyperlink" xfId="21276" builtinId="9" hidden="1"/>
    <cellStyle name="Followed Hyperlink" xfId="21278" builtinId="9" hidden="1"/>
    <cellStyle name="Followed Hyperlink" xfId="21280" builtinId="9" hidden="1"/>
    <cellStyle name="Followed Hyperlink" xfId="21282" builtinId="9" hidden="1"/>
    <cellStyle name="Followed Hyperlink" xfId="21284" builtinId="9" hidden="1"/>
    <cellStyle name="Followed Hyperlink" xfId="21286" builtinId="9" hidden="1"/>
    <cellStyle name="Followed Hyperlink" xfId="21288" builtinId="9" hidden="1"/>
    <cellStyle name="Followed Hyperlink" xfId="21290" builtinId="9" hidden="1"/>
    <cellStyle name="Followed Hyperlink" xfId="21292" builtinId="9" hidden="1"/>
    <cellStyle name="Followed Hyperlink" xfId="21294" builtinId="9" hidden="1"/>
    <cellStyle name="Followed Hyperlink" xfId="21296" builtinId="9" hidden="1"/>
    <cellStyle name="Followed Hyperlink" xfId="21298" builtinId="9" hidden="1"/>
    <cellStyle name="Followed Hyperlink" xfId="21300" builtinId="9" hidden="1"/>
    <cellStyle name="Followed Hyperlink" xfId="21302" builtinId="9" hidden="1"/>
    <cellStyle name="Followed Hyperlink" xfId="21304" builtinId="9" hidden="1"/>
    <cellStyle name="Followed Hyperlink" xfId="21306" builtinId="9" hidden="1"/>
    <cellStyle name="Followed Hyperlink" xfId="21308" builtinId="9" hidden="1"/>
    <cellStyle name="Followed Hyperlink" xfId="21310" builtinId="9" hidden="1"/>
    <cellStyle name="Followed Hyperlink" xfId="21312" builtinId="9" hidden="1"/>
    <cellStyle name="Followed Hyperlink" xfId="21314" builtinId="9" hidden="1"/>
    <cellStyle name="Followed Hyperlink" xfId="21316" builtinId="9" hidden="1"/>
    <cellStyle name="Followed Hyperlink" xfId="21318" builtinId="9" hidden="1"/>
    <cellStyle name="Followed Hyperlink" xfId="21320" builtinId="9" hidden="1"/>
    <cellStyle name="Followed Hyperlink" xfId="21322" builtinId="9" hidden="1"/>
    <cellStyle name="Followed Hyperlink" xfId="21324" builtinId="9" hidden="1"/>
    <cellStyle name="Followed Hyperlink" xfId="21326" builtinId="9" hidden="1"/>
    <cellStyle name="Followed Hyperlink" xfId="21328" builtinId="9" hidden="1"/>
    <cellStyle name="Followed Hyperlink" xfId="21330" builtinId="9" hidden="1"/>
    <cellStyle name="Followed Hyperlink" xfId="21332" builtinId="9" hidden="1"/>
    <cellStyle name="Followed Hyperlink" xfId="21334" builtinId="9" hidden="1"/>
    <cellStyle name="Followed Hyperlink" xfId="21336" builtinId="9" hidden="1"/>
    <cellStyle name="Followed Hyperlink" xfId="21338" builtinId="9" hidden="1"/>
    <cellStyle name="Followed Hyperlink" xfId="21340" builtinId="9" hidden="1"/>
    <cellStyle name="Followed Hyperlink" xfId="21342" builtinId="9" hidden="1"/>
    <cellStyle name="Followed Hyperlink" xfId="21344" builtinId="9" hidden="1"/>
    <cellStyle name="Followed Hyperlink" xfId="21346" builtinId="9" hidden="1"/>
    <cellStyle name="Followed Hyperlink" xfId="21348" builtinId="9" hidden="1"/>
    <cellStyle name="Followed Hyperlink" xfId="21350" builtinId="9" hidden="1"/>
    <cellStyle name="Followed Hyperlink" xfId="21352" builtinId="9" hidden="1"/>
    <cellStyle name="Followed Hyperlink" xfId="21354" builtinId="9" hidden="1"/>
    <cellStyle name="Followed Hyperlink" xfId="21356" builtinId="9" hidden="1"/>
    <cellStyle name="Followed Hyperlink" xfId="21358" builtinId="9" hidden="1"/>
    <cellStyle name="Followed Hyperlink" xfId="21360" builtinId="9" hidden="1"/>
    <cellStyle name="Followed Hyperlink" xfId="21362" builtinId="9" hidden="1"/>
    <cellStyle name="Followed Hyperlink" xfId="21364" builtinId="9" hidden="1"/>
    <cellStyle name="Followed Hyperlink" xfId="21366" builtinId="9" hidden="1"/>
    <cellStyle name="Followed Hyperlink" xfId="21368" builtinId="9" hidden="1"/>
    <cellStyle name="Followed Hyperlink" xfId="21370" builtinId="9" hidden="1"/>
    <cellStyle name="Followed Hyperlink" xfId="21372" builtinId="9" hidden="1"/>
    <cellStyle name="Followed Hyperlink" xfId="21374" builtinId="9" hidden="1"/>
    <cellStyle name="Followed Hyperlink" xfId="21376" builtinId="9" hidden="1"/>
    <cellStyle name="Followed Hyperlink" xfId="21378" builtinId="9" hidden="1"/>
    <cellStyle name="Followed Hyperlink" xfId="21380" builtinId="9" hidden="1"/>
    <cellStyle name="Followed Hyperlink" xfId="21382" builtinId="9" hidden="1"/>
    <cellStyle name="Followed Hyperlink" xfId="21384" builtinId="9" hidden="1"/>
    <cellStyle name="Followed Hyperlink" xfId="21386" builtinId="9" hidden="1"/>
    <cellStyle name="Followed Hyperlink" xfId="21388" builtinId="9" hidden="1"/>
    <cellStyle name="Followed Hyperlink" xfId="21390" builtinId="9" hidden="1"/>
    <cellStyle name="Followed Hyperlink" xfId="21392" builtinId="9" hidden="1"/>
    <cellStyle name="Followed Hyperlink" xfId="21394" builtinId="9" hidden="1"/>
    <cellStyle name="Followed Hyperlink" xfId="21396" builtinId="9" hidden="1"/>
    <cellStyle name="Followed Hyperlink" xfId="21398" builtinId="9" hidden="1"/>
    <cellStyle name="Followed Hyperlink" xfId="21400" builtinId="9" hidden="1"/>
    <cellStyle name="Followed Hyperlink" xfId="21402" builtinId="9" hidden="1"/>
    <cellStyle name="Followed Hyperlink" xfId="21404" builtinId="9" hidden="1"/>
    <cellStyle name="Followed Hyperlink" xfId="21406" builtinId="9" hidden="1"/>
    <cellStyle name="Followed Hyperlink" xfId="21408" builtinId="9" hidden="1"/>
    <cellStyle name="Followed Hyperlink" xfId="21410" builtinId="9" hidden="1"/>
    <cellStyle name="Followed Hyperlink" xfId="21412" builtinId="9" hidden="1"/>
    <cellStyle name="Followed Hyperlink" xfId="21414" builtinId="9" hidden="1"/>
    <cellStyle name="Followed Hyperlink" xfId="21416" builtinId="9" hidden="1"/>
    <cellStyle name="Followed Hyperlink" xfId="21418" builtinId="9" hidden="1"/>
    <cellStyle name="Followed Hyperlink" xfId="21420" builtinId="9" hidden="1"/>
    <cellStyle name="Followed Hyperlink" xfId="21422" builtinId="9" hidden="1"/>
    <cellStyle name="Followed Hyperlink" xfId="21424" builtinId="9" hidden="1"/>
    <cellStyle name="Followed Hyperlink" xfId="21426" builtinId="9" hidden="1"/>
    <cellStyle name="Followed Hyperlink" xfId="21428" builtinId="9" hidden="1"/>
    <cellStyle name="Followed Hyperlink" xfId="21430" builtinId="9" hidden="1"/>
    <cellStyle name="Followed Hyperlink" xfId="21432" builtinId="9" hidden="1"/>
    <cellStyle name="Followed Hyperlink" xfId="21434" builtinId="9" hidden="1"/>
    <cellStyle name="Followed Hyperlink" xfId="21436" builtinId="9" hidden="1"/>
    <cellStyle name="Followed Hyperlink" xfId="21438" builtinId="9" hidden="1"/>
    <cellStyle name="Followed Hyperlink" xfId="21440" builtinId="9" hidden="1"/>
    <cellStyle name="Followed Hyperlink" xfId="21442" builtinId="9" hidden="1"/>
    <cellStyle name="Followed Hyperlink" xfId="21444" builtinId="9" hidden="1"/>
    <cellStyle name="Followed Hyperlink" xfId="21446" builtinId="9" hidden="1"/>
    <cellStyle name="Followed Hyperlink" xfId="21448" builtinId="9" hidden="1"/>
    <cellStyle name="Followed Hyperlink" xfId="21450" builtinId="9" hidden="1"/>
    <cellStyle name="Followed Hyperlink" xfId="21452" builtinId="9" hidden="1"/>
    <cellStyle name="Followed Hyperlink" xfId="21454" builtinId="9" hidden="1"/>
    <cellStyle name="Followed Hyperlink" xfId="21456" builtinId="9" hidden="1"/>
    <cellStyle name="Followed Hyperlink" xfId="21458" builtinId="9" hidden="1"/>
    <cellStyle name="Followed Hyperlink" xfId="21460" builtinId="9" hidden="1"/>
    <cellStyle name="Followed Hyperlink" xfId="21462" builtinId="9" hidden="1"/>
    <cellStyle name="Followed Hyperlink" xfId="21464" builtinId="9" hidden="1"/>
    <cellStyle name="Followed Hyperlink" xfId="21466" builtinId="9" hidden="1"/>
    <cellStyle name="Followed Hyperlink" xfId="21468" builtinId="9" hidden="1"/>
    <cellStyle name="Followed Hyperlink" xfId="21470" builtinId="9" hidden="1"/>
    <cellStyle name="Followed Hyperlink" xfId="21472" builtinId="9" hidden="1"/>
    <cellStyle name="Followed Hyperlink" xfId="21474" builtinId="9" hidden="1"/>
    <cellStyle name="Followed Hyperlink" xfId="21476" builtinId="9" hidden="1"/>
    <cellStyle name="Followed Hyperlink" xfId="21478" builtinId="9" hidden="1"/>
    <cellStyle name="Followed Hyperlink" xfId="21480" builtinId="9" hidden="1"/>
    <cellStyle name="Followed Hyperlink" xfId="21482" builtinId="9" hidden="1"/>
    <cellStyle name="Followed Hyperlink" xfId="21484" builtinId="9" hidden="1"/>
    <cellStyle name="Followed Hyperlink" xfId="21486" builtinId="9" hidden="1"/>
    <cellStyle name="Followed Hyperlink" xfId="21488" builtinId="9" hidden="1"/>
    <cellStyle name="Followed Hyperlink" xfId="21490" builtinId="9" hidden="1"/>
    <cellStyle name="Followed Hyperlink" xfId="21492" builtinId="9" hidden="1"/>
    <cellStyle name="Followed Hyperlink" xfId="21494" builtinId="9" hidden="1"/>
    <cellStyle name="Followed Hyperlink" xfId="21496" builtinId="9" hidden="1"/>
    <cellStyle name="Followed Hyperlink" xfId="21498" builtinId="9" hidden="1"/>
    <cellStyle name="Followed Hyperlink" xfId="21500" builtinId="9" hidden="1"/>
    <cellStyle name="Followed Hyperlink" xfId="21502" builtinId="9" hidden="1"/>
    <cellStyle name="Followed Hyperlink" xfId="21504" builtinId="9" hidden="1"/>
    <cellStyle name="Followed Hyperlink" xfId="21506" builtinId="9" hidden="1"/>
    <cellStyle name="Followed Hyperlink" xfId="21508" builtinId="9" hidden="1"/>
    <cellStyle name="Followed Hyperlink" xfId="21510" builtinId="9" hidden="1"/>
    <cellStyle name="Followed Hyperlink" xfId="21512" builtinId="9" hidden="1"/>
    <cellStyle name="Followed Hyperlink" xfId="21514" builtinId="9" hidden="1"/>
    <cellStyle name="Followed Hyperlink" xfId="21516" builtinId="9" hidden="1"/>
    <cellStyle name="Followed Hyperlink" xfId="21518" builtinId="9" hidden="1"/>
    <cellStyle name="Followed Hyperlink" xfId="21520" builtinId="9" hidden="1"/>
    <cellStyle name="Followed Hyperlink" xfId="21522" builtinId="9" hidden="1"/>
    <cellStyle name="Followed Hyperlink" xfId="21524" builtinId="9" hidden="1"/>
    <cellStyle name="Followed Hyperlink" xfId="21526" builtinId="9" hidden="1"/>
    <cellStyle name="Followed Hyperlink" xfId="21528" builtinId="9" hidden="1"/>
    <cellStyle name="Followed Hyperlink" xfId="21530" builtinId="9" hidden="1"/>
    <cellStyle name="Followed Hyperlink" xfId="21532" builtinId="9" hidden="1"/>
    <cellStyle name="Followed Hyperlink" xfId="21534" builtinId="9" hidden="1"/>
    <cellStyle name="Followed Hyperlink" xfId="21536" builtinId="9" hidden="1"/>
    <cellStyle name="Followed Hyperlink" xfId="21538" builtinId="9" hidden="1"/>
    <cellStyle name="Followed Hyperlink" xfId="21540" builtinId="9" hidden="1"/>
    <cellStyle name="Followed Hyperlink" xfId="21542" builtinId="9" hidden="1"/>
    <cellStyle name="Followed Hyperlink" xfId="21544" builtinId="9" hidden="1"/>
    <cellStyle name="Followed Hyperlink" xfId="21546" builtinId="9" hidden="1"/>
    <cellStyle name="Followed Hyperlink" xfId="21548" builtinId="9" hidden="1"/>
    <cellStyle name="Followed Hyperlink" xfId="21550" builtinId="9" hidden="1"/>
    <cellStyle name="Followed Hyperlink" xfId="21552" builtinId="9" hidden="1"/>
    <cellStyle name="Followed Hyperlink" xfId="21554" builtinId="9" hidden="1"/>
    <cellStyle name="Followed Hyperlink" xfId="21556" builtinId="9" hidden="1"/>
    <cellStyle name="Followed Hyperlink" xfId="21558" builtinId="9" hidden="1"/>
    <cellStyle name="Followed Hyperlink" xfId="21560" builtinId="9" hidden="1"/>
    <cellStyle name="Followed Hyperlink" xfId="21562" builtinId="9" hidden="1"/>
    <cellStyle name="Followed Hyperlink" xfId="21564" builtinId="9" hidden="1"/>
    <cellStyle name="Followed Hyperlink" xfId="21566" builtinId="9" hidden="1"/>
    <cellStyle name="Followed Hyperlink" xfId="21568" builtinId="9" hidden="1"/>
    <cellStyle name="Followed Hyperlink" xfId="21570" builtinId="9" hidden="1"/>
    <cellStyle name="Followed Hyperlink" xfId="21572" builtinId="9" hidden="1"/>
    <cellStyle name="Followed Hyperlink" xfId="21574" builtinId="9" hidden="1"/>
    <cellStyle name="Followed Hyperlink" xfId="21576" builtinId="9" hidden="1"/>
    <cellStyle name="Followed Hyperlink" xfId="21578" builtinId="9" hidden="1"/>
    <cellStyle name="Followed Hyperlink" xfId="21580" builtinId="9" hidden="1"/>
    <cellStyle name="Followed Hyperlink" xfId="21582" builtinId="9" hidden="1"/>
    <cellStyle name="Followed Hyperlink" xfId="21584" builtinId="9" hidden="1"/>
    <cellStyle name="Followed Hyperlink" xfId="21586" builtinId="9" hidden="1"/>
    <cellStyle name="Followed Hyperlink" xfId="21588" builtinId="9" hidden="1"/>
    <cellStyle name="Followed Hyperlink" xfId="21590" builtinId="9" hidden="1"/>
    <cellStyle name="Followed Hyperlink" xfId="21592" builtinId="9" hidden="1"/>
    <cellStyle name="Followed Hyperlink" xfId="21594" builtinId="9" hidden="1"/>
    <cellStyle name="Followed Hyperlink" xfId="21596" builtinId="9" hidden="1"/>
    <cellStyle name="Followed Hyperlink" xfId="21598" builtinId="9" hidden="1"/>
    <cellStyle name="Followed Hyperlink" xfId="21600" builtinId="9" hidden="1"/>
    <cellStyle name="Followed Hyperlink" xfId="21602" builtinId="9" hidden="1"/>
    <cellStyle name="Followed Hyperlink" xfId="21604" builtinId="9" hidden="1"/>
    <cellStyle name="Followed Hyperlink" xfId="21606" builtinId="9" hidden="1"/>
    <cellStyle name="Followed Hyperlink" xfId="21608" builtinId="9" hidden="1"/>
    <cellStyle name="Followed Hyperlink" xfId="21610" builtinId="9" hidden="1"/>
    <cellStyle name="Followed Hyperlink" xfId="21612" builtinId="9" hidden="1"/>
    <cellStyle name="Followed Hyperlink" xfId="21614" builtinId="9" hidden="1"/>
    <cellStyle name="Followed Hyperlink" xfId="21616" builtinId="9" hidden="1"/>
    <cellStyle name="Followed Hyperlink" xfId="21618" builtinId="9" hidden="1"/>
    <cellStyle name="Followed Hyperlink" xfId="21620" builtinId="9" hidden="1"/>
    <cellStyle name="Followed Hyperlink" xfId="21622" builtinId="9" hidden="1"/>
    <cellStyle name="Followed Hyperlink" xfId="21624" builtinId="9" hidden="1"/>
    <cellStyle name="Followed Hyperlink" xfId="21626" builtinId="9" hidden="1"/>
    <cellStyle name="Followed Hyperlink" xfId="21628" builtinId="9" hidden="1"/>
    <cellStyle name="Followed Hyperlink" xfId="21630" builtinId="9" hidden="1"/>
    <cellStyle name="Followed Hyperlink" xfId="21632" builtinId="9" hidden="1"/>
    <cellStyle name="Followed Hyperlink" xfId="21634" builtinId="9" hidden="1"/>
    <cellStyle name="Followed Hyperlink" xfId="21636" builtinId="9" hidden="1"/>
    <cellStyle name="Followed Hyperlink" xfId="21638" builtinId="9" hidden="1"/>
    <cellStyle name="Followed Hyperlink" xfId="21640" builtinId="9" hidden="1"/>
    <cellStyle name="Followed Hyperlink" xfId="21642" builtinId="9" hidden="1"/>
    <cellStyle name="Followed Hyperlink" xfId="21644" builtinId="9" hidden="1"/>
    <cellStyle name="Followed Hyperlink" xfId="21646" builtinId="9" hidden="1"/>
    <cellStyle name="Followed Hyperlink" xfId="21648" builtinId="9" hidden="1"/>
    <cellStyle name="Followed Hyperlink" xfId="21650" builtinId="9" hidden="1"/>
    <cellStyle name="Followed Hyperlink" xfId="21652" builtinId="9" hidden="1"/>
    <cellStyle name="Followed Hyperlink" xfId="21654" builtinId="9" hidden="1"/>
    <cellStyle name="Followed Hyperlink" xfId="21656" builtinId="9" hidden="1"/>
    <cellStyle name="Followed Hyperlink" xfId="21658" builtinId="9" hidden="1"/>
    <cellStyle name="Followed Hyperlink" xfId="21660" builtinId="9" hidden="1"/>
    <cellStyle name="Followed Hyperlink" xfId="21662" builtinId="9" hidden="1"/>
    <cellStyle name="Followed Hyperlink" xfId="21664" builtinId="9" hidden="1"/>
    <cellStyle name="Followed Hyperlink" xfId="21666" builtinId="9" hidden="1"/>
    <cellStyle name="Followed Hyperlink" xfId="21668" builtinId="9" hidden="1"/>
    <cellStyle name="Followed Hyperlink" xfId="21670" builtinId="9" hidden="1"/>
    <cellStyle name="Followed Hyperlink" xfId="21672" builtinId="9" hidden="1"/>
    <cellStyle name="Followed Hyperlink" xfId="21674" builtinId="9" hidden="1"/>
    <cellStyle name="Followed Hyperlink" xfId="21676" builtinId="9" hidden="1"/>
    <cellStyle name="Followed Hyperlink" xfId="21678" builtinId="9" hidden="1"/>
    <cellStyle name="Followed Hyperlink" xfId="21680" builtinId="9" hidden="1"/>
    <cellStyle name="Followed Hyperlink" xfId="21682" builtinId="9" hidden="1"/>
    <cellStyle name="Followed Hyperlink" xfId="21684" builtinId="9" hidden="1"/>
    <cellStyle name="Followed Hyperlink" xfId="21686" builtinId="9" hidden="1"/>
    <cellStyle name="Followed Hyperlink" xfId="21688" builtinId="9" hidden="1"/>
    <cellStyle name="Followed Hyperlink" xfId="21690" builtinId="9" hidden="1"/>
    <cellStyle name="Followed Hyperlink" xfId="21692" builtinId="9" hidden="1"/>
    <cellStyle name="Followed Hyperlink" xfId="21694" builtinId="9" hidden="1"/>
    <cellStyle name="Followed Hyperlink" xfId="21696" builtinId="9" hidden="1"/>
    <cellStyle name="Followed Hyperlink" xfId="21698" builtinId="9" hidden="1"/>
    <cellStyle name="Followed Hyperlink" xfId="21700" builtinId="9" hidden="1"/>
    <cellStyle name="Followed Hyperlink" xfId="21702" builtinId="9" hidden="1"/>
    <cellStyle name="Followed Hyperlink" xfId="21704" builtinId="9" hidden="1"/>
    <cellStyle name="Followed Hyperlink" xfId="21706" builtinId="9" hidden="1"/>
    <cellStyle name="Followed Hyperlink" xfId="21708" builtinId="9" hidden="1"/>
    <cellStyle name="Followed Hyperlink" xfId="21710" builtinId="9" hidden="1"/>
    <cellStyle name="Followed Hyperlink" xfId="21712" builtinId="9" hidden="1"/>
    <cellStyle name="Followed Hyperlink" xfId="21714" builtinId="9" hidden="1"/>
    <cellStyle name="Followed Hyperlink" xfId="21716" builtinId="9" hidden="1"/>
    <cellStyle name="Followed Hyperlink" xfId="21718" builtinId="9" hidden="1"/>
    <cellStyle name="Followed Hyperlink" xfId="21720" builtinId="9" hidden="1"/>
    <cellStyle name="Followed Hyperlink" xfId="21722" builtinId="9" hidden="1"/>
    <cellStyle name="Followed Hyperlink" xfId="21724" builtinId="9" hidden="1"/>
    <cellStyle name="Followed Hyperlink" xfId="21726" builtinId="9" hidden="1"/>
    <cellStyle name="Followed Hyperlink" xfId="21728" builtinId="9" hidden="1"/>
    <cellStyle name="Followed Hyperlink" xfId="21730" builtinId="9" hidden="1"/>
    <cellStyle name="Followed Hyperlink" xfId="21732" builtinId="9" hidden="1"/>
    <cellStyle name="Followed Hyperlink" xfId="21734" builtinId="9" hidden="1"/>
    <cellStyle name="Followed Hyperlink" xfId="21736" builtinId="9" hidden="1"/>
    <cellStyle name="Followed Hyperlink" xfId="21738" builtinId="9" hidden="1"/>
    <cellStyle name="Followed Hyperlink" xfId="21740" builtinId="9" hidden="1"/>
    <cellStyle name="Followed Hyperlink" xfId="21742" builtinId="9" hidden="1"/>
    <cellStyle name="Followed Hyperlink" xfId="21744" builtinId="9" hidden="1"/>
    <cellStyle name="Followed Hyperlink" xfId="21746" builtinId="9" hidden="1"/>
    <cellStyle name="Followed Hyperlink" xfId="21748" builtinId="9" hidden="1"/>
    <cellStyle name="Followed Hyperlink" xfId="21750" builtinId="9" hidden="1"/>
    <cellStyle name="Followed Hyperlink" xfId="21752" builtinId="9" hidden="1"/>
    <cellStyle name="Followed Hyperlink" xfId="21754" builtinId="9" hidden="1"/>
    <cellStyle name="Followed Hyperlink" xfId="21756" builtinId="9" hidden="1"/>
    <cellStyle name="Followed Hyperlink" xfId="21758" builtinId="9" hidden="1"/>
    <cellStyle name="Followed Hyperlink" xfId="21760" builtinId="9" hidden="1"/>
    <cellStyle name="Followed Hyperlink" xfId="21762" builtinId="9" hidden="1"/>
    <cellStyle name="Followed Hyperlink" xfId="21764" builtinId="9" hidden="1"/>
    <cellStyle name="Followed Hyperlink" xfId="21766" builtinId="9" hidden="1"/>
    <cellStyle name="Followed Hyperlink" xfId="21768" builtinId="9" hidden="1"/>
    <cellStyle name="Followed Hyperlink" xfId="21770" builtinId="9" hidden="1"/>
    <cellStyle name="Followed Hyperlink" xfId="21772" builtinId="9" hidden="1"/>
    <cellStyle name="Followed Hyperlink" xfId="21774" builtinId="9" hidden="1"/>
    <cellStyle name="Followed Hyperlink" xfId="21776" builtinId="9" hidden="1"/>
    <cellStyle name="Followed Hyperlink" xfId="21778" builtinId="9" hidden="1"/>
    <cellStyle name="Followed Hyperlink" xfId="21780" builtinId="9" hidden="1"/>
    <cellStyle name="Followed Hyperlink" xfId="21782" builtinId="9" hidden="1"/>
    <cellStyle name="Followed Hyperlink" xfId="21784" builtinId="9" hidden="1"/>
    <cellStyle name="Followed Hyperlink" xfId="21786" builtinId="9" hidden="1"/>
    <cellStyle name="Followed Hyperlink" xfId="21788" builtinId="9" hidden="1"/>
    <cellStyle name="Followed Hyperlink" xfId="21790" builtinId="9" hidden="1"/>
    <cellStyle name="Followed Hyperlink" xfId="21792" builtinId="9" hidden="1"/>
    <cellStyle name="Followed Hyperlink" xfId="21794" builtinId="9" hidden="1"/>
    <cellStyle name="Followed Hyperlink" xfId="21796" builtinId="9" hidden="1"/>
    <cellStyle name="Followed Hyperlink" xfId="21798" builtinId="9" hidden="1"/>
    <cellStyle name="Followed Hyperlink" xfId="21800" builtinId="9" hidden="1"/>
    <cellStyle name="Followed Hyperlink" xfId="21802" builtinId="9" hidden="1"/>
    <cellStyle name="Followed Hyperlink" xfId="21804" builtinId="9" hidden="1"/>
    <cellStyle name="Followed Hyperlink" xfId="21806" builtinId="9" hidden="1"/>
    <cellStyle name="Followed Hyperlink" xfId="21808" builtinId="9" hidden="1"/>
    <cellStyle name="Followed Hyperlink" xfId="21810" builtinId="9" hidden="1"/>
    <cellStyle name="Followed Hyperlink" xfId="21812" builtinId="9" hidden="1"/>
    <cellStyle name="Followed Hyperlink" xfId="21814" builtinId="9" hidden="1"/>
    <cellStyle name="Followed Hyperlink" xfId="21816" builtinId="9" hidden="1"/>
    <cellStyle name="Followed Hyperlink" xfId="21818" builtinId="9" hidden="1"/>
    <cellStyle name="Followed Hyperlink" xfId="21820" builtinId="9" hidden="1"/>
    <cellStyle name="Followed Hyperlink" xfId="21822" builtinId="9" hidden="1"/>
    <cellStyle name="Followed Hyperlink" xfId="21824" builtinId="9" hidden="1"/>
    <cellStyle name="Followed Hyperlink" xfId="21826" builtinId="9" hidden="1"/>
    <cellStyle name="Followed Hyperlink" xfId="21828" builtinId="9" hidden="1"/>
    <cellStyle name="Followed Hyperlink" xfId="21830" builtinId="9" hidden="1"/>
    <cellStyle name="Followed Hyperlink" xfId="21832" builtinId="9" hidden="1"/>
    <cellStyle name="Followed Hyperlink" xfId="21834" builtinId="9" hidden="1"/>
    <cellStyle name="Followed Hyperlink" xfId="21836" builtinId="9" hidden="1"/>
    <cellStyle name="Followed Hyperlink" xfId="21838" builtinId="9" hidden="1"/>
    <cellStyle name="Followed Hyperlink" xfId="21840" builtinId="9" hidden="1"/>
    <cellStyle name="Followed Hyperlink" xfId="21842" builtinId="9" hidden="1"/>
    <cellStyle name="Followed Hyperlink" xfId="21844" builtinId="9" hidden="1"/>
    <cellStyle name="Followed Hyperlink" xfId="21846" builtinId="9" hidden="1"/>
    <cellStyle name="Followed Hyperlink" xfId="21848" builtinId="9" hidden="1"/>
    <cellStyle name="Followed Hyperlink" xfId="21850" builtinId="9" hidden="1"/>
    <cellStyle name="Followed Hyperlink" xfId="21852" builtinId="9" hidden="1"/>
    <cellStyle name="Followed Hyperlink" xfId="21854" builtinId="9" hidden="1"/>
    <cellStyle name="Followed Hyperlink" xfId="21856" builtinId="9" hidden="1"/>
    <cellStyle name="Followed Hyperlink" xfId="21858" builtinId="9" hidden="1"/>
    <cellStyle name="Followed Hyperlink" xfId="21860" builtinId="9" hidden="1"/>
    <cellStyle name="Followed Hyperlink" xfId="21862" builtinId="9" hidden="1"/>
    <cellStyle name="Followed Hyperlink" xfId="21864" builtinId="9" hidden="1"/>
    <cellStyle name="Followed Hyperlink" xfId="21866" builtinId="9" hidden="1"/>
    <cellStyle name="Followed Hyperlink" xfId="21868" builtinId="9" hidden="1"/>
    <cellStyle name="Followed Hyperlink" xfId="21870" builtinId="9" hidden="1"/>
    <cellStyle name="Followed Hyperlink" xfId="21872" builtinId="9" hidden="1"/>
    <cellStyle name="Followed Hyperlink" xfId="21874" builtinId="9" hidden="1"/>
    <cellStyle name="Followed Hyperlink" xfId="21876" builtinId="9" hidden="1"/>
    <cellStyle name="Followed Hyperlink" xfId="21878" builtinId="9" hidden="1"/>
    <cellStyle name="Followed Hyperlink" xfId="21880" builtinId="9" hidden="1"/>
    <cellStyle name="Followed Hyperlink" xfId="21882" builtinId="9" hidden="1"/>
    <cellStyle name="Followed Hyperlink" xfId="21884" builtinId="9" hidden="1"/>
    <cellStyle name="Followed Hyperlink" xfId="21886" builtinId="9" hidden="1"/>
    <cellStyle name="Followed Hyperlink" xfId="21888" builtinId="9" hidden="1"/>
    <cellStyle name="Followed Hyperlink" xfId="21890" builtinId="9" hidden="1"/>
    <cellStyle name="Followed Hyperlink" xfId="21892" builtinId="9" hidden="1"/>
    <cellStyle name="Followed Hyperlink" xfId="21894" builtinId="9" hidden="1"/>
    <cellStyle name="Followed Hyperlink" xfId="21896" builtinId="9" hidden="1"/>
    <cellStyle name="Followed Hyperlink" xfId="21898" builtinId="9" hidden="1"/>
    <cellStyle name="Followed Hyperlink" xfId="21900" builtinId="9" hidden="1"/>
    <cellStyle name="Followed Hyperlink" xfId="21902" builtinId="9" hidden="1"/>
    <cellStyle name="Followed Hyperlink" xfId="21904" builtinId="9" hidden="1"/>
    <cellStyle name="Followed Hyperlink" xfId="21906" builtinId="9" hidden="1"/>
    <cellStyle name="Followed Hyperlink" xfId="21908" builtinId="9" hidden="1"/>
    <cellStyle name="Followed Hyperlink" xfId="21910" builtinId="9" hidden="1"/>
    <cellStyle name="Followed Hyperlink" xfId="21912" builtinId="9" hidden="1"/>
    <cellStyle name="Followed Hyperlink" xfId="21914" builtinId="9" hidden="1"/>
    <cellStyle name="Followed Hyperlink" xfId="21916" builtinId="9" hidden="1"/>
    <cellStyle name="Followed Hyperlink" xfId="21918" builtinId="9" hidden="1"/>
    <cellStyle name="Followed Hyperlink" xfId="21920" builtinId="9" hidden="1"/>
    <cellStyle name="Followed Hyperlink" xfId="21922" builtinId="9" hidden="1"/>
    <cellStyle name="Followed Hyperlink" xfId="21924" builtinId="9" hidden="1"/>
    <cellStyle name="Followed Hyperlink" xfId="21926" builtinId="9" hidden="1"/>
    <cellStyle name="Followed Hyperlink" xfId="21928" builtinId="9" hidden="1"/>
    <cellStyle name="Followed Hyperlink" xfId="21930" builtinId="9" hidden="1"/>
    <cellStyle name="Followed Hyperlink" xfId="21932" builtinId="9" hidden="1"/>
    <cellStyle name="Followed Hyperlink" xfId="21934" builtinId="9" hidden="1"/>
    <cellStyle name="Followed Hyperlink" xfId="21936" builtinId="9" hidden="1"/>
    <cellStyle name="Followed Hyperlink" xfId="21938" builtinId="9" hidden="1"/>
    <cellStyle name="Followed Hyperlink" xfId="21940" builtinId="9" hidden="1"/>
    <cellStyle name="Followed Hyperlink" xfId="21942" builtinId="9" hidden="1"/>
    <cellStyle name="Followed Hyperlink" xfId="21944" builtinId="9" hidden="1"/>
    <cellStyle name="Followed Hyperlink" xfId="21946" builtinId="9" hidden="1"/>
    <cellStyle name="Followed Hyperlink" xfId="21948" builtinId="9" hidden="1"/>
    <cellStyle name="Followed Hyperlink" xfId="21950" builtinId="9" hidden="1"/>
    <cellStyle name="Followed Hyperlink" xfId="21952" builtinId="9" hidden="1"/>
    <cellStyle name="Followed Hyperlink" xfId="21954" builtinId="9" hidden="1"/>
    <cellStyle name="Followed Hyperlink" xfId="21956" builtinId="9" hidden="1"/>
    <cellStyle name="Followed Hyperlink" xfId="21958" builtinId="9" hidden="1"/>
    <cellStyle name="Followed Hyperlink" xfId="21960" builtinId="9" hidden="1"/>
    <cellStyle name="Followed Hyperlink" xfId="21962" builtinId="9" hidden="1"/>
    <cellStyle name="Followed Hyperlink" xfId="21964" builtinId="9" hidden="1"/>
    <cellStyle name="Followed Hyperlink" xfId="21966" builtinId="9" hidden="1"/>
    <cellStyle name="Followed Hyperlink" xfId="21968" builtinId="9" hidden="1"/>
    <cellStyle name="Followed Hyperlink" xfId="21970" builtinId="9" hidden="1"/>
    <cellStyle name="Followed Hyperlink" xfId="21972" builtinId="9" hidden="1"/>
    <cellStyle name="Followed Hyperlink" xfId="21974" builtinId="9" hidden="1"/>
    <cellStyle name="Followed Hyperlink" xfId="21976" builtinId="9" hidden="1"/>
    <cellStyle name="Followed Hyperlink" xfId="21978" builtinId="9" hidden="1"/>
    <cellStyle name="Followed Hyperlink" xfId="21980" builtinId="9" hidden="1"/>
    <cellStyle name="Followed Hyperlink" xfId="21982" builtinId="9" hidden="1"/>
    <cellStyle name="Followed Hyperlink" xfId="21984" builtinId="9" hidden="1"/>
    <cellStyle name="Followed Hyperlink" xfId="21986" builtinId="9" hidden="1"/>
    <cellStyle name="Followed Hyperlink" xfId="21988" builtinId="9" hidden="1"/>
    <cellStyle name="Followed Hyperlink" xfId="21990" builtinId="9" hidden="1"/>
    <cellStyle name="Followed Hyperlink" xfId="21992" builtinId="9" hidden="1"/>
    <cellStyle name="Followed Hyperlink" xfId="21994" builtinId="9" hidden="1"/>
    <cellStyle name="Followed Hyperlink" xfId="21996" builtinId="9" hidden="1"/>
    <cellStyle name="Followed Hyperlink" xfId="21998" builtinId="9" hidden="1"/>
    <cellStyle name="Followed Hyperlink" xfId="22000" builtinId="9" hidden="1"/>
    <cellStyle name="Followed Hyperlink" xfId="22002" builtinId="9" hidden="1"/>
    <cellStyle name="Followed Hyperlink" xfId="22004" builtinId="9" hidden="1"/>
    <cellStyle name="Followed Hyperlink" xfId="22006" builtinId="9" hidden="1"/>
    <cellStyle name="Followed Hyperlink" xfId="22008" builtinId="9" hidden="1"/>
    <cellStyle name="Followed Hyperlink" xfId="22010" builtinId="9" hidden="1"/>
    <cellStyle name="Followed Hyperlink" xfId="22012" builtinId="9" hidden="1"/>
    <cellStyle name="Followed Hyperlink" xfId="22014" builtinId="9" hidden="1"/>
    <cellStyle name="Followed Hyperlink" xfId="22016" builtinId="9" hidden="1"/>
    <cellStyle name="Followed Hyperlink" xfId="22018" builtinId="9" hidden="1"/>
    <cellStyle name="Followed Hyperlink" xfId="22020" builtinId="9" hidden="1"/>
    <cellStyle name="Followed Hyperlink" xfId="22022" builtinId="9" hidden="1"/>
    <cellStyle name="Followed Hyperlink" xfId="22024" builtinId="9" hidden="1"/>
    <cellStyle name="Followed Hyperlink" xfId="22026" builtinId="9" hidden="1"/>
    <cellStyle name="Followed Hyperlink" xfId="22028" builtinId="9" hidden="1"/>
    <cellStyle name="Followed Hyperlink" xfId="22030" builtinId="9" hidden="1"/>
    <cellStyle name="Followed Hyperlink" xfId="22032" builtinId="9" hidden="1"/>
    <cellStyle name="Followed Hyperlink" xfId="22034" builtinId="9" hidden="1"/>
    <cellStyle name="Followed Hyperlink" xfId="22036" builtinId="9" hidden="1"/>
    <cellStyle name="Followed Hyperlink" xfId="22038" builtinId="9" hidden="1"/>
    <cellStyle name="Followed Hyperlink" xfId="22040" builtinId="9" hidden="1"/>
    <cellStyle name="Followed Hyperlink" xfId="22042" builtinId="9" hidden="1"/>
    <cellStyle name="Followed Hyperlink" xfId="22044" builtinId="9" hidden="1"/>
    <cellStyle name="Followed Hyperlink" xfId="22046" builtinId="9" hidden="1"/>
    <cellStyle name="Followed Hyperlink" xfId="22048" builtinId="9" hidden="1"/>
    <cellStyle name="Followed Hyperlink" xfId="22050" builtinId="9" hidden="1"/>
    <cellStyle name="Followed Hyperlink" xfId="22052" builtinId="9" hidden="1"/>
    <cellStyle name="Followed Hyperlink" xfId="22054" builtinId="9" hidden="1"/>
    <cellStyle name="Followed Hyperlink" xfId="22056" builtinId="9" hidden="1"/>
    <cellStyle name="Followed Hyperlink" xfId="22058" builtinId="9" hidden="1"/>
    <cellStyle name="Followed Hyperlink" xfId="22060" builtinId="9" hidden="1"/>
    <cellStyle name="Followed Hyperlink" xfId="22062" builtinId="9" hidden="1"/>
    <cellStyle name="Followed Hyperlink" xfId="22064" builtinId="9" hidden="1"/>
    <cellStyle name="Followed Hyperlink" xfId="22066" builtinId="9" hidden="1"/>
    <cellStyle name="Followed Hyperlink" xfId="22068" builtinId="9" hidden="1"/>
    <cellStyle name="Followed Hyperlink" xfId="22070" builtinId="9" hidden="1"/>
    <cellStyle name="Followed Hyperlink" xfId="22072" builtinId="9" hidden="1"/>
    <cellStyle name="Followed Hyperlink" xfId="22074" builtinId="9" hidden="1"/>
    <cellStyle name="Followed Hyperlink" xfId="22076" builtinId="9" hidden="1"/>
    <cellStyle name="Followed Hyperlink" xfId="22078" builtinId="9" hidden="1"/>
    <cellStyle name="Followed Hyperlink" xfId="22080" builtinId="9" hidden="1"/>
    <cellStyle name="Followed Hyperlink" xfId="22082" builtinId="9" hidden="1"/>
    <cellStyle name="Followed Hyperlink" xfId="22084" builtinId="9" hidden="1"/>
    <cellStyle name="Followed Hyperlink" xfId="22086" builtinId="9" hidden="1"/>
    <cellStyle name="Followed Hyperlink" xfId="22088" builtinId="9" hidden="1"/>
    <cellStyle name="Followed Hyperlink" xfId="22090" builtinId="9" hidden="1"/>
    <cellStyle name="Followed Hyperlink" xfId="22092" builtinId="9" hidden="1"/>
    <cellStyle name="Followed Hyperlink" xfId="22094" builtinId="9" hidden="1"/>
    <cellStyle name="Followed Hyperlink" xfId="22096" builtinId="9" hidden="1"/>
    <cellStyle name="Followed Hyperlink" xfId="22098" builtinId="9" hidden="1"/>
    <cellStyle name="Followed Hyperlink" xfId="22100" builtinId="9" hidden="1"/>
    <cellStyle name="Followed Hyperlink" xfId="22102" builtinId="9" hidden="1"/>
    <cellStyle name="Followed Hyperlink" xfId="22104" builtinId="9" hidden="1"/>
    <cellStyle name="Followed Hyperlink" xfId="22106" builtinId="9" hidden="1"/>
    <cellStyle name="Followed Hyperlink" xfId="22108" builtinId="9" hidden="1"/>
    <cellStyle name="Followed Hyperlink" xfId="22110" builtinId="9" hidden="1"/>
    <cellStyle name="Followed Hyperlink" xfId="22112" builtinId="9" hidden="1"/>
    <cellStyle name="Followed Hyperlink" xfId="22114" builtinId="9" hidden="1"/>
    <cellStyle name="Followed Hyperlink" xfId="22116" builtinId="9" hidden="1"/>
    <cellStyle name="Followed Hyperlink" xfId="22118" builtinId="9" hidden="1"/>
    <cellStyle name="Followed Hyperlink" xfId="22120" builtinId="9" hidden="1"/>
    <cellStyle name="Followed Hyperlink" xfId="22122" builtinId="9" hidden="1"/>
    <cellStyle name="Followed Hyperlink" xfId="22124" builtinId="9" hidden="1"/>
    <cellStyle name="Followed Hyperlink" xfId="22126" builtinId="9" hidden="1"/>
    <cellStyle name="Followed Hyperlink" xfId="22128" builtinId="9" hidden="1"/>
    <cellStyle name="Followed Hyperlink" xfId="22130" builtinId="9" hidden="1"/>
    <cellStyle name="Followed Hyperlink" xfId="22132" builtinId="9" hidden="1"/>
    <cellStyle name="Followed Hyperlink" xfId="22134" builtinId="9" hidden="1"/>
    <cellStyle name="Followed Hyperlink" xfId="22136" builtinId="9" hidden="1"/>
    <cellStyle name="Followed Hyperlink" xfId="22138" builtinId="9" hidden="1"/>
    <cellStyle name="Followed Hyperlink" xfId="22140" builtinId="9" hidden="1"/>
    <cellStyle name="Followed Hyperlink" xfId="22142" builtinId="9" hidden="1"/>
    <cellStyle name="Followed Hyperlink" xfId="22144" builtinId="9" hidden="1"/>
    <cellStyle name="Followed Hyperlink" xfId="22146" builtinId="9" hidden="1"/>
    <cellStyle name="Followed Hyperlink" xfId="22148" builtinId="9" hidden="1"/>
    <cellStyle name="Followed Hyperlink" xfId="22150" builtinId="9" hidden="1"/>
    <cellStyle name="Followed Hyperlink" xfId="22152" builtinId="9" hidden="1"/>
    <cellStyle name="Followed Hyperlink" xfId="22154" builtinId="9" hidden="1"/>
    <cellStyle name="Followed Hyperlink" xfId="22156" builtinId="9" hidden="1"/>
    <cellStyle name="Followed Hyperlink" xfId="22158" builtinId="9" hidden="1"/>
    <cellStyle name="Followed Hyperlink" xfId="22160" builtinId="9" hidden="1"/>
    <cellStyle name="Followed Hyperlink" xfId="22162" builtinId="9" hidden="1"/>
    <cellStyle name="Followed Hyperlink" xfId="22164" builtinId="9" hidden="1"/>
    <cellStyle name="Followed Hyperlink" xfId="22166" builtinId="9" hidden="1"/>
    <cellStyle name="Followed Hyperlink" xfId="22168" builtinId="9" hidden="1"/>
    <cellStyle name="Followed Hyperlink" xfId="22170" builtinId="9" hidden="1"/>
    <cellStyle name="Followed Hyperlink" xfId="22172" builtinId="9" hidden="1"/>
    <cellStyle name="Followed Hyperlink" xfId="22174" builtinId="9" hidden="1"/>
    <cellStyle name="Followed Hyperlink" xfId="22176" builtinId="9" hidden="1"/>
    <cellStyle name="Followed Hyperlink" xfId="22178" builtinId="9" hidden="1"/>
    <cellStyle name="Followed Hyperlink" xfId="22180" builtinId="9" hidden="1"/>
    <cellStyle name="Followed Hyperlink" xfId="22182" builtinId="9" hidden="1"/>
    <cellStyle name="Followed Hyperlink" xfId="22184" builtinId="9" hidden="1"/>
    <cellStyle name="Followed Hyperlink" xfId="22186" builtinId="9" hidden="1"/>
    <cellStyle name="Followed Hyperlink" xfId="22188" builtinId="9" hidden="1"/>
    <cellStyle name="Followed Hyperlink" xfId="22190" builtinId="9" hidden="1"/>
    <cellStyle name="Followed Hyperlink" xfId="22192" builtinId="9" hidden="1"/>
    <cellStyle name="Followed Hyperlink" xfId="22194" builtinId="9" hidden="1"/>
    <cellStyle name="Followed Hyperlink" xfId="22196" builtinId="9" hidden="1"/>
    <cellStyle name="Followed Hyperlink" xfId="22198" builtinId="9" hidden="1"/>
    <cellStyle name="Followed Hyperlink" xfId="22200" builtinId="9" hidden="1"/>
    <cellStyle name="Followed Hyperlink" xfId="22202" builtinId="9" hidden="1"/>
    <cellStyle name="Followed Hyperlink" xfId="22204" builtinId="9" hidden="1"/>
    <cellStyle name="Followed Hyperlink" xfId="22206" builtinId="9" hidden="1"/>
    <cellStyle name="Followed Hyperlink" xfId="22208" builtinId="9" hidden="1"/>
    <cellStyle name="Followed Hyperlink" xfId="22210" builtinId="9" hidden="1"/>
    <cellStyle name="Followed Hyperlink" xfId="22212" builtinId="9" hidden="1"/>
    <cellStyle name="Followed Hyperlink" xfId="22214" builtinId="9" hidden="1"/>
    <cellStyle name="Followed Hyperlink" xfId="22216" builtinId="9" hidden="1"/>
    <cellStyle name="Followed Hyperlink" xfId="22218" builtinId="9" hidden="1"/>
    <cellStyle name="Followed Hyperlink" xfId="22220" builtinId="9" hidden="1"/>
    <cellStyle name="Followed Hyperlink" xfId="22222" builtinId="9" hidden="1"/>
    <cellStyle name="Followed Hyperlink" xfId="22224" builtinId="9" hidden="1"/>
    <cellStyle name="Followed Hyperlink" xfId="22226" builtinId="9" hidden="1"/>
    <cellStyle name="Followed Hyperlink" xfId="22228" builtinId="9" hidden="1"/>
    <cellStyle name="Followed Hyperlink" xfId="22230" builtinId="9" hidden="1"/>
    <cellStyle name="Followed Hyperlink" xfId="22232" builtinId="9" hidden="1"/>
    <cellStyle name="Followed Hyperlink" xfId="22234" builtinId="9" hidden="1"/>
    <cellStyle name="Followed Hyperlink" xfId="22236" builtinId="9" hidden="1"/>
    <cellStyle name="Followed Hyperlink" xfId="22238" builtinId="9" hidden="1"/>
    <cellStyle name="Followed Hyperlink" xfId="22240" builtinId="9" hidden="1"/>
    <cellStyle name="Followed Hyperlink" xfId="22242" builtinId="9" hidden="1"/>
    <cellStyle name="Followed Hyperlink" xfId="22244" builtinId="9" hidden="1"/>
    <cellStyle name="Followed Hyperlink" xfId="22246" builtinId="9" hidden="1"/>
    <cellStyle name="Followed Hyperlink" xfId="22248" builtinId="9" hidden="1"/>
    <cellStyle name="Followed Hyperlink" xfId="22250" builtinId="9" hidden="1"/>
    <cellStyle name="Followed Hyperlink" xfId="22252" builtinId="9" hidden="1"/>
    <cellStyle name="Followed Hyperlink" xfId="22254" builtinId="9" hidden="1"/>
    <cellStyle name="Followed Hyperlink" xfId="22256" builtinId="9" hidden="1"/>
    <cellStyle name="Followed Hyperlink" xfId="22258" builtinId="9" hidden="1"/>
    <cellStyle name="Followed Hyperlink" xfId="22260" builtinId="9" hidden="1"/>
    <cellStyle name="Followed Hyperlink" xfId="22262" builtinId="9" hidden="1"/>
    <cellStyle name="Followed Hyperlink" xfId="22264" builtinId="9" hidden="1"/>
    <cellStyle name="Followed Hyperlink" xfId="22266" builtinId="9" hidden="1"/>
    <cellStyle name="Followed Hyperlink" xfId="22268" builtinId="9" hidden="1"/>
    <cellStyle name="Followed Hyperlink" xfId="22270" builtinId="9" hidden="1"/>
    <cellStyle name="Followed Hyperlink" xfId="22272" builtinId="9" hidden="1"/>
    <cellStyle name="Followed Hyperlink" xfId="22274" builtinId="9" hidden="1"/>
    <cellStyle name="Followed Hyperlink" xfId="22276" builtinId="9" hidden="1"/>
    <cellStyle name="Followed Hyperlink" xfId="22278" builtinId="9" hidden="1"/>
    <cellStyle name="Followed Hyperlink" xfId="22280" builtinId="9" hidden="1"/>
    <cellStyle name="Followed Hyperlink" xfId="22282" builtinId="9" hidden="1"/>
    <cellStyle name="Followed Hyperlink" xfId="22284" builtinId="9" hidden="1"/>
    <cellStyle name="Followed Hyperlink" xfId="22286" builtinId="9" hidden="1"/>
    <cellStyle name="Followed Hyperlink" xfId="22288" builtinId="9" hidden="1"/>
    <cellStyle name="Followed Hyperlink" xfId="22290" builtinId="9" hidden="1"/>
    <cellStyle name="Followed Hyperlink" xfId="22292" builtinId="9" hidden="1"/>
    <cellStyle name="Followed Hyperlink" xfId="22294" builtinId="9" hidden="1"/>
    <cellStyle name="Followed Hyperlink" xfId="22296" builtinId="9" hidden="1"/>
    <cellStyle name="Followed Hyperlink" xfId="22298" builtinId="9" hidden="1"/>
    <cellStyle name="Followed Hyperlink" xfId="22300" builtinId="9" hidden="1"/>
    <cellStyle name="Followed Hyperlink" xfId="22302" builtinId="9" hidden="1"/>
    <cellStyle name="Followed Hyperlink" xfId="22304" builtinId="9" hidden="1"/>
    <cellStyle name="Followed Hyperlink" xfId="22306" builtinId="9" hidden="1"/>
    <cellStyle name="Followed Hyperlink" xfId="22308" builtinId="9" hidden="1"/>
    <cellStyle name="Followed Hyperlink" xfId="22310" builtinId="9" hidden="1"/>
    <cellStyle name="Followed Hyperlink" xfId="22312" builtinId="9" hidden="1"/>
    <cellStyle name="Followed Hyperlink" xfId="22314" builtinId="9" hidden="1"/>
    <cellStyle name="Followed Hyperlink" xfId="22316" builtinId="9" hidden="1"/>
    <cellStyle name="Followed Hyperlink" xfId="22318" builtinId="9" hidden="1"/>
    <cellStyle name="Followed Hyperlink" xfId="22320" builtinId="9" hidden="1"/>
    <cellStyle name="Followed Hyperlink" xfId="22322" builtinId="9" hidden="1"/>
    <cellStyle name="Followed Hyperlink" xfId="22324" builtinId="9" hidden="1"/>
    <cellStyle name="Followed Hyperlink" xfId="22326" builtinId="9" hidden="1"/>
    <cellStyle name="Followed Hyperlink" xfId="22328" builtinId="9" hidden="1"/>
    <cellStyle name="Followed Hyperlink" xfId="22330" builtinId="9" hidden="1"/>
    <cellStyle name="Followed Hyperlink" xfId="22332" builtinId="9" hidden="1"/>
    <cellStyle name="Followed Hyperlink" xfId="22334" builtinId="9" hidden="1"/>
    <cellStyle name="Followed Hyperlink" xfId="22336" builtinId="9" hidden="1"/>
    <cellStyle name="Followed Hyperlink" xfId="22338" builtinId="9" hidden="1"/>
    <cellStyle name="Followed Hyperlink" xfId="22340" builtinId="9" hidden="1"/>
    <cellStyle name="Followed Hyperlink" xfId="22342" builtinId="9" hidden="1"/>
    <cellStyle name="Followed Hyperlink" xfId="22344" builtinId="9" hidden="1"/>
    <cellStyle name="Followed Hyperlink" xfId="22346" builtinId="9" hidden="1"/>
    <cellStyle name="Followed Hyperlink" xfId="22348" builtinId="9" hidden="1"/>
    <cellStyle name="Followed Hyperlink" xfId="22350" builtinId="9" hidden="1"/>
    <cellStyle name="Followed Hyperlink" xfId="22352" builtinId="9" hidden="1"/>
    <cellStyle name="Followed Hyperlink" xfId="22354" builtinId="9" hidden="1"/>
    <cellStyle name="Followed Hyperlink" xfId="22356" builtinId="9" hidden="1"/>
    <cellStyle name="Followed Hyperlink" xfId="22358" builtinId="9" hidden="1"/>
    <cellStyle name="Followed Hyperlink" xfId="22360" builtinId="9" hidden="1"/>
    <cellStyle name="Followed Hyperlink" xfId="22362" builtinId="9" hidden="1"/>
    <cellStyle name="Followed Hyperlink" xfId="22364" builtinId="9" hidden="1"/>
    <cellStyle name="Followed Hyperlink" xfId="22366" builtinId="9" hidden="1"/>
    <cellStyle name="Followed Hyperlink" xfId="22368" builtinId="9" hidden="1"/>
    <cellStyle name="Followed Hyperlink" xfId="22370" builtinId="9" hidden="1"/>
    <cellStyle name="Followed Hyperlink" xfId="22372" builtinId="9" hidden="1"/>
    <cellStyle name="Followed Hyperlink" xfId="22374" builtinId="9" hidden="1"/>
    <cellStyle name="Followed Hyperlink" xfId="22376" builtinId="9" hidden="1"/>
    <cellStyle name="Followed Hyperlink" xfId="22378" builtinId="9" hidden="1"/>
    <cellStyle name="Followed Hyperlink" xfId="22380" builtinId="9" hidden="1"/>
    <cellStyle name="Followed Hyperlink" xfId="22382" builtinId="9" hidden="1"/>
    <cellStyle name="Followed Hyperlink" xfId="22384" builtinId="9" hidden="1"/>
    <cellStyle name="Followed Hyperlink" xfId="22386" builtinId="9" hidden="1"/>
    <cellStyle name="Followed Hyperlink" xfId="22388" builtinId="9" hidden="1"/>
    <cellStyle name="Followed Hyperlink" xfId="22390" builtinId="9" hidden="1"/>
    <cellStyle name="Followed Hyperlink" xfId="22392" builtinId="9" hidden="1"/>
    <cellStyle name="Followed Hyperlink" xfId="22394" builtinId="9" hidden="1"/>
    <cellStyle name="Followed Hyperlink" xfId="22396" builtinId="9" hidden="1"/>
    <cellStyle name="Followed Hyperlink" xfId="22398" builtinId="9" hidden="1"/>
    <cellStyle name="Followed Hyperlink" xfId="22400" builtinId="9" hidden="1"/>
    <cellStyle name="Followed Hyperlink" xfId="22402" builtinId="9" hidden="1"/>
    <cellStyle name="Followed Hyperlink" xfId="22404" builtinId="9" hidden="1"/>
    <cellStyle name="Followed Hyperlink" xfId="22406" builtinId="9" hidden="1"/>
    <cellStyle name="Followed Hyperlink" xfId="22408" builtinId="9" hidden="1"/>
    <cellStyle name="Followed Hyperlink" xfId="22410" builtinId="9" hidden="1"/>
    <cellStyle name="Followed Hyperlink" xfId="22412" builtinId="9" hidden="1"/>
    <cellStyle name="Followed Hyperlink" xfId="22414" builtinId="9" hidden="1"/>
    <cellStyle name="Followed Hyperlink" xfId="22416" builtinId="9" hidden="1"/>
    <cellStyle name="Followed Hyperlink" xfId="22418" builtinId="9" hidden="1"/>
    <cellStyle name="Followed Hyperlink" xfId="22420" builtinId="9" hidden="1"/>
    <cellStyle name="Followed Hyperlink" xfId="22422" builtinId="9" hidden="1"/>
    <cellStyle name="Followed Hyperlink" xfId="22424" builtinId="9" hidden="1"/>
    <cellStyle name="Followed Hyperlink" xfId="22426" builtinId="9" hidden="1"/>
    <cellStyle name="Followed Hyperlink" xfId="22428" builtinId="9" hidden="1"/>
    <cellStyle name="Followed Hyperlink" xfId="22430" builtinId="9" hidden="1"/>
    <cellStyle name="Followed Hyperlink" xfId="22432" builtinId="9" hidden="1"/>
    <cellStyle name="Followed Hyperlink" xfId="22434" builtinId="9" hidden="1"/>
    <cellStyle name="Followed Hyperlink" xfId="22436" builtinId="9" hidden="1"/>
    <cellStyle name="Followed Hyperlink" xfId="22438" builtinId="9" hidden="1"/>
    <cellStyle name="Followed Hyperlink" xfId="22440" builtinId="9" hidden="1"/>
    <cellStyle name="Followed Hyperlink" xfId="22442" builtinId="9" hidden="1"/>
    <cellStyle name="Followed Hyperlink" xfId="22444" builtinId="9" hidden="1"/>
    <cellStyle name="Followed Hyperlink" xfId="22446" builtinId="9" hidden="1"/>
    <cellStyle name="Followed Hyperlink" xfId="22448" builtinId="9" hidden="1"/>
    <cellStyle name="Followed Hyperlink" xfId="22450" builtinId="9" hidden="1"/>
    <cellStyle name="Followed Hyperlink" xfId="22452" builtinId="9" hidden="1"/>
    <cellStyle name="Followed Hyperlink" xfId="22454" builtinId="9" hidden="1"/>
    <cellStyle name="Followed Hyperlink" xfId="22456" builtinId="9" hidden="1"/>
    <cellStyle name="Followed Hyperlink" xfId="22458" builtinId="9" hidden="1"/>
    <cellStyle name="Followed Hyperlink" xfId="22460" builtinId="9" hidden="1"/>
    <cellStyle name="Followed Hyperlink" xfId="22462" builtinId="9" hidden="1"/>
    <cellStyle name="Followed Hyperlink" xfId="22464" builtinId="9" hidden="1"/>
    <cellStyle name="Followed Hyperlink" xfId="22466" builtinId="9" hidden="1"/>
    <cellStyle name="Followed Hyperlink" xfId="22468" builtinId="9" hidden="1"/>
    <cellStyle name="Followed Hyperlink" xfId="22470" builtinId="9" hidden="1"/>
    <cellStyle name="Followed Hyperlink" xfId="22472" builtinId="9" hidden="1"/>
    <cellStyle name="Followed Hyperlink" xfId="22474" builtinId="9" hidden="1"/>
    <cellStyle name="Followed Hyperlink" xfId="22476" builtinId="9" hidden="1"/>
    <cellStyle name="Followed Hyperlink" xfId="22478" builtinId="9" hidden="1"/>
    <cellStyle name="Followed Hyperlink" xfId="22480" builtinId="9" hidden="1"/>
    <cellStyle name="Followed Hyperlink" xfId="22482" builtinId="9" hidden="1"/>
    <cellStyle name="Followed Hyperlink" xfId="22484" builtinId="9" hidden="1"/>
    <cellStyle name="Followed Hyperlink" xfId="22486" builtinId="9" hidden="1"/>
    <cellStyle name="Followed Hyperlink" xfId="22488" builtinId="9" hidden="1"/>
    <cellStyle name="Followed Hyperlink" xfId="22490" builtinId="9" hidden="1"/>
    <cellStyle name="Followed Hyperlink" xfId="22492" builtinId="9" hidden="1"/>
    <cellStyle name="Followed Hyperlink" xfId="22494" builtinId="9" hidden="1"/>
    <cellStyle name="Followed Hyperlink" xfId="22496" builtinId="9" hidden="1"/>
    <cellStyle name="Followed Hyperlink" xfId="22498" builtinId="9" hidden="1"/>
    <cellStyle name="Followed Hyperlink" xfId="22500" builtinId="9" hidden="1"/>
    <cellStyle name="Followed Hyperlink" xfId="22502" builtinId="9" hidden="1"/>
    <cellStyle name="Followed Hyperlink" xfId="22504" builtinId="9" hidden="1"/>
    <cellStyle name="Followed Hyperlink" xfId="22506" builtinId="9" hidden="1"/>
    <cellStyle name="Followed Hyperlink" xfId="22508" builtinId="9" hidden="1"/>
    <cellStyle name="Followed Hyperlink" xfId="22510" builtinId="9" hidden="1"/>
    <cellStyle name="Followed Hyperlink" xfId="22512" builtinId="9" hidden="1"/>
    <cellStyle name="Followed Hyperlink" xfId="22514" builtinId="9" hidden="1"/>
    <cellStyle name="Followed Hyperlink" xfId="22516" builtinId="9" hidden="1"/>
    <cellStyle name="Followed Hyperlink" xfId="22518" builtinId="9" hidden="1"/>
    <cellStyle name="Followed Hyperlink" xfId="22520" builtinId="9" hidden="1"/>
    <cellStyle name="Followed Hyperlink" xfId="22522" builtinId="9" hidden="1"/>
    <cellStyle name="Followed Hyperlink" xfId="22524" builtinId="9" hidden="1"/>
    <cellStyle name="Followed Hyperlink" xfId="22526" builtinId="9" hidden="1"/>
    <cellStyle name="Followed Hyperlink" xfId="22528" builtinId="9" hidden="1"/>
    <cellStyle name="Followed Hyperlink" xfId="22530" builtinId="9" hidden="1"/>
    <cellStyle name="Followed Hyperlink" xfId="22532" builtinId="9" hidden="1"/>
    <cellStyle name="Followed Hyperlink" xfId="22534" builtinId="9" hidden="1"/>
    <cellStyle name="Followed Hyperlink" xfId="22536" builtinId="9" hidden="1"/>
    <cellStyle name="Followed Hyperlink" xfId="22538" builtinId="9" hidden="1"/>
    <cellStyle name="Followed Hyperlink" xfId="22540" builtinId="9" hidden="1"/>
    <cellStyle name="Followed Hyperlink" xfId="22542" builtinId="9" hidden="1"/>
    <cellStyle name="Followed Hyperlink" xfId="22544" builtinId="9" hidden="1"/>
    <cellStyle name="Followed Hyperlink" xfId="22546" builtinId="9" hidden="1"/>
    <cellStyle name="Followed Hyperlink" xfId="22548" builtinId="9" hidden="1"/>
    <cellStyle name="Followed Hyperlink" xfId="22550" builtinId="9" hidden="1"/>
    <cellStyle name="Followed Hyperlink" xfId="22552" builtinId="9" hidden="1"/>
    <cellStyle name="Followed Hyperlink" xfId="22554" builtinId="9" hidden="1"/>
    <cellStyle name="Followed Hyperlink" xfId="22556" builtinId="9" hidden="1"/>
    <cellStyle name="Followed Hyperlink" xfId="22558" builtinId="9" hidden="1"/>
    <cellStyle name="Followed Hyperlink" xfId="22560" builtinId="9" hidden="1"/>
    <cellStyle name="Followed Hyperlink" xfId="22562" builtinId="9" hidden="1"/>
    <cellStyle name="Followed Hyperlink" xfId="22564" builtinId="9" hidden="1"/>
    <cellStyle name="Followed Hyperlink" xfId="22566" builtinId="9" hidden="1"/>
    <cellStyle name="Followed Hyperlink" xfId="22568" builtinId="9" hidden="1"/>
    <cellStyle name="Followed Hyperlink" xfId="22570" builtinId="9" hidden="1"/>
    <cellStyle name="Followed Hyperlink" xfId="22572" builtinId="9" hidden="1"/>
    <cellStyle name="Followed Hyperlink" xfId="22574" builtinId="9" hidden="1"/>
    <cellStyle name="Followed Hyperlink" xfId="22576" builtinId="9" hidden="1"/>
    <cellStyle name="Followed Hyperlink" xfId="22578" builtinId="9" hidden="1"/>
    <cellStyle name="Followed Hyperlink" xfId="22580" builtinId="9" hidden="1"/>
    <cellStyle name="Followed Hyperlink" xfId="22582" builtinId="9" hidden="1"/>
    <cellStyle name="Followed Hyperlink" xfId="22584" builtinId="9" hidden="1"/>
    <cellStyle name="Followed Hyperlink" xfId="22586" builtinId="9" hidden="1"/>
    <cellStyle name="Followed Hyperlink" xfId="22588" builtinId="9" hidden="1"/>
    <cellStyle name="Followed Hyperlink" xfId="22590" builtinId="9" hidden="1"/>
    <cellStyle name="Followed Hyperlink" xfId="22592" builtinId="9" hidden="1"/>
    <cellStyle name="Followed Hyperlink" xfId="22594" builtinId="9" hidden="1"/>
    <cellStyle name="Followed Hyperlink" xfId="22596" builtinId="9" hidden="1"/>
    <cellStyle name="Followed Hyperlink" xfId="22598" builtinId="9" hidden="1"/>
    <cellStyle name="Followed Hyperlink" xfId="22600" builtinId="9" hidden="1"/>
    <cellStyle name="Followed Hyperlink" xfId="22602" builtinId="9" hidden="1"/>
    <cellStyle name="Followed Hyperlink" xfId="22604" builtinId="9" hidden="1"/>
    <cellStyle name="Followed Hyperlink" xfId="22606" builtinId="9" hidden="1"/>
    <cellStyle name="Followed Hyperlink" xfId="22608" builtinId="9" hidden="1"/>
    <cellStyle name="Followed Hyperlink" xfId="22610" builtinId="9" hidden="1"/>
    <cellStyle name="Followed Hyperlink" xfId="22612" builtinId="9" hidden="1"/>
    <cellStyle name="Followed Hyperlink" xfId="22614" builtinId="9" hidden="1"/>
    <cellStyle name="Followed Hyperlink" xfId="22616" builtinId="9" hidden="1"/>
    <cellStyle name="Followed Hyperlink" xfId="22618" builtinId="9" hidden="1"/>
    <cellStyle name="Followed Hyperlink" xfId="22620" builtinId="9" hidden="1"/>
    <cellStyle name="Followed Hyperlink" xfId="22622" builtinId="9" hidden="1"/>
    <cellStyle name="Followed Hyperlink" xfId="22624" builtinId="9" hidden="1"/>
    <cellStyle name="Followed Hyperlink" xfId="22626" builtinId="9" hidden="1"/>
    <cellStyle name="Followed Hyperlink" xfId="22628" builtinId="9" hidden="1"/>
    <cellStyle name="Followed Hyperlink" xfId="22630" builtinId="9" hidden="1"/>
    <cellStyle name="Followed Hyperlink" xfId="22632" builtinId="9" hidden="1"/>
    <cellStyle name="Followed Hyperlink" xfId="22634" builtinId="9" hidden="1"/>
    <cellStyle name="Followed Hyperlink" xfId="22636" builtinId="9" hidden="1"/>
    <cellStyle name="Followed Hyperlink" xfId="22638" builtinId="9" hidden="1"/>
    <cellStyle name="Followed Hyperlink" xfId="22640" builtinId="9" hidden="1"/>
    <cellStyle name="Followed Hyperlink" xfId="22642" builtinId="9" hidden="1"/>
    <cellStyle name="Followed Hyperlink" xfId="22644" builtinId="9" hidden="1"/>
    <cellStyle name="Followed Hyperlink" xfId="22646" builtinId="9" hidden="1"/>
    <cellStyle name="Followed Hyperlink" xfId="22648" builtinId="9" hidden="1"/>
    <cellStyle name="Followed Hyperlink" xfId="22650" builtinId="9" hidden="1"/>
    <cellStyle name="Followed Hyperlink" xfId="22652" builtinId="9" hidden="1"/>
    <cellStyle name="Followed Hyperlink" xfId="22654" builtinId="9" hidden="1"/>
    <cellStyle name="Followed Hyperlink" xfId="22656" builtinId="9" hidden="1"/>
    <cellStyle name="Followed Hyperlink" xfId="22658" builtinId="9" hidden="1"/>
    <cellStyle name="Followed Hyperlink" xfId="22660" builtinId="9" hidden="1"/>
    <cellStyle name="Followed Hyperlink" xfId="22662" builtinId="9" hidden="1"/>
    <cellStyle name="Followed Hyperlink" xfId="22664" builtinId="9" hidden="1"/>
    <cellStyle name="Followed Hyperlink" xfId="22666" builtinId="9" hidden="1"/>
    <cellStyle name="Followed Hyperlink" xfId="22668" builtinId="9" hidden="1"/>
    <cellStyle name="Followed Hyperlink" xfId="22670" builtinId="9" hidden="1"/>
    <cellStyle name="Followed Hyperlink" xfId="22672" builtinId="9" hidden="1"/>
    <cellStyle name="Followed Hyperlink" xfId="22674" builtinId="9" hidden="1"/>
    <cellStyle name="Followed Hyperlink" xfId="22676" builtinId="9" hidden="1"/>
    <cellStyle name="Followed Hyperlink" xfId="22678" builtinId="9" hidden="1"/>
    <cellStyle name="Followed Hyperlink" xfId="22680" builtinId="9" hidden="1"/>
    <cellStyle name="Followed Hyperlink" xfId="22682" builtinId="9" hidden="1"/>
    <cellStyle name="Followed Hyperlink" xfId="22684" builtinId="9" hidden="1"/>
    <cellStyle name="Followed Hyperlink" xfId="22686" builtinId="9" hidden="1"/>
    <cellStyle name="Followed Hyperlink" xfId="22688" builtinId="9" hidden="1"/>
    <cellStyle name="Followed Hyperlink" xfId="22690" builtinId="9" hidden="1"/>
    <cellStyle name="Followed Hyperlink" xfId="22692" builtinId="9" hidden="1"/>
    <cellStyle name="Followed Hyperlink" xfId="22694" builtinId="9" hidden="1"/>
    <cellStyle name="Followed Hyperlink" xfId="22696" builtinId="9" hidden="1"/>
    <cellStyle name="Followed Hyperlink" xfId="22698" builtinId="9" hidden="1"/>
    <cellStyle name="Followed Hyperlink" xfId="22700" builtinId="9" hidden="1"/>
    <cellStyle name="Followed Hyperlink" xfId="22702" builtinId="9" hidden="1"/>
    <cellStyle name="Followed Hyperlink" xfId="22704" builtinId="9" hidden="1"/>
    <cellStyle name="Followed Hyperlink" xfId="22706" builtinId="9" hidden="1"/>
    <cellStyle name="Followed Hyperlink" xfId="22708" builtinId="9" hidden="1"/>
    <cellStyle name="Followed Hyperlink" xfId="22710" builtinId="9" hidden="1"/>
    <cellStyle name="Followed Hyperlink" xfId="22712" builtinId="9" hidden="1"/>
    <cellStyle name="Followed Hyperlink" xfId="22714" builtinId="9" hidden="1"/>
    <cellStyle name="Followed Hyperlink" xfId="22716" builtinId="9" hidden="1"/>
    <cellStyle name="Followed Hyperlink" xfId="22718" builtinId="9" hidden="1"/>
    <cellStyle name="Followed Hyperlink" xfId="22720" builtinId="9" hidden="1"/>
    <cellStyle name="Followed Hyperlink" xfId="22722" builtinId="9" hidden="1"/>
    <cellStyle name="Followed Hyperlink" xfId="22724" builtinId="9" hidden="1"/>
    <cellStyle name="Followed Hyperlink" xfId="22726" builtinId="9" hidden="1"/>
    <cellStyle name="Followed Hyperlink" xfId="22728" builtinId="9" hidden="1"/>
    <cellStyle name="Followed Hyperlink" xfId="22730" builtinId="9" hidden="1"/>
    <cellStyle name="Followed Hyperlink" xfId="22732" builtinId="9" hidden="1"/>
    <cellStyle name="Followed Hyperlink" xfId="22734" builtinId="9" hidden="1"/>
    <cellStyle name="Followed Hyperlink" xfId="22736" builtinId="9" hidden="1"/>
    <cellStyle name="Followed Hyperlink" xfId="22738" builtinId="9" hidden="1"/>
    <cellStyle name="Followed Hyperlink" xfId="22740" builtinId="9" hidden="1"/>
    <cellStyle name="Followed Hyperlink" xfId="22742" builtinId="9" hidden="1"/>
    <cellStyle name="Followed Hyperlink" xfId="22744" builtinId="9" hidden="1"/>
    <cellStyle name="Followed Hyperlink" xfId="22746" builtinId="9" hidden="1"/>
    <cellStyle name="Followed Hyperlink" xfId="22748" builtinId="9" hidden="1"/>
    <cellStyle name="Followed Hyperlink" xfId="22750" builtinId="9" hidden="1"/>
    <cellStyle name="Followed Hyperlink" xfId="22752" builtinId="9" hidden="1"/>
    <cellStyle name="Followed Hyperlink" xfId="22754" builtinId="9" hidden="1"/>
    <cellStyle name="Followed Hyperlink" xfId="22756" builtinId="9" hidden="1"/>
    <cellStyle name="Followed Hyperlink" xfId="22758" builtinId="9" hidden="1"/>
    <cellStyle name="Followed Hyperlink" xfId="22760" builtinId="9" hidden="1"/>
    <cellStyle name="Followed Hyperlink" xfId="22762" builtinId="9" hidden="1"/>
    <cellStyle name="Followed Hyperlink" xfId="22764" builtinId="9" hidden="1"/>
    <cellStyle name="Followed Hyperlink" xfId="22766" builtinId="9" hidden="1"/>
    <cellStyle name="Followed Hyperlink" xfId="22768" builtinId="9" hidden="1"/>
    <cellStyle name="Followed Hyperlink" xfId="22770" builtinId="9" hidden="1"/>
    <cellStyle name="Followed Hyperlink" xfId="22772" builtinId="9" hidden="1"/>
    <cellStyle name="Followed Hyperlink" xfId="22774" builtinId="9" hidden="1"/>
    <cellStyle name="Followed Hyperlink" xfId="22776" builtinId="9" hidden="1"/>
    <cellStyle name="Followed Hyperlink" xfId="22778" builtinId="9" hidden="1"/>
    <cellStyle name="Followed Hyperlink" xfId="22780" builtinId="9" hidden="1"/>
    <cellStyle name="Followed Hyperlink" xfId="22782" builtinId="9" hidden="1"/>
    <cellStyle name="Followed Hyperlink" xfId="22784" builtinId="9" hidden="1"/>
    <cellStyle name="Followed Hyperlink" xfId="22786" builtinId="9" hidden="1"/>
    <cellStyle name="Followed Hyperlink" xfId="22788" builtinId="9" hidden="1"/>
    <cellStyle name="Followed Hyperlink" xfId="22790" builtinId="9" hidden="1"/>
    <cellStyle name="Followed Hyperlink" xfId="22792" builtinId="9" hidden="1"/>
    <cellStyle name="Followed Hyperlink" xfId="22794" builtinId="9" hidden="1"/>
    <cellStyle name="Followed Hyperlink" xfId="22796" builtinId="9" hidden="1"/>
    <cellStyle name="Followed Hyperlink" xfId="22798" builtinId="9" hidden="1"/>
    <cellStyle name="Followed Hyperlink" xfId="22800" builtinId="9" hidden="1"/>
    <cellStyle name="Followed Hyperlink" xfId="22802" builtinId="9" hidden="1"/>
    <cellStyle name="Followed Hyperlink" xfId="22804" builtinId="9" hidden="1"/>
    <cellStyle name="Followed Hyperlink" xfId="22806" builtinId="9" hidden="1"/>
    <cellStyle name="Followed Hyperlink" xfId="22808" builtinId="9" hidden="1"/>
    <cellStyle name="Followed Hyperlink" xfId="22810" builtinId="9" hidden="1"/>
    <cellStyle name="Followed Hyperlink" xfId="22812" builtinId="9" hidden="1"/>
    <cellStyle name="Followed Hyperlink" xfId="22814" builtinId="9" hidden="1"/>
    <cellStyle name="Followed Hyperlink" xfId="22816" builtinId="9" hidden="1"/>
    <cellStyle name="Followed Hyperlink" xfId="22818" builtinId="9" hidden="1"/>
    <cellStyle name="Followed Hyperlink" xfId="22820" builtinId="9" hidden="1"/>
    <cellStyle name="Followed Hyperlink" xfId="22822" builtinId="9" hidden="1"/>
    <cellStyle name="Followed Hyperlink" xfId="22824" builtinId="9" hidden="1"/>
    <cellStyle name="Followed Hyperlink" xfId="22826" builtinId="9" hidden="1"/>
    <cellStyle name="Followed Hyperlink" xfId="22828" builtinId="9" hidden="1"/>
    <cellStyle name="Followed Hyperlink" xfId="22830" builtinId="9" hidden="1"/>
    <cellStyle name="Followed Hyperlink" xfId="22832" builtinId="9" hidden="1"/>
    <cellStyle name="Followed Hyperlink" xfId="22834" builtinId="9" hidden="1"/>
    <cellStyle name="Followed Hyperlink" xfId="22836" builtinId="9" hidden="1"/>
    <cellStyle name="Followed Hyperlink" xfId="22838" builtinId="9" hidden="1"/>
    <cellStyle name="Followed Hyperlink" xfId="22840" builtinId="9" hidden="1"/>
    <cellStyle name="Followed Hyperlink" xfId="22842" builtinId="9" hidden="1"/>
    <cellStyle name="Followed Hyperlink" xfId="22844" builtinId="9" hidden="1"/>
    <cellStyle name="Followed Hyperlink" xfId="22846" builtinId="9" hidden="1"/>
    <cellStyle name="Followed Hyperlink" xfId="22848" builtinId="9" hidden="1"/>
    <cellStyle name="Followed Hyperlink" xfId="22850" builtinId="9" hidden="1"/>
    <cellStyle name="Followed Hyperlink" xfId="22852" builtinId="9" hidden="1"/>
    <cellStyle name="Followed Hyperlink" xfId="22854" builtinId="9" hidden="1"/>
    <cellStyle name="Followed Hyperlink" xfId="22856" builtinId="9" hidden="1"/>
    <cellStyle name="Followed Hyperlink" xfId="22858" builtinId="9" hidden="1"/>
    <cellStyle name="Followed Hyperlink" xfId="22860" builtinId="9" hidden="1"/>
    <cellStyle name="Followed Hyperlink" xfId="22862" builtinId="9" hidden="1"/>
    <cellStyle name="Followed Hyperlink" xfId="22864" builtinId="9" hidden="1"/>
    <cellStyle name="Followed Hyperlink" xfId="22866" builtinId="9" hidden="1"/>
    <cellStyle name="Followed Hyperlink" xfId="22868" builtinId="9" hidden="1"/>
    <cellStyle name="Followed Hyperlink" xfId="22870" builtinId="9" hidden="1"/>
    <cellStyle name="Followed Hyperlink" xfId="22872" builtinId="9" hidden="1"/>
    <cellStyle name="Followed Hyperlink" xfId="22874" builtinId="9" hidden="1"/>
    <cellStyle name="Followed Hyperlink" xfId="22876" builtinId="9" hidden="1"/>
    <cellStyle name="Followed Hyperlink" xfId="22878" builtinId="9" hidden="1"/>
    <cellStyle name="Followed Hyperlink" xfId="22880" builtinId="9" hidden="1"/>
    <cellStyle name="Followed Hyperlink" xfId="22882" builtinId="9" hidden="1"/>
    <cellStyle name="Followed Hyperlink" xfId="22884" builtinId="9" hidden="1"/>
    <cellStyle name="Followed Hyperlink" xfId="22886" builtinId="9" hidden="1"/>
    <cellStyle name="Followed Hyperlink" xfId="22888" builtinId="9" hidden="1"/>
    <cellStyle name="Followed Hyperlink" xfId="22890" builtinId="9" hidden="1"/>
    <cellStyle name="Followed Hyperlink" xfId="22892" builtinId="9" hidden="1"/>
    <cellStyle name="Followed Hyperlink" xfId="22894" builtinId="9" hidden="1"/>
    <cellStyle name="Followed Hyperlink" xfId="22896" builtinId="9" hidden="1"/>
    <cellStyle name="Followed Hyperlink" xfId="22898" builtinId="9" hidden="1"/>
    <cellStyle name="Followed Hyperlink" xfId="22900" builtinId="9" hidden="1"/>
    <cellStyle name="Followed Hyperlink" xfId="22902" builtinId="9" hidden="1"/>
    <cellStyle name="Followed Hyperlink" xfId="22904" builtinId="9" hidden="1"/>
    <cellStyle name="Followed Hyperlink" xfId="22906" builtinId="9" hidden="1"/>
    <cellStyle name="Followed Hyperlink" xfId="22908" builtinId="9" hidden="1"/>
    <cellStyle name="Followed Hyperlink" xfId="22910" builtinId="9" hidden="1"/>
    <cellStyle name="Followed Hyperlink" xfId="22912" builtinId="9" hidden="1"/>
    <cellStyle name="Followed Hyperlink" xfId="22914" builtinId="9" hidden="1"/>
    <cellStyle name="Followed Hyperlink" xfId="22916" builtinId="9" hidden="1"/>
    <cellStyle name="Followed Hyperlink" xfId="22918" builtinId="9" hidden="1"/>
    <cellStyle name="Followed Hyperlink" xfId="22920" builtinId="9" hidden="1"/>
    <cellStyle name="Followed Hyperlink" xfId="22922" builtinId="9" hidden="1"/>
    <cellStyle name="Followed Hyperlink" xfId="22924" builtinId="9" hidden="1"/>
    <cellStyle name="Followed Hyperlink" xfId="22926" builtinId="9" hidden="1"/>
    <cellStyle name="Followed Hyperlink" xfId="22928" builtinId="9" hidden="1"/>
    <cellStyle name="Followed Hyperlink" xfId="22930" builtinId="9" hidden="1"/>
    <cellStyle name="Followed Hyperlink" xfId="22932" builtinId="9" hidden="1"/>
    <cellStyle name="Followed Hyperlink" xfId="22934" builtinId="9" hidden="1"/>
    <cellStyle name="Followed Hyperlink" xfId="22936" builtinId="9" hidden="1"/>
    <cellStyle name="Followed Hyperlink" xfId="22938" builtinId="9" hidden="1"/>
    <cellStyle name="Followed Hyperlink" xfId="22940" builtinId="9" hidden="1"/>
    <cellStyle name="Followed Hyperlink" xfId="22942" builtinId="9" hidden="1"/>
    <cellStyle name="Followed Hyperlink" xfId="22944" builtinId="9" hidden="1"/>
    <cellStyle name="Followed Hyperlink" xfId="22946" builtinId="9" hidden="1"/>
    <cellStyle name="Followed Hyperlink" xfId="22948" builtinId="9" hidden="1"/>
    <cellStyle name="Followed Hyperlink" xfId="22950" builtinId="9" hidden="1"/>
    <cellStyle name="Followed Hyperlink" xfId="22952" builtinId="9" hidden="1"/>
    <cellStyle name="Followed Hyperlink" xfId="22954" builtinId="9" hidden="1"/>
    <cellStyle name="Followed Hyperlink" xfId="22956" builtinId="9" hidden="1"/>
    <cellStyle name="Followed Hyperlink" xfId="22958" builtinId="9" hidden="1"/>
    <cellStyle name="Followed Hyperlink" xfId="22960" builtinId="9" hidden="1"/>
    <cellStyle name="Followed Hyperlink" xfId="22962" builtinId="9" hidden="1"/>
    <cellStyle name="Followed Hyperlink" xfId="22964" builtinId="9" hidden="1"/>
    <cellStyle name="Followed Hyperlink" xfId="22966" builtinId="9" hidden="1"/>
    <cellStyle name="Followed Hyperlink" xfId="22968" builtinId="9" hidden="1"/>
    <cellStyle name="Followed Hyperlink" xfId="22970" builtinId="9" hidden="1"/>
    <cellStyle name="Followed Hyperlink" xfId="22972" builtinId="9" hidden="1"/>
    <cellStyle name="Followed Hyperlink" xfId="22974" builtinId="9" hidden="1"/>
    <cellStyle name="Followed Hyperlink" xfId="22976" builtinId="9" hidden="1"/>
    <cellStyle name="Followed Hyperlink" xfId="22978" builtinId="9" hidden="1"/>
    <cellStyle name="Followed Hyperlink" xfId="22980" builtinId="9" hidden="1"/>
    <cellStyle name="Followed Hyperlink" xfId="22982" builtinId="9" hidden="1"/>
    <cellStyle name="Followed Hyperlink" xfId="22984" builtinId="9" hidden="1"/>
    <cellStyle name="Followed Hyperlink" xfId="22986" builtinId="9" hidden="1"/>
    <cellStyle name="Followed Hyperlink" xfId="22988" builtinId="9" hidden="1"/>
    <cellStyle name="Followed Hyperlink" xfId="22990" builtinId="9" hidden="1"/>
    <cellStyle name="Followed Hyperlink" xfId="22992" builtinId="9" hidden="1"/>
    <cellStyle name="Followed Hyperlink" xfId="22994" builtinId="9" hidden="1"/>
    <cellStyle name="Followed Hyperlink" xfId="22996" builtinId="9" hidden="1"/>
    <cellStyle name="Followed Hyperlink" xfId="22998" builtinId="9" hidden="1"/>
    <cellStyle name="Followed Hyperlink" xfId="23000" builtinId="9" hidden="1"/>
    <cellStyle name="Followed Hyperlink" xfId="23002" builtinId="9" hidden="1"/>
    <cellStyle name="Followed Hyperlink" xfId="23004" builtinId="9" hidden="1"/>
    <cellStyle name="Followed Hyperlink" xfId="23006" builtinId="9" hidden="1"/>
    <cellStyle name="Followed Hyperlink" xfId="23008" builtinId="9" hidden="1"/>
    <cellStyle name="Followed Hyperlink" xfId="23010" builtinId="9" hidden="1"/>
    <cellStyle name="Followed Hyperlink" xfId="23012" builtinId="9" hidden="1"/>
    <cellStyle name="Followed Hyperlink" xfId="23014" builtinId="9" hidden="1"/>
    <cellStyle name="Followed Hyperlink" xfId="23016" builtinId="9" hidden="1"/>
    <cellStyle name="Followed Hyperlink" xfId="23018" builtinId="9" hidden="1"/>
    <cellStyle name="Followed Hyperlink" xfId="23020" builtinId="9" hidden="1"/>
    <cellStyle name="Followed Hyperlink" xfId="23022" builtinId="9" hidden="1"/>
    <cellStyle name="Followed Hyperlink" xfId="23024" builtinId="9" hidden="1"/>
    <cellStyle name="Followed Hyperlink" xfId="23026" builtinId="9" hidden="1"/>
    <cellStyle name="Followed Hyperlink" xfId="23028" builtinId="9" hidden="1"/>
    <cellStyle name="Followed Hyperlink" xfId="23030" builtinId="9" hidden="1"/>
    <cellStyle name="Followed Hyperlink" xfId="23032" builtinId="9" hidden="1"/>
    <cellStyle name="Followed Hyperlink" xfId="23034" builtinId="9" hidden="1"/>
    <cellStyle name="Followed Hyperlink" xfId="23036" builtinId="9" hidden="1"/>
    <cellStyle name="Followed Hyperlink" xfId="23038" builtinId="9" hidden="1"/>
    <cellStyle name="Followed Hyperlink" xfId="23040" builtinId="9" hidden="1"/>
    <cellStyle name="Followed Hyperlink" xfId="23042" builtinId="9" hidden="1"/>
    <cellStyle name="Followed Hyperlink" xfId="23044" builtinId="9" hidden="1"/>
    <cellStyle name="Followed Hyperlink" xfId="23046" builtinId="9" hidden="1"/>
    <cellStyle name="Followed Hyperlink" xfId="23048" builtinId="9" hidden="1"/>
    <cellStyle name="Followed Hyperlink" xfId="23050" builtinId="9" hidden="1"/>
    <cellStyle name="Followed Hyperlink" xfId="23052" builtinId="9" hidden="1"/>
    <cellStyle name="Followed Hyperlink" xfId="23054" builtinId="9" hidden="1"/>
    <cellStyle name="Followed Hyperlink" xfId="23056" builtinId="9" hidden="1"/>
    <cellStyle name="Followed Hyperlink" xfId="23058" builtinId="9" hidden="1"/>
    <cellStyle name="Followed Hyperlink" xfId="23060" builtinId="9" hidden="1"/>
    <cellStyle name="Followed Hyperlink" xfId="23062" builtinId="9" hidden="1"/>
    <cellStyle name="Followed Hyperlink" xfId="23064" builtinId="9" hidden="1"/>
    <cellStyle name="Followed Hyperlink" xfId="23066" builtinId="9" hidden="1"/>
    <cellStyle name="Followed Hyperlink" xfId="23068" builtinId="9" hidden="1"/>
    <cellStyle name="Followed Hyperlink" xfId="23070" builtinId="9" hidden="1"/>
    <cellStyle name="Followed Hyperlink" xfId="23072" builtinId="9" hidden="1"/>
    <cellStyle name="Followed Hyperlink" xfId="23074" builtinId="9" hidden="1"/>
    <cellStyle name="Followed Hyperlink" xfId="23076" builtinId="9" hidden="1"/>
    <cellStyle name="Followed Hyperlink" xfId="23078" builtinId="9" hidden="1"/>
    <cellStyle name="Followed Hyperlink" xfId="23080" builtinId="9" hidden="1"/>
    <cellStyle name="Followed Hyperlink" xfId="23082" builtinId="9" hidden="1"/>
    <cellStyle name="Followed Hyperlink" xfId="23084" builtinId="9" hidden="1"/>
    <cellStyle name="Followed Hyperlink" xfId="23086" builtinId="9" hidden="1"/>
    <cellStyle name="Followed Hyperlink" xfId="23088" builtinId="9" hidden="1"/>
    <cellStyle name="Followed Hyperlink" xfId="23090" builtinId="9" hidden="1"/>
    <cellStyle name="Followed Hyperlink" xfId="23092" builtinId="9" hidden="1"/>
    <cellStyle name="Followed Hyperlink" xfId="23094" builtinId="9" hidden="1"/>
    <cellStyle name="Followed Hyperlink" xfId="23096" builtinId="9" hidden="1"/>
    <cellStyle name="Followed Hyperlink" xfId="23098" builtinId="9" hidden="1"/>
    <cellStyle name="Followed Hyperlink" xfId="23100" builtinId="9" hidden="1"/>
    <cellStyle name="Followed Hyperlink" xfId="23102" builtinId="9" hidden="1"/>
    <cellStyle name="Followed Hyperlink" xfId="23104" builtinId="9" hidden="1"/>
    <cellStyle name="Followed Hyperlink" xfId="23106" builtinId="9" hidden="1"/>
    <cellStyle name="Followed Hyperlink" xfId="23108" builtinId="9" hidden="1"/>
    <cellStyle name="Followed Hyperlink" xfId="23110" builtinId="9" hidden="1"/>
    <cellStyle name="Followed Hyperlink" xfId="23112" builtinId="9" hidden="1"/>
    <cellStyle name="Followed Hyperlink" xfId="23114" builtinId="9" hidden="1"/>
    <cellStyle name="Followed Hyperlink" xfId="23116" builtinId="9" hidden="1"/>
    <cellStyle name="Followed Hyperlink" xfId="23118" builtinId="9" hidden="1"/>
    <cellStyle name="Followed Hyperlink" xfId="23120" builtinId="9" hidden="1"/>
    <cellStyle name="Followed Hyperlink" xfId="23122" builtinId="9" hidden="1"/>
    <cellStyle name="Followed Hyperlink" xfId="23124" builtinId="9" hidden="1"/>
    <cellStyle name="Followed Hyperlink" xfId="23126" builtinId="9" hidden="1"/>
    <cellStyle name="Followed Hyperlink" xfId="23128" builtinId="9" hidden="1"/>
    <cellStyle name="Followed Hyperlink" xfId="23130" builtinId="9" hidden="1"/>
    <cellStyle name="Followed Hyperlink" xfId="23132" builtinId="9" hidden="1"/>
    <cellStyle name="Followed Hyperlink" xfId="23134" builtinId="9" hidden="1"/>
    <cellStyle name="Followed Hyperlink" xfId="23136" builtinId="9" hidden="1"/>
    <cellStyle name="Followed Hyperlink" xfId="23138" builtinId="9" hidden="1"/>
    <cellStyle name="Followed Hyperlink" xfId="23140" builtinId="9" hidden="1"/>
    <cellStyle name="Followed Hyperlink" xfId="23142" builtinId="9" hidden="1"/>
    <cellStyle name="Followed Hyperlink" xfId="23144" builtinId="9" hidden="1"/>
    <cellStyle name="Followed Hyperlink" xfId="23146" builtinId="9" hidden="1"/>
    <cellStyle name="Followed Hyperlink" xfId="23148" builtinId="9" hidden="1"/>
    <cellStyle name="Followed Hyperlink" xfId="23150" builtinId="9" hidden="1"/>
    <cellStyle name="Followed Hyperlink" xfId="23152" builtinId="9" hidden="1"/>
    <cellStyle name="Followed Hyperlink" xfId="23154" builtinId="9" hidden="1"/>
    <cellStyle name="Followed Hyperlink" xfId="23156" builtinId="9" hidden="1"/>
    <cellStyle name="Followed Hyperlink" xfId="23158" builtinId="9" hidden="1"/>
    <cellStyle name="Followed Hyperlink" xfId="23160" builtinId="9" hidden="1"/>
    <cellStyle name="Followed Hyperlink" xfId="23162" builtinId="9" hidden="1"/>
    <cellStyle name="Followed Hyperlink" xfId="23164" builtinId="9" hidden="1"/>
    <cellStyle name="Followed Hyperlink" xfId="23166" builtinId="9" hidden="1"/>
    <cellStyle name="Followed Hyperlink" xfId="23168" builtinId="9" hidden="1"/>
    <cellStyle name="Followed Hyperlink" xfId="23170" builtinId="9" hidden="1"/>
    <cellStyle name="Followed Hyperlink" xfId="23172" builtinId="9" hidden="1"/>
    <cellStyle name="Followed Hyperlink" xfId="23174" builtinId="9" hidden="1"/>
    <cellStyle name="Followed Hyperlink" xfId="23176" builtinId="9" hidden="1"/>
    <cellStyle name="Followed Hyperlink" xfId="23178" builtinId="9" hidden="1"/>
    <cellStyle name="Followed Hyperlink" xfId="23180" builtinId="9" hidden="1"/>
    <cellStyle name="Followed Hyperlink" xfId="23182" builtinId="9" hidden="1"/>
    <cellStyle name="Followed Hyperlink" xfId="23184" builtinId="9" hidden="1"/>
    <cellStyle name="Followed Hyperlink" xfId="23186" builtinId="9" hidden="1"/>
    <cellStyle name="Followed Hyperlink" xfId="23188" builtinId="9" hidden="1"/>
    <cellStyle name="Followed Hyperlink" xfId="23190" builtinId="9" hidden="1"/>
    <cellStyle name="Followed Hyperlink" xfId="23192" builtinId="9" hidden="1"/>
    <cellStyle name="Followed Hyperlink" xfId="23194" builtinId="9" hidden="1"/>
    <cellStyle name="Followed Hyperlink" xfId="23196" builtinId="9" hidden="1"/>
    <cellStyle name="Followed Hyperlink" xfId="23198" builtinId="9" hidden="1"/>
    <cellStyle name="Followed Hyperlink" xfId="23200" builtinId="9" hidden="1"/>
    <cellStyle name="Followed Hyperlink" xfId="23202" builtinId="9" hidden="1"/>
    <cellStyle name="Followed Hyperlink" xfId="23204" builtinId="9" hidden="1"/>
    <cellStyle name="Followed Hyperlink" xfId="23206" builtinId="9" hidden="1"/>
    <cellStyle name="Followed Hyperlink" xfId="23208" builtinId="9" hidden="1"/>
    <cellStyle name="Followed Hyperlink" xfId="23210" builtinId="9" hidden="1"/>
    <cellStyle name="Followed Hyperlink" xfId="23212" builtinId="9" hidden="1"/>
    <cellStyle name="Followed Hyperlink" xfId="23214" builtinId="9" hidden="1"/>
    <cellStyle name="Followed Hyperlink" xfId="23216" builtinId="9" hidden="1"/>
    <cellStyle name="Followed Hyperlink" xfId="23218" builtinId="9" hidden="1"/>
    <cellStyle name="Followed Hyperlink" xfId="23220" builtinId="9" hidden="1"/>
    <cellStyle name="Followed Hyperlink" xfId="23222" builtinId="9" hidden="1"/>
    <cellStyle name="Followed Hyperlink" xfId="23224" builtinId="9" hidden="1"/>
    <cellStyle name="Followed Hyperlink" xfId="23226" builtinId="9" hidden="1"/>
    <cellStyle name="Followed Hyperlink" xfId="23228" builtinId="9" hidden="1"/>
    <cellStyle name="Followed Hyperlink" xfId="23230" builtinId="9" hidden="1"/>
    <cellStyle name="Followed Hyperlink" xfId="23232" builtinId="9" hidden="1"/>
    <cellStyle name="Followed Hyperlink" xfId="23234" builtinId="9" hidden="1"/>
    <cellStyle name="Followed Hyperlink" xfId="23236" builtinId="9" hidden="1"/>
    <cellStyle name="Followed Hyperlink" xfId="23238" builtinId="9" hidden="1"/>
    <cellStyle name="Followed Hyperlink" xfId="23240" builtinId="9" hidden="1"/>
    <cellStyle name="Followed Hyperlink" xfId="23242" builtinId="9" hidden="1"/>
    <cellStyle name="Followed Hyperlink" xfId="23244" builtinId="9" hidden="1"/>
    <cellStyle name="Followed Hyperlink" xfId="23246" builtinId="9" hidden="1"/>
    <cellStyle name="Followed Hyperlink" xfId="23248" builtinId="9" hidden="1"/>
    <cellStyle name="Followed Hyperlink" xfId="23250" builtinId="9" hidden="1"/>
    <cellStyle name="Followed Hyperlink" xfId="23252" builtinId="9" hidden="1"/>
    <cellStyle name="Followed Hyperlink" xfId="23254" builtinId="9" hidden="1"/>
    <cellStyle name="Followed Hyperlink" xfId="23256" builtinId="9" hidden="1"/>
    <cellStyle name="Followed Hyperlink" xfId="23258" builtinId="9" hidden="1"/>
    <cellStyle name="Followed Hyperlink" xfId="23260" builtinId="9" hidden="1"/>
    <cellStyle name="Followed Hyperlink" xfId="23262" builtinId="9" hidden="1"/>
    <cellStyle name="Followed Hyperlink" xfId="23264" builtinId="9" hidden="1"/>
    <cellStyle name="Followed Hyperlink" xfId="23266" builtinId="9" hidden="1"/>
    <cellStyle name="Followed Hyperlink" xfId="23268" builtinId="9" hidden="1"/>
    <cellStyle name="Followed Hyperlink" xfId="23270" builtinId="9" hidden="1"/>
    <cellStyle name="Followed Hyperlink" xfId="23272" builtinId="9" hidden="1"/>
    <cellStyle name="Followed Hyperlink" xfId="23274" builtinId="9" hidden="1"/>
    <cellStyle name="Followed Hyperlink" xfId="23276" builtinId="9" hidden="1"/>
    <cellStyle name="Followed Hyperlink" xfId="23278" builtinId="9" hidden="1"/>
    <cellStyle name="Followed Hyperlink" xfId="23280" builtinId="9" hidden="1"/>
    <cellStyle name="Followed Hyperlink" xfId="23282" builtinId="9" hidden="1"/>
    <cellStyle name="Followed Hyperlink" xfId="23284" builtinId="9" hidden="1"/>
    <cellStyle name="Followed Hyperlink" xfId="23286" builtinId="9" hidden="1"/>
    <cellStyle name="Followed Hyperlink" xfId="23288" builtinId="9" hidden="1"/>
    <cellStyle name="Followed Hyperlink" xfId="23290" builtinId="9" hidden="1"/>
    <cellStyle name="Followed Hyperlink" xfId="23292" builtinId="9" hidden="1"/>
    <cellStyle name="Followed Hyperlink" xfId="23294" builtinId="9" hidden="1"/>
    <cellStyle name="Followed Hyperlink" xfId="23296" builtinId="9" hidden="1"/>
    <cellStyle name="Followed Hyperlink" xfId="23298" builtinId="9" hidden="1"/>
    <cellStyle name="Followed Hyperlink" xfId="23300" builtinId="9" hidden="1"/>
    <cellStyle name="Followed Hyperlink" xfId="23302" builtinId="9" hidden="1"/>
    <cellStyle name="Followed Hyperlink" xfId="23304" builtinId="9" hidden="1"/>
    <cellStyle name="Followed Hyperlink" xfId="23306" builtinId="9" hidden="1"/>
    <cellStyle name="Followed Hyperlink" xfId="23308" builtinId="9" hidden="1"/>
    <cellStyle name="Followed Hyperlink" xfId="23310" builtinId="9" hidden="1"/>
    <cellStyle name="Followed Hyperlink" xfId="23312" builtinId="9" hidden="1"/>
    <cellStyle name="Followed Hyperlink" xfId="23314" builtinId="9" hidden="1"/>
    <cellStyle name="Followed Hyperlink" xfId="23316" builtinId="9" hidden="1"/>
    <cellStyle name="Followed Hyperlink" xfId="23318" builtinId="9" hidden="1"/>
    <cellStyle name="Followed Hyperlink" xfId="23320" builtinId="9" hidden="1"/>
    <cellStyle name="Followed Hyperlink" xfId="23322" builtinId="9" hidden="1"/>
    <cellStyle name="Followed Hyperlink" xfId="23324" builtinId="9" hidden="1"/>
    <cellStyle name="Followed Hyperlink" xfId="23326" builtinId="9" hidden="1"/>
    <cellStyle name="Followed Hyperlink" xfId="23328" builtinId="9" hidden="1"/>
    <cellStyle name="Followed Hyperlink" xfId="23330" builtinId="9" hidden="1"/>
    <cellStyle name="Followed Hyperlink" xfId="23332" builtinId="9" hidden="1"/>
    <cellStyle name="Followed Hyperlink" xfId="23334" builtinId="9" hidden="1"/>
    <cellStyle name="Followed Hyperlink" xfId="23336" builtinId="9" hidden="1"/>
    <cellStyle name="Followed Hyperlink" xfId="23338" builtinId="9" hidden="1"/>
    <cellStyle name="Followed Hyperlink" xfId="23340" builtinId="9" hidden="1"/>
    <cellStyle name="Followed Hyperlink" xfId="23342" builtinId="9" hidden="1"/>
    <cellStyle name="Followed Hyperlink" xfId="23344" builtinId="9" hidden="1"/>
    <cellStyle name="Followed Hyperlink" xfId="23346" builtinId="9" hidden="1"/>
    <cellStyle name="Followed Hyperlink" xfId="23348" builtinId="9" hidden="1"/>
    <cellStyle name="Followed Hyperlink" xfId="23350" builtinId="9" hidden="1"/>
    <cellStyle name="Followed Hyperlink" xfId="23352" builtinId="9" hidden="1"/>
    <cellStyle name="Followed Hyperlink" xfId="23354" builtinId="9" hidden="1"/>
    <cellStyle name="Followed Hyperlink" xfId="23356" builtinId="9" hidden="1"/>
    <cellStyle name="Followed Hyperlink" xfId="23358" builtinId="9" hidden="1"/>
    <cellStyle name="Followed Hyperlink" xfId="23360" builtinId="9" hidden="1"/>
    <cellStyle name="Followed Hyperlink" xfId="23362" builtinId="9" hidden="1"/>
    <cellStyle name="Followed Hyperlink" xfId="23364" builtinId="9" hidden="1"/>
    <cellStyle name="Followed Hyperlink" xfId="23366" builtinId="9" hidden="1"/>
    <cellStyle name="Followed Hyperlink" xfId="23368" builtinId="9" hidden="1"/>
    <cellStyle name="Followed Hyperlink" xfId="23370" builtinId="9" hidden="1"/>
    <cellStyle name="Followed Hyperlink" xfId="23372" builtinId="9" hidden="1"/>
    <cellStyle name="Followed Hyperlink" xfId="23374" builtinId="9" hidden="1"/>
    <cellStyle name="Followed Hyperlink" xfId="23376" builtinId="9" hidden="1"/>
    <cellStyle name="Followed Hyperlink" xfId="23378" builtinId="9" hidden="1"/>
    <cellStyle name="Followed Hyperlink" xfId="23380" builtinId="9" hidden="1"/>
    <cellStyle name="Followed Hyperlink" xfId="23382" builtinId="9" hidden="1"/>
    <cellStyle name="Followed Hyperlink" xfId="23384" builtinId="9" hidden="1"/>
    <cellStyle name="Followed Hyperlink" xfId="2338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Hyperlink" xfId="1919" builtinId="8" hidden="1"/>
    <cellStyle name="Hyperlink" xfId="1921" builtinId="8" hidden="1"/>
    <cellStyle name="Hyperlink" xfId="1923" builtinId="8" hidden="1"/>
    <cellStyle name="Hyperlink" xfId="1925" builtinId="8" hidden="1"/>
    <cellStyle name="Hyperlink" xfId="1927" builtinId="8" hidden="1"/>
    <cellStyle name="Hyperlink" xfId="1929" builtinId="8" hidden="1"/>
    <cellStyle name="Hyperlink" xfId="1931" builtinId="8" hidden="1"/>
    <cellStyle name="Hyperlink" xfId="1933" builtinId="8" hidden="1"/>
    <cellStyle name="Hyperlink" xfId="1935" builtinId="8" hidden="1"/>
    <cellStyle name="Hyperlink" xfId="1937" builtinId="8" hidden="1"/>
    <cellStyle name="Hyperlink" xfId="1939" builtinId="8" hidden="1"/>
    <cellStyle name="Hyperlink" xfId="1941" builtinId="8" hidden="1"/>
    <cellStyle name="Hyperlink" xfId="1943" builtinId="8" hidden="1"/>
    <cellStyle name="Hyperlink" xfId="1945" builtinId="8" hidden="1"/>
    <cellStyle name="Hyperlink" xfId="1947" builtinId="8" hidden="1"/>
    <cellStyle name="Hyperlink" xfId="1949" builtinId="8" hidden="1"/>
    <cellStyle name="Hyperlink" xfId="1951" builtinId="8" hidden="1"/>
    <cellStyle name="Hyperlink" xfId="1953" builtinId="8" hidden="1"/>
    <cellStyle name="Hyperlink" xfId="1955" builtinId="8" hidden="1"/>
    <cellStyle name="Hyperlink" xfId="1957" builtinId="8" hidden="1"/>
    <cellStyle name="Hyperlink" xfId="1959" builtinId="8" hidden="1"/>
    <cellStyle name="Hyperlink" xfId="1961" builtinId="8" hidden="1"/>
    <cellStyle name="Hyperlink" xfId="1963" builtinId="8" hidden="1"/>
    <cellStyle name="Hyperlink" xfId="1965"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1999" builtinId="8" hidden="1"/>
    <cellStyle name="Hyperlink" xfId="2001" builtinId="8" hidden="1"/>
    <cellStyle name="Hyperlink" xfId="2003"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19" builtinId="8" hidden="1"/>
    <cellStyle name="Hyperlink" xfId="2021" builtinId="8" hidden="1"/>
    <cellStyle name="Hyperlink" xfId="2023" builtinId="8" hidden="1"/>
    <cellStyle name="Hyperlink" xfId="2025" builtinId="8" hidden="1"/>
    <cellStyle name="Hyperlink" xfId="2027" builtinId="8" hidden="1"/>
    <cellStyle name="Hyperlink" xfId="2029" builtinId="8" hidden="1"/>
    <cellStyle name="Hyperlink" xfId="2031" builtinId="8" hidden="1"/>
    <cellStyle name="Hyperlink" xfId="2033" builtinId="8" hidden="1"/>
    <cellStyle name="Hyperlink" xfId="2035" builtinId="8" hidden="1"/>
    <cellStyle name="Hyperlink" xfId="2037" builtinId="8" hidden="1"/>
    <cellStyle name="Hyperlink" xfId="2039" builtinId="8" hidden="1"/>
    <cellStyle name="Hyperlink" xfId="2041" builtinId="8" hidden="1"/>
    <cellStyle name="Hyperlink" xfId="2043" builtinId="8" hidden="1"/>
    <cellStyle name="Hyperlink" xfId="2045" builtinId="8" hidden="1"/>
    <cellStyle name="Hyperlink" xfId="2047" builtinId="8" hidden="1"/>
    <cellStyle name="Hyperlink" xfId="2049" builtinId="8" hidden="1"/>
    <cellStyle name="Hyperlink" xfId="2051" builtinId="8" hidden="1"/>
    <cellStyle name="Hyperlink" xfId="2053" builtinId="8" hidden="1"/>
    <cellStyle name="Hyperlink" xfId="2055" builtinId="8" hidden="1"/>
    <cellStyle name="Hyperlink" xfId="2057" builtinId="8" hidden="1"/>
    <cellStyle name="Hyperlink" xfId="2059" builtinId="8" hidden="1"/>
    <cellStyle name="Hyperlink" xfId="2061" builtinId="8" hidden="1"/>
    <cellStyle name="Hyperlink" xfId="2063" builtinId="8" hidden="1"/>
    <cellStyle name="Hyperlink" xfId="2065" builtinId="8" hidden="1"/>
    <cellStyle name="Hyperlink" xfId="2067" builtinId="8" hidden="1"/>
    <cellStyle name="Hyperlink" xfId="2069" builtinId="8" hidden="1"/>
    <cellStyle name="Hyperlink" xfId="2071" builtinId="8" hidden="1"/>
    <cellStyle name="Hyperlink" xfId="2073" builtinId="8" hidden="1"/>
    <cellStyle name="Hyperlink" xfId="2075" builtinId="8" hidden="1"/>
    <cellStyle name="Hyperlink" xfId="2077" builtinId="8" hidden="1"/>
    <cellStyle name="Hyperlink" xfId="2079" builtinId="8" hidden="1"/>
    <cellStyle name="Hyperlink" xfId="2081" builtinId="8" hidden="1"/>
    <cellStyle name="Hyperlink" xfId="2083" builtinId="8" hidden="1"/>
    <cellStyle name="Hyperlink" xfId="2085" builtinId="8" hidden="1"/>
    <cellStyle name="Hyperlink" xfId="2087" builtinId="8" hidden="1"/>
    <cellStyle name="Hyperlink" xfId="2089" builtinId="8" hidden="1"/>
    <cellStyle name="Hyperlink" xfId="2091" builtinId="8" hidden="1"/>
    <cellStyle name="Hyperlink" xfId="2093" builtinId="8" hidden="1"/>
    <cellStyle name="Hyperlink" xfId="2095" builtinId="8" hidden="1"/>
    <cellStyle name="Hyperlink" xfId="2097" builtinId="8" hidden="1"/>
    <cellStyle name="Hyperlink" xfId="2099" builtinId="8" hidden="1"/>
    <cellStyle name="Hyperlink" xfId="2101" builtinId="8" hidden="1"/>
    <cellStyle name="Hyperlink" xfId="2103" builtinId="8" hidden="1"/>
    <cellStyle name="Hyperlink" xfId="2105" builtinId="8" hidden="1"/>
    <cellStyle name="Hyperlink" xfId="2107" builtinId="8" hidden="1"/>
    <cellStyle name="Hyperlink" xfId="2109" builtinId="8" hidden="1"/>
    <cellStyle name="Hyperlink" xfId="2111" builtinId="8" hidden="1"/>
    <cellStyle name="Hyperlink" xfId="2113" builtinId="8" hidden="1"/>
    <cellStyle name="Hyperlink" xfId="2115" builtinId="8" hidden="1"/>
    <cellStyle name="Hyperlink" xfId="2117" builtinId="8" hidden="1"/>
    <cellStyle name="Hyperlink" xfId="2119" builtinId="8" hidden="1"/>
    <cellStyle name="Hyperlink" xfId="2121" builtinId="8" hidden="1"/>
    <cellStyle name="Hyperlink" xfId="2123" builtinId="8" hidden="1"/>
    <cellStyle name="Hyperlink" xfId="2125" builtinId="8" hidden="1"/>
    <cellStyle name="Hyperlink" xfId="2127" builtinId="8" hidden="1"/>
    <cellStyle name="Hyperlink" xfId="2129" builtinId="8" hidden="1"/>
    <cellStyle name="Hyperlink" xfId="2131" builtinId="8" hidden="1"/>
    <cellStyle name="Hyperlink" xfId="2133" builtinId="8" hidden="1"/>
    <cellStyle name="Hyperlink" xfId="2135" builtinId="8" hidden="1"/>
    <cellStyle name="Hyperlink" xfId="2137" builtinId="8" hidden="1"/>
    <cellStyle name="Hyperlink" xfId="2139" builtinId="8" hidden="1"/>
    <cellStyle name="Hyperlink" xfId="2141" builtinId="8" hidden="1"/>
    <cellStyle name="Hyperlink" xfId="2143" builtinId="8" hidden="1"/>
    <cellStyle name="Hyperlink" xfId="2145" builtinId="8" hidden="1"/>
    <cellStyle name="Hyperlink" xfId="2147" builtinId="8" hidden="1"/>
    <cellStyle name="Hyperlink" xfId="2149" builtinId="8" hidden="1"/>
    <cellStyle name="Hyperlink" xfId="2151" builtinId="8" hidden="1"/>
    <cellStyle name="Hyperlink" xfId="2153" builtinId="8" hidden="1"/>
    <cellStyle name="Hyperlink" xfId="2155" builtinId="8" hidden="1"/>
    <cellStyle name="Hyperlink" xfId="2157" builtinId="8" hidden="1"/>
    <cellStyle name="Hyperlink" xfId="2159" builtinId="8" hidden="1"/>
    <cellStyle name="Hyperlink" xfId="2161" builtinId="8" hidden="1"/>
    <cellStyle name="Hyperlink" xfId="2163" builtinId="8" hidden="1"/>
    <cellStyle name="Hyperlink" xfId="2165" builtinId="8" hidden="1"/>
    <cellStyle name="Hyperlink" xfId="2167" builtinId="8" hidden="1"/>
    <cellStyle name="Hyperlink" xfId="2169" builtinId="8" hidden="1"/>
    <cellStyle name="Hyperlink" xfId="2171" builtinId="8" hidden="1"/>
    <cellStyle name="Hyperlink" xfId="2173" builtinId="8" hidden="1"/>
    <cellStyle name="Hyperlink" xfId="2175" builtinId="8" hidden="1"/>
    <cellStyle name="Hyperlink" xfId="2177" builtinId="8" hidden="1"/>
    <cellStyle name="Hyperlink" xfId="2179" builtinId="8" hidden="1"/>
    <cellStyle name="Hyperlink" xfId="2181" builtinId="8" hidden="1"/>
    <cellStyle name="Hyperlink" xfId="2183" builtinId="8" hidden="1"/>
    <cellStyle name="Hyperlink" xfId="2185" builtinId="8" hidden="1"/>
    <cellStyle name="Hyperlink" xfId="2187" builtinId="8" hidden="1"/>
    <cellStyle name="Hyperlink" xfId="2189" builtinId="8" hidden="1"/>
    <cellStyle name="Hyperlink" xfId="2191" builtinId="8" hidden="1"/>
    <cellStyle name="Hyperlink" xfId="2193" builtinId="8" hidden="1"/>
    <cellStyle name="Hyperlink" xfId="2195" builtinId="8" hidden="1"/>
    <cellStyle name="Hyperlink" xfId="2197" builtinId="8" hidden="1"/>
    <cellStyle name="Hyperlink" xfId="2199" builtinId="8" hidden="1"/>
    <cellStyle name="Hyperlink" xfId="2201" builtinId="8" hidden="1"/>
    <cellStyle name="Hyperlink" xfId="2203" builtinId="8" hidden="1"/>
    <cellStyle name="Hyperlink" xfId="2205" builtinId="8" hidden="1"/>
    <cellStyle name="Hyperlink" xfId="2207" builtinId="8" hidden="1"/>
    <cellStyle name="Hyperlink" xfId="2209" builtinId="8" hidden="1"/>
    <cellStyle name="Hyperlink" xfId="2211" builtinId="8" hidden="1"/>
    <cellStyle name="Hyperlink" xfId="2213" builtinId="8" hidden="1"/>
    <cellStyle name="Hyperlink" xfId="2215" builtinId="8" hidden="1"/>
    <cellStyle name="Hyperlink" xfId="2217" builtinId="8" hidden="1"/>
    <cellStyle name="Hyperlink" xfId="2219" builtinId="8" hidden="1"/>
    <cellStyle name="Hyperlink" xfId="2221" builtinId="8" hidden="1"/>
    <cellStyle name="Hyperlink" xfId="2223" builtinId="8" hidden="1"/>
    <cellStyle name="Hyperlink" xfId="2225" builtinId="8" hidden="1"/>
    <cellStyle name="Hyperlink" xfId="2227" builtinId="8" hidden="1"/>
    <cellStyle name="Hyperlink" xfId="2229" builtinId="8" hidden="1"/>
    <cellStyle name="Hyperlink" xfId="2231" builtinId="8" hidden="1"/>
    <cellStyle name="Hyperlink" xfId="2233" builtinId="8" hidden="1"/>
    <cellStyle name="Hyperlink" xfId="2235" builtinId="8" hidden="1"/>
    <cellStyle name="Hyperlink" xfId="2237" builtinId="8" hidden="1"/>
    <cellStyle name="Hyperlink" xfId="2239" builtinId="8" hidden="1"/>
    <cellStyle name="Hyperlink" xfId="2241" builtinId="8" hidden="1"/>
    <cellStyle name="Hyperlink" xfId="2243" builtinId="8" hidden="1"/>
    <cellStyle name="Hyperlink" xfId="2245" builtinId="8" hidden="1"/>
    <cellStyle name="Hyperlink" xfId="2247" builtinId="8" hidden="1"/>
    <cellStyle name="Hyperlink" xfId="2249" builtinId="8" hidden="1"/>
    <cellStyle name="Hyperlink" xfId="2251" builtinId="8" hidden="1"/>
    <cellStyle name="Hyperlink" xfId="2253" builtinId="8" hidden="1"/>
    <cellStyle name="Hyperlink" xfId="2255" builtinId="8" hidden="1"/>
    <cellStyle name="Hyperlink" xfId="2257" builtinId="8" hidden="1"/>
    <cellStyle name="Hyperlink" xfId="2259" builtinId="8" hidden="1"/>
    <cellStyle name="Hyperlink" xfId="2261" builtinId="8" hidden="1"/>
    <cellStyle name="Hyperlink" xfId="2263" builtinId="8" hidden="1"/>
    <cellStyle name="Hyperlink" xfId="2265" builtinId="8" hidden="1"/>
    <cellStyle name="Hyperlink" xfId="2267" builtinId="8" hidden="1"/>
    <cellStyle name="Hyperlink" xfId="2269" builtinId="8" hidden="1"/>
    <cellStyle name="Hyperlink" xfId="2271" builtinId="8" hidden="1"/>
    <cellStyle name="Hyperlink" xfId="2273" builtinId="8" hidden="1"/>
    <cellStyle name="Hyperlink" xfId="2275" builtinId="8" hidden="1"/>
    <cellStyle name="Hyperlink" xfId="2277" builtinId="8" hidden="1"/>
    <cellStyle name="Hyperlink" xfId="2279" builtinId="8" hidden="1"/>
    <cellStyle name="Hyperlink" xfId="2281" builtinId="8" hidden="1"/>
    <cellStyle name="Hyperlink" xfId="2283" builtinId="8" hidden="1"/>
    <cellStyle name="Hyperlink" xfId="2285" builtinId="8" hidden="1"/>
    <cellStyle name="Hyperlink" xfId="2287" builtinId="8" hidden="1"/>
    <cellStyle name="Hyperlink" xfId="2289" builtinId="8" hidden="1"/>
    <cellStyle name="Hyperlink" xfId="2291" builtinId="8" hidden="1"/>
    <cellStyle name="Hyperlink" xfId="2293" builtinId="8" hidden="1"/>
    <cellStyle name="Hyperlink" xfId="2295" builtinId="8" hidden="1"/>
    <cellStyle name="Hyperlink" xfId="2297" builtinId="8" hidden="1"/>
    <cellStyle name="Hyperlink" xfId="2299" builtinId="8" hidden="1"/>
    <cellStyle name="Hyperlink" xfId="2301" builtinId="8" hidden="1"/>
    <cellStyle name="Hyperlink" xfId="2303" builtinId="8" hidden="1"/>
    <cellStyle name="Hyperlink" xfId="2305" builtinId="8" hidden="1"/>
    <cellStyle name="Hyperlink" xfId="2307" builtinId="8" hidden="1"/>
    <cellStyle name="Hyperlink" xfId="2309" builtinId="8" hidden="1"/>
    <cellStyle name="Hyperlink" xfId="2311" builtinId="8" hidden="1"/>
    <cellStyle name="Hyperlink" xfId="2313" builtinId="8" hidden="1"/>
    <cellStyle name="Hyperlink" xfId="2315" builtinId="8" hidden="1"/>
    <cellStyle name="Hyperlink" xfId="2317" builtinId="8" hidden="1"/>
    <cellStyle name="Hyperlink" xfId="2319" builtinId="8" hidden="1"/>
    <cellStyle name="Hyperlink" xfId="2321" builtinId="8" hidden="1"/>
    <cellStyle name="Hyperlink" xfId="2323" builtinId="8" hidden="1"/>
    <cellStyle name="Hyperlink" xfId="2325" builtinId="8" hidden="1"/>
    <cellStyle name="Hyperlink" xfId="2327" builtinId="8" hidden="1"/>
    <cellStyle name="Hyperlink" xfId="2329" builtinId="8" hidden="1"/>
    <cellStyle name="Hyperlink" xfId="2331" builtinId="8" hidden="1"/>
    <cellStyle name="Hyperlink" xfId="2333" builtinId="8" hidden="1"/>
    <cellStyle name="Hyperlink" xfId="2335" builtinId="8" hidden="1"/>
    <cellStyle name="Hyperlink" xfId="2337" builtinId="8" hidden="1"/>
    <cellStyle name="Hyperlink" xfId="2339" builtinId="8" hidden="1"/>
    <cellStyle name="Hyperlink" xfId="2341" builtinId="8" hidden="1"/>
    <cellStyle name="Hyperlink" xfId="2343" builtinId="8" hidden="1"/>
    <cellStyle name="Hyperlink" xfId="2345" builtinId="8" hidden="1"/>
    <cellStyle name="Hyperlink" xfId="2347" builtinId="8" hidden="1"/>
    <cellStyle name="Hyperlink" xfId="2349" builtinId="8" hidden="1"/>
    <cellStyle name="Hyperlink" xfId="2351" builtinId="8" hidden="1"/>
    <cellStyle name="Hyperlink" xfId="2353" builtinId="8" hidden="1"/>
    <cellStyle name="Hyperlink" xfId="2355" builtinId="8" hidden="1"/>
    <cellStyle name="Hyperlink" xfId="2357" builtinId="8" hidden="1"/>
    <cellStyle name="Hyperlink" xfId="2359" builtinId="8" hidden="1"/>
    <cellStyle name="Hyperlink" xfId="2361" builtinId="8" hidden="1"/>
    <cellStyle name="Hyperlink" xfId="2363" builtinId="8" hidden="1"/>
    <cellStyle name="Hyperlink" xfId="2365" builtinId="8" hidden="1"/>
    <cellStyle name="Hyperlink" xfId="2367" builtinId="8" hidden="1"/>
    <cellStyle name="Hyperlink" xfId="2369" builtinId="8" hidden="1"/>
    <cellStyle name="Hyperlink" xfId="2371" builtinId="8" hidden="1"/>
    <cellStyle name="Hyperlink" xfId="2373" builtinId="8" hidden="1"/>
    <cellStyle name="Hyperlink" xfId="2375" builtinId="8" hidden="1"/>
    <cellStyle name="Hyperlink" xfId="2377" builtinId="8" hidden="1"/>
    <cellStyle name="Hyperlink" xfId="2379" builtinId="8" hidden="1"/>
    <cellStyle name="Hyperlink" xfId="2381" builtinId="8" hidden="1"/>
    <cellStyle name="Hyperlink" xfId="2383" builtinId="8" hidden="1"/>
    <cellStyle name="Hyperlink" xfId="2385" builtinId="8" hidden="1"/>
    <cellStyle name="Hyperlink" xfId="2387" builtinId="8" hidden="1"/>
    <cellStyle name="Hyperlink" xfId="2389" builtinId="8" hidden="1"/>
    <cellStyle name="Hyperlink" xfId="2391" builtinId="8" hidden="1"/>
    <cellStyle name="Hyperlink" xfId="2393" builtinId="8" hidden="1"/>
    <cellStyle name="Hyperlink" xfId="2395" builtinId="8" hidden="1"/>
    <cellStyle name="Hyperlink" xfId="2397" builtinId="8" hidden="1"/>
    <cellStyle name="Hyperlink" xfId="2399" builtinId="8" hidden="1"/>
    <cellStyle name="Hyperlink" xfId="2401" builtinId="8" hidden="1"/>
    <cellStyle name="Hyperlink" xfId="2403" builtinId="8" hidden="1"/>
    <cellStyle name="Hyperlink" xfId="2405" builtinId="8" hidden="1"/>
    <cellStyle name="Hyperlink" xfId="2407" builtinId="8" hidden="1"/>
    <cellStyle name="Hyperlink" xfId="2409" builtinId="8" hidden="1"/>
    <cellStyle name="Hyperlink" xfId="2411" builtinId="8" hidden="1"/>
    <cellStyle name="Hyperlink" xfId="2413" builtinId="8" hidden="1"/>
    <cellStyle name="Hyperlink" xfId="2415" builtinId="8" hidden="1"/>
    <cellStyle name="Hyperlink" xfId="2417" builtinId="8" hidden="1"/>
    <cellStyle name="Hyperlink" xfId="2419" builtinId="8" hidden="1"/>
    <cellStyle name="Hyperlink" xfId="2421" builtinId="8" hidden="1"/>
    <cellStyle name="Hyperlink" xfId="2423" builtinId="8" hidden="1"/>
    <cellStyle name="Hyperlink" xfId="2425" builtinId="8" hidden="1"/>
    <cellStyle name="Hyperlink" xfId="2427" builtinId="8" hidden="1"/>
    <cellStyle name="Hyperlink" xfId="2429" builtinId="8" hidden="1"/>
    <cellStyle name="Hyperlink" xfId="2431" builtinId="8" hidden="1"/>
    <cellStyle name="Hyperlink" xfId="2433" builtinId="8" hidden="1"/>
    <cellStyle name="Hyperlink" xfId="2435" builtinId="8" hidden="1"/>
    <cellStyle name="Hyperlink" xfId="2437" builtinId="8" hidden="1"/>
    <cellStyle name="Hyperlink" xfId="2439" builtinId="8" hidden="1"/>
    <cellStyle name="Hyperlink" xfId="2441" builtinId="8" hidden="1"/>
    <cellStyle name="Hyperlink" xfId="2443" builtinId="8" hidden="1"/>
    <cellStyle name="Hyperlink" xfId="2445" builtinId="8" hidden="1"/>
    <cellStyle name="Hyperlink" xfId="2447" builtinId="8" hidden="1"/>
    <cellStyle name="Hyperlink" xfId="2449" builtinId="8" hidden="1"/>
    <cellStyle name="Hyperlink" xfId="2451" builtinId="8" hidden="1"/>
    <cellStyle name="Hyperlink" xfId="2453" builtinId="8" hidden="1"/>
    <cellStyle name="Hyperlink" xfId="2455" builtinId="8" hidden="1"/>
    <cellStyle name="Hyperlink" xfId="2457" builtinId="8" hidden="1"/>
    <cellStyle name="Hyperlink" xfId="2459" builtinId="8" hidden="1"/>
    <cellStyle name="Hyperlink" xfId="2461" builtinId="8" hidden="1"/>
    <cellStyle name="Hyperlink" xfId="2463" builtinId="8" hidden="1"/>
    <cellStyle name="Hyperlink" xfId="2465" builtinId="8" hidden="1"/>
    <cellStyle name="Hyperlink" xfId="2467" builtinId="8" hidden="1"/>
    <cellStyle name="Hyperlink" xfId="2469" builtinId="8" hidden="1"/>
    <cellStyle name="Hyperlink" xfId="2471" builtinId="8" hidden="1"/>
    <cellStyle name="Hyperlink" xfId="2473" builtinId="8" hidden="1"/>
    <cellStyle name="Hyperlink" xfId="2475" builtinId="8" hidden="1"/>
    <cellStyle name="Hyperlink" xfId="2477" builtinId="8" hidden="1"/>
    <cellStyle name="Hyperlink" xfId="2479" builtinId="8" hidden="1"/>
    <cellStyle name="Hyperlink" xfId="2481" builtinId="8" hidden="1"/>
    <cellStyle name="Hyperlink" xfId="2483" builtinId="8" hidden="1"/>
    <cellStyle name="Hyperlink" xfId="2485" builtinId="8" hidden="1"/>
    <cellStyle name="Hyperlink" xfId="2487" builtinId="8" hidden="1"/>
    <cellStyle name="Hyperlink" xfId="2489" builtinId="8" hidden="1"/>
    <cellStyle name="Hyperlink" xfId="2491" builtinId="8" hidden="1"/>
    <cellStyle name="Hyperlink" xfId="2493" builtinId="8" hidden="1"/>
    <cellStyle name="Hyperlink" xfId="2495" builtinId="8" hidden="1"/>
    <cellStyle name="Hyperlink" xfId="2497" builtinId="8" hidden="1"/>
    <cellStyle name="Hyperlink" xfId="2499" builtinId="8" hidden="1"/>
    <cellStyle name="Hyperlink" xfId="2501" builtinId="8" hidden="1"/>
    <cellStyle name="Hyperlink" xfId="2503" builtinId="8" hidden="1"/>
    <cellStyle name="Hyperlink" xfId="2505" builtinId="8" hidden="1"/>
    <cellStyle name="Hyperlink" xfId="2507" builtinId="8" hidden="1"/>
    <cellStyle name="Hyperlink" xfId="2509" builtinId="8" hidden="1"/>
    <cellStyle name="Hyperlink" xfId="2511" builtinId="8" hidden="1"/>
    <cellStyle name="Hyperlink" xfId="2513" builtinId="8" hidden="1"/>
    <cellStyle name="Hyperlink" xfId="2515" builtinId="8" hidden="1"/>
    <cellStyle name="Hyperlink" xfId="2517" builtinId="8" hidden="1"/>
    <cellStyle name="Hyperlink" xfId="2519" builtinId="8" hidden="1"/>
    <cellStyle name="Hyperlink" xfId="2521" builtinId="8" hidden="1"/>
    <cellStyle name="Hyperlink" xfId="2523" builtinId="8" hidden="1"/>
    <cellStyle name="Hyperlink" xfId="2525" builtinId="8" hidden="1"/>
    <cellStyle name="Hyperlink" xfId="2527" builtinId="8" hidden="1"/>
    <cellStyle name="Hyperlink" xfId="2529" builtinId="8" hidden="1"/>
    <cellStyle name="Hyperlink" xfId="2531" builtinId="8" hidden="1"/>
    <cellStyle name="Hyperlink" xfId="2533" builtinId="8" hidden="1"/>
    <cellStyle name="Hyperlink" xfId="2535" builtinId="8" hidden="1"/>
    <cellStyle name="Hyperlink" xfId="2537" builtinId="8" hidden="1"/>
    <cellStyle name="Hyperlink" xfId="2539" builtinId="8" hidden="1"/>
    <cellStyle name="Hyperlink" xfId="2541" builtinId="8" hidden="1"/>
    <cellStyle name="Hyperlink" xfId="2543" builtinId="8" hidden="1"/>
    <cellStyle name="Hyperlink" xfId="2545" builtinId="8" hidden="1"/>
    <cellStyle name="Hyperlink" xfId="2547" builtinId="8" hidden="1"/>
    <cellStyle name="Hyperlink" xfId="2549" builtinId="8" hidden="1"/>
    <cellStyle name="Hyperlink" xfId="2551" builtinId="8" hidden="1"/>
    <cellStyle name="Hyperlink" xfId="2553" builtinId="8" hidden="1"/>
    <cellStyle name="Hyperlink" xfId="2555" builtinId="8" hidden="1"/>
    <cellStyle name="Hyperlink" xfId="2557" builtinId="8" hidden="1"/>
    <cellStyle name="Hyperlink" xfId="2559" builtinId="8" hidden="1"/>
    <cellStyle name="Hyperlink" xfId="2561" builtinId="8" hidden="1"/>
    <cellStyle name="Hyperlink" xfId="2563" builtinId="8" hidden="1"/>
    <cellStyle name="Hyperlink" xfId="2565" builtinId="8" hidden="1"/>
    <cellStyle name="Hyperlink" xfId="2567" builtinId="8" hidden="1"/>
    <cellStyle name="Hyperlink" xfId="2569" builtinId="8" hidden="1"/>
    <cellStyle name="Hyperlink" xfId="2571" builtinId="8" hidden="1"/>
    <cellStyle name="Hyperlink" xfId="2573" builtinId="8" hidden="1"/>
    <cellStyle name="Hyperlink" xfId="2575" builtinId="8" hidden="1"/>
    <cellStyle name="Hyperlink" xfId="2577" builtinId="8" hidden="1"/>
    <cellStyle name="Hyperlink" xfId="2579" builtinId="8" hidden="1"/>
    <cellStyle name="Hyperlink" xfId="2581" builtinId="8" hidden="1"/>
    <cellStyle name="Hyperlink" xfId="2583" builtinId="8" hidden="1"/>
    <cellStyle name="Hyperlink" xfId="2585" builtinId="8" hidden="1"/>
    <cellStyle name="Hyperlink" xfId="2587" builtinId="8" hidden="1"/>
    <cellStyle name="Hyperlink" xfId="2589" builtinId="8" hidden="1"/>
    <cellStyle name="Hyperlink" xfId="2591" builtinId="8" hidden="1"/>
    <cellStyle name="Hyperlink" xfId="2593" builtinId="8" hidden="1"/>
    <cellStyle name="Hyperlink" xfId="2595" builtinId="8" hidden="1"/>
    <cellStyle name="Hyperlink" xfId="2597" builtinId="8" hidden="1"/>
    <cellStyle name="Hyperlink" xfId="2599" builtinId="8" hidden="1"/>
    <cellStyle name="Hyperlink" xfId="2601" builtinId="8" hidden="1"/>
    <cellStyle name="Hyperlink" xfId="2603" builtinId="8" hidden="1"/>
    <cellStyle name="Hyperlink" xfId="2605" builtinId="8" hidden="1"/>
    <cellStyle name="Hyperlink" xfId="2607" builtinId="8" hidden="1"/>
    <cellStyle name="Hyperlink" xfId="2609" builtinId="8" hidden="1"/>
    <cellStyle name="Hyperlink" xfId="2611" builtinId="8" hidden="1"/>
    <cellStyle name="Hyperlink" xfId="2613" builtinId="8" hidden="1"/>
    <cellStyle name="Hyperlink" xfId="2615" builtinId="8" hidden="1"/>
    <cellStyle name="Hyperlink" xfId="2617" builtinId="8" hidden="1"/>
    <cellStyle name="Hyperlink" xfId="2619" builtinId="8" hidden="1"/>
    <cellStyle name="Hyperlink" xfId="2621" builtinId="8" hidden="1"/>
    <cellStyle name="Hyperlink" xfId="2623" builtinId="8" hidden="1"/>
    <cellStyle name="Hyperlink" xfId="2625" builtinId="8" hidden="1"/>
    <cellStyle name="Hyperlink" xfId="2627" builtinId="8" hidden="1"/>
    <cellStyle name="Hyperlink" xfId="2629" builtinId="8" hidden="1"/>
    <cellStyle name="Hyperlink" xfId="2631" builtinId="8" hidden="1"/>
    <cellStyle name="Hyperlink" xfId="2633" builtinId="8" hidden="1"/>
    <cellStyle name="Hyperlink" xfId="2635" builtinId="8" hidden="1"/>
    <cellStyle name="Hyperlink" xfId="2637" builtinId="8" hidden="1"/>
    <cellStyle name="Hyperlink" xfId="2639" builtinId="8" hidden="1"/>
    <cellStyle name="Hyperlink" xfId="2641" builtinId="8" hidden="1"/>
    <cellStyle name="Hyperlink" xfId="2643" builtinId="8" hidden="1"/>
    <cellStyle name="Hyperlink" xfId="2645" builtinId="8" hidden="1"/>
    <cellStyle name="Hyperlink" xfId="2647" builtinId="8" hidden="1"/>
    <cellStyle name="Hyperlink" xfId="2649" builtinId="8" hidden="1"/>
    <cellStyle name="Hyperlink" xfId="2651" builtinId="8" hidden="1"/>
    <cellStyle name="Hyperlink" xfId="2653" builtinId="8" hidden="1"/>
    <cellStyle name="Hyperlink" xfId="2655" builtinId="8" hidden="1"/>
    <cellStyle name="Hyperlink" xfId="2657" builtinId="8" hidden="1"/>
    <cellStyle name="Hyperlink" xfId="2659" builtinId="8" hidden="1"/>
    <cellStyle name="Hyperlink" xfId="2661" builtinId="8" hidden="1"/>
    <cellStyle name="Hyperlink" xfId="2663" builtinId="8" hidden="1"/>
    <cellStyle name="Hyperlink" xfId="2665" builtinId="8" hidden="1"/>
    <cellStyle name="Hyperlink" xfId="2667" builtinId="8" hidden="1"/>
    <cellStyle name="Hyperlink" xfId="2669" builtinId="8" hidden="1"/>
    <cellStyle name="Hyperlink" xfId="2671" builtinId="8" hidden="1"/>
    <cellStyle name="Hyperlink" xfId="2673" builtinId="8" hidden="1"/>
    <cellStyle name="Hyperlink" xfId="2675" builtinId="8" hidden="1"/>
    <cellStyle name="Hyperlink" xfId="2677" builtinId="8" hidden="1"/>
    <cellStyle name="Hyperlink" xfId="2679" builtinId="8" hidden="1"/>
    <cellStyle name="Hyperlink" xfId="2681" builtinId="8" hidden="1"/>
    <cellStyle name="Hyperlink" xfId="2683" builtinId="8" hidden="1"/>
    <cellStyle name="Hyperlink" xfId="2685" builtinId="8" hidden="1"/>
    <cellStyle name="Hyperlink" xfId="2687" builtinId="8" hidden="1"/>
    <cellStyle name="Hyperlink" xfId="2689" builtinId="8" hidden="1"/>
    <cellStyle name="Hyperlink" xfId="2691" builtinId="8" hidden="1"/>
    <cellStyle name="Hyperlink" xfId="2693" builtinId="8" hidden="1"/>
    <cellStyle name="Hyperlink" xfId="2695" builtinId="8" hidden="1"/>
    <cellStyle name="Hyperlink" xfId="2697" builtinId="8" hidden="1"/>
    <cellStyle name="Hyperlink" xfId="2699" builtinId="8" hidden="1"/>
    <cellStyle name="Hyperlink" xfId="2701" builtinId="8" hidden="1"/>
    <cellStyle name="Hyperlink" xfId="2703" builtinId="8" hidden="1"/>
    <cellStyle name="Hyperlink" xfId="2705" builtinId="8" hidden="1"/>
    <cellStyle name="Hyperlink" xfId="2707" builtinId="8" hidden="1"/>
    <cellStyle name="Hyperlink" xfId="2709" builtinId="8" hidden="1"/>
    <cellStyle name="Hyperlink" xfId="2711" builtinId="8" hidden="1"/>
    <cellStyle name="Hyperlink" xfId="2713" builtinId="8" hidden="1"/>
    <cellStyle name="Hyperlink" xfId="2715" builtinId="8" hidden="1"/>
    <cellStyle name="Hyperlink" xfId="2717" builtinId="8" hidden="1"/>
    <cellStyle name="Hyperlink" xfId="2719" builtinId="8" hidden="1"/>
    <cellStyle name="Hyperlink" xfId="2721" builtinId="8" hidden="1"/>
    <cellStyle name="Hyperlink" xfId="2723" builtinId="8" hidden="1"/>
    <cellStyle name="Hyperlink" xfId="2725" builtinId="8" hidden="1"/>
    <cellStyle name="Hyperlink" xfId="2727" builtinId="8" hidden="1"/>
    <cellStyle name="Hyperlink" xfId="2729" builtinId="8" hidden="1"/>
    <cellStyle name="Hyperlink" xfId="2731" builtinId="8" hidden="1"/>
    <cellStyle name="Hyperlink" xfId="2733" builtinId="8" hidden="1"/>
    <cellStyle name="Hyperlink" xfId="2735" builtinId="8" hidden="1"/>
    <cellStyle name="Hyperlink" xfId="2737" builtinId="8" hidden="1"/>
    <cellStyle name="Hyperlink" xfId="2739" builtinId="8" hidden="1"/>
    <cellStyle name="Hyperlink" xfId="2741" builtinId="8" hidden="1"/>
    <cellStyle name="Hyperlink" xfId="2743" builtinId="8" hidden="1"/>
    <cellStyle name="Hyperlink" xfId="2745" builtinId="8" hidden="1"/>
    <cellStyle name="Hyperlink" xfId="2747" builtinId="8" hidden="1"/>
    <cellStyle name="Hyperlink" xfId="2749" builtinId="8" hidden="1"/>
    <cellStyle name="Hyperlink" xfId="2751" builtinId="8" hidden="1"/>
    <cellStyle name="Hyperlink" xfId="2753" builtinId="8" hidden="1"/>
    <cellStyle name="Hyperlink" xfId="2755" builtinId="8" hidden="1"/>
    <cellStyle name="Hyperlink" xfId="2757" builtinId="8" hidden="1"/>
    <cellStyle name="Hyperlink" xfId="2759" builtinId="8" hidden="1"/>
    <cellStyle name="Hyperlink" xfId="2761" builtinId="8" hidden="1"/>
    <cellStyle name="Hyperlink" xfId="2763" builtinId="8" hidden="1"/>
    <cellStyle name="Hyperlink" xfId="2765" builtinId="8" hidden="1"/>
    <cellStyle name="Hyperlink" xfId="2767" builtinId="8" hidden="1"/>
    <cellStyle name="Hyperlink" xfId="2769" builtinId="8" hidden="1"/>
    <cellStyle name="Hyperlink" xfId="2771" builtinId="8" hidden="1"/>
    <cellStyle name="Hyperlink" xfId="2773" builtinId="8" hidden="1"/>
    <cellStyle name="Hyperlink" xfId="2775" builtinId="8" hidden="1"/>
    <cellStyle name="Hyperlink" xfId="2777" builtinId="8" hidden="1"/>
    <cellStyle name="Hyperlink" xfId="2779" builtinId="8" hidden="1"/>
    <cellStyle name="Hyperlink" xfId="2781" builtinId="8" hidden="1"/>
    <cellStyle name="Hyperlink" xfId="2783" builtinId="8" hidden="1"/>
    <cellStyle name="Hyperlink" xfId="2785" builtinId="8" hidden="1"/>
    <cellStyle name="Hyperlink" xfId="2787" builtinId="8" hidden="1"/>
    <cellStyle name="Hyperlink" xfId="2789" builtinId="8" hidden="1"/>
    <cellStyle name="Hyperlink" xfId="2791" builtinId="8" hidden="1"/>
    <cellStyle name="Hyperlink" xfId="2793" builtinId="8" hidden="1"/>
    <cellStyle name="Hyperlink" xfId="2795" builtinId="8" hidden="1"/>
    <cellStyle name="Hyperlink" xfId="2797" builtinId="8" hidden="1"/>
    <cellStyle name="Hyperlink" xfId="2799" builtinId="8" hidden="1"/>
    <cellStyle name="Hyperlink" xfId="2801" builtinId="8" hidden="1"/>
    <cellStyle name="Hyperlink" xfId="2803" builtinId="8" hidden="1"/>
    <cellStyle name="Hyperlink" xfId="2805" builtinId="8" hidden="1"/>
    <cellStyle name="Hyperlink" xfId="2807" builtinId="8" hidden="1"/>
    <cellStyle name="Hyperlink" xfId="2809" builtinId="8" hidden="1"/>
    <cellStyle name="Hyperlink" xfId="2811" builtinId="8" hidden="1"/>
    <cellStyle name="Hyperlink" xfId="2813" builtinId="8" hidden="1"/>
    <cellStyle name="Hyperlink" xfId="2815" builtinId="8" hidden="1"/>
    <cellStyle name="Hyperlink" xfId="2817" builtinId="8" hidden="1"/>
    <cellStyle name="Hyperlink" xfId="2819" builtinId="8" hidden="1"/>
    <cellStyle name="Hyperlink" xfId="2821" builtinId="8" hidden="1"/>
    <cellStyle name="Hyperlink" xfId="2823" builtinId="8" hidden="1"/>
    <cellStyle name="Hyperlink" xfId="2825" builtinId="8" hidden="1"/>
    <cellStyle name="Hyperlink" xfId="2827" builtinId="8" hidden="1"/>
    <cellStyle name="Hyperlink" xfId="2829" builtinId="8" hidden="1"/>
    <cellStyle name="Hyperlink" xfId="2831" builtinId="8" hidden="1"/>
    <cellStyle name="Hyperlink" xfId="2833" builtinId="8" hidden="1"/>
    <cellStyle name="Hyperlink" xfId="2835" builtinId="8" hidden="1"/>
    <cellStyle name="Hyperlink" xfId="2837" builtinId="8" hidden="1"/>
    <cellStyle name="Hyperlink" xfId="2839" builtinId="8" hidden="1"/>
    <cellStyle name="Hyperlink" xfId="2841" builtinId="8" hidden="1"/>
    <cellStyle name="Hyperlink" xfId="2843" builtinId="8" hidden="1"/>
    <cellStyle name="Hyperlink" xfId="2845" builtinId="8" hidden="1"/>
    <cellStyle name="Hyperlink" xfId="2847" builtinId="8" hidden="1"/>
    <cellStyle name="Hyperlink" xfId="2849" builtinId="8" hidden="1"/>
    <cellStyle name="Hyperlink" xfId="2851" builtinId="8" hidden="1"/>
    <cellStyle name="Hyperlink" xfId="2853" builtinId="8" hidden="1"/>
    <cellStyle name="Hyperlink" xfId="2855" builtinId="8" hidden="1"/>
    <cellStyle name="Hyperlink" xfId="2857" builtinId="8" hidden="1"/>
    <cellStyle name="Hyperlink" xfId="2859" builtinId="8" hidden="1"/>
    <cellStyle name="Hyperlink" xfId="2861" builtinId="8" hidden="1"/>
    <cellStyle name="Hyperlink" xfId="2863" builtinId="8" hidden="1"/>
    <cellStyle name="Hyperlink" xfId="2865" builtinId="8" hidden="1"/>
    <cellStyle name="Hyperlink" xfId="2867" builtinId="8" hidden="1"/>
    <cellStyle name="Hyperlink" xfId="2869" builtinId="8" hidden="1"/>
    <cellStyle name="Hyperlink" xfId="2871" builtinId="8" hidden="1"/>
    <cellStyle name="Hyperlink" xfId="2873" builtinId="8" hidden="1"/>
    <cellStyle name="Hyperlink" xfId="2875" builtinId="8" hidden="1"/>
    <cellStyle name="Hyperlink" xfId="2877" builtinId="8" hidden="1"/>
    <cellStyle name="Hyperlink" xfId="2879" builtinId="8" hidden="1"/>
    <cellStyle name="Hyperlink" xfId="2881" builtinId="8" hidden="1"/>
    <cellStyle name="Hyperlink" xfId="2883" builtinId="8" hidden="1"/>
    <cellStyle name="Hyperlink" xfId="2885" builtinId="8" hidden="1"/>
    <cellStyle name="Hyperlink" xfId="2887" builtinId="8" hidden="1"/>
    <cellStyle name="Hyperlink" xfId="2889" builtinId="8" hidden="1"/>
    <cellStyle name="Hyperlink" xfId="2891" builtinId="8" hidden="1"/>
    <cellStyle name="Hyperlink" xfId="2893" builtinId="8" hidden="1"/>
    <cellStyle name="Hyperlink" xfId="2895" builtinId="8" hidden="1"/>
    <cellStyle name="Hyperlink" xfId="2897" builtinId="8" hidden="1"/>
    <cellStyle name="Hyperlink" xfId="2899" builtinId="8" hidden="1"/>
    <cellStyle name="Hyperlink" xfId="2901" builtinId="8" hidden="1"/>
    <cellStyle name="Hyperlink" xfId="2903" builtinId="8" hidden="1"/>
    <cellStyle name="Hyperlink" xfId="2905" builtinId="8" hidden="1"/>
    <cellStyle name="Hyperlink" xfId="2907" builtinId="8" hidden="1"/>
    <cellStyle name="Hyperlink" xfId="2909" builtinId="8" hidden="1"/>
    <cellStyle name="Hyperlink" xfId="2911" builtinId="8" hidden="1"/>
    <cellStyle name="Hyperlink" xfId="2913" builtinId="8" hidden="1"/>
    <cellStyle name="Hyperlink" xfId="2915" builtinId="8" hidden="1"/>
    <cellStyle name="Hyperlink" xfId="2917" builtinId="8" hidden="1"/>
    <cellStyle name="Hyperlink" xfId="2919" builtinId="8" hidden="1"/>
    <cellStyle name="Hyperlink" xfId="2921" builtinId="8" hidden="1"/>
    <cellStyle name="Hyperlink" xfId="2923" builtinId="8" hidden="1"/>
    <cellStyle name="Hyperlink" xfId="2925" builtinId="8" hidden="1"/>
    <cellStyle name="Hyperlink" xfId="2927" builtinId="8" hidden="1"/>
    <cellStyle name="Hyperlink" xfId="2929" builtinId="8" hidden="1"/>
    <cellStyle name="Hyperlink" xfId="2931" builtinId="8" hidden="1"/>
    <cellStyle name="Hyperlink" xfId="2933" builtinId="8" hidden="1"/>
    <cellStyle name="Hyperlink" xfId="2935" builtinId="8" hidden="1"/>
    <cellStyle name="Hyperlink" xfId="2937" builtinId="8" hidden="1"/>
    <cellStyle name="Hyperlink" xfId="2939" builtinId="8" hidden="1"/>
    <cellStyle name="Hyperlink" xfId="2941" builtinId="8" hidden="1"/>
    <cellStyle name="Hyperlink" xfId="2943" builtinId="8" hidden="1"/>
    <cellStyle name="Hyperlink" xfId="2945" builtinId="8" hidden="1"/>
    <cellStyle name="Hyperlink" xfId="2947" builtinId="8" hidden="1"/>
    <cellStyle name="Hyperlink" xfId="2949" builtinId="8" hidden="1"/>
    <cellStyle name="Hyperlink" xfId="2951" builtinId="8" hidden="1"/>
    <cellStyle name="Hyperlink" xfId="2953" builtinId="8" hidden="1"/>
    <cellStyle name="Hyperlink" xfId="2955" builtinId="8" hidden="1"/>
    <cellStyle name="Hyperlink" xfId="2957" builtinId="8" hidden="1"/>
    <cellStyle name="Hyperlink" xfId="2959" builtinId="8" hidden="1"/>
    <cellStyle name="Hyperlink" xfId="2961" builtinId="8" hidden="1"/>
    <cellStyle name="Hyperlink" xfId="2963" builtinId="8" hidden="1"/>
    <cellStyle name="Hyperlink" xfId="2965" builtinId="8" hidden="1"/>
    <cellStyle name="Hyperlink" xfId="2967" builtinId="8" hidden="1"/>
    <cellStyle name="Hyperlink" xfId="2969" builtinId="8" hidden="1"/>
    <cellStyle name="Hyperlink" xfId="2971" builtinId="8" hidden="1"/>
    <cellStyle name="Hyperlink" xfId="2973" builtinId="8" hidden="1"/>
    <cellStyle name="Hyperlink" xfId="2975" builtinId="8" hidden="1"/>
    <cellStyle name="Hyperlink" xfId="2977" builtinId="8" hidden="1"/>
    <cellStyle name="Hyperlink" xfId="2979" builtinId="8" hidden="1"/>
    <cellStyle name="Hyperlink" xfId="2981" builtinId="8" hidden="1"/>
    <cellStyle name="Hyperlink" xfId="2983" builtinId="8" hidden="1"/>
    <cellStyle name="Hyperlink" xfId="2985" builtinId="8" hidden="1"/>
    <cellStyle name="Hyperlink" xfId="2987" builtinId="8" hidden="1"/>
    <cellStyle name="Hyperlink" xfId="2989" builtinId="8" hidden="1"/>
    <cellStyle name="Hyperlink" xfId="2991" builtinId="8" hidden="1"/>
    <cellStyle name="Hyperlink" xfId="2993" builtinId="8" hidden="1"/>
    <cellStyle name="Hyperlink" xfId="2995" builtinId="8" hidden="1"/>
    <cellStyle name="Hyperlink" xfId="2997" builtinId="8" hidden="1"/>
    <cellStyle name="Hyperlink" xfId="2999" builtinId="8" hidden="1"/>
    <cellStyle name="Hyperlink" xfId="3001" builtinId="8" hidden="1"/>
    <cellStyle name="Hyperlink" xfId="3003" builtinId="8" hidden="1"/>
    <cellStyle name="Hyperlink" xfId="3005" builtinId="8" hidden="1"/>
    <cellStyle name="Hyperlink" xfId="3007" builtinId="8" hidden="1"/>
    <cellStyle name="Hyperlink" xfId="3009" builtinId="8" hidden="1"/>
    <cellStyle name="Hyperlink" xfId="3011" builtinId="8" hidden="1"/>
    <cellStyle name="Hyperlink" xfId="3013" builtinId="8" hidden="1"/>
    <cellStyle name="Hyperlink" xfId="3015" builtinId="8" hidden="1"/>
    <cellStyle name="Hyperlink" xfId="3017" builtinId="8" hidden="1"/>
    <cellStyle name="Hyperlink" xfId="3019" builtinId="8" hidden="1"/>
    <cellStyle name="Hyperlink" xfId="3021" builtinId="8" hidden="1"/>
    <cellStyle name="Hyperlink" xfId="3023" builtinId="8" hidden="1"/>
    <cellStyle name="Hyperlink" xfId="3025" builtinId="8" hidden="1"/>
    <cellStyle name="Hyperlink" xfId="3027" builtinId="8" hidden="1"/>
    <cellStyle name="Hyperlink" xfId="3029" builtinId="8" hidden="1"/>
    <cellStyle name="Hyperlink" xfId="3031" builtinId="8" hidden="1"/>
    <cellStyle name="Hyperlink" xfId="3033" builtinId="8" hidden="1"/>
    <cellStyle name="Hyperlink" xfId="3035" builtinId="8" hidden="1"/>
    <cellStyle name="Hyperlink" xfId="3037" builtinId="8" hidden="1"/>
    <cellStyle name="Hyperlink" xfId="3039" builtinId="8" hidden="1"/>
    <cellStyle name="Hyperlink" xfId="3041" builtinId="8" hidden="1"/>
    <cellStyle name="Hyperlink" xfId="3043" builtinId="8" hidden="1"/>
    <cellStyle name="Hyperlink" xfId="3045" builtinId="8" hidden="1"/>
    <cellStyle name="Hyperlink" xfId="3047" builtinId="8" hidden="1"/>
    <cellStyle name="Hyperlink" xfId="3049" builtinId="8" hidden="1"/>
    <cellStyle name="Hyperlink" xfId="3051" builtinId="8" hidden="1"/>
    <cellStyle name="Hyperlink" xfId="3053" builtinId="8" hidden="1"/>
    <cellStyle name="Hyperlink" xfId="3055" builtinId="8" hidden="1"/>
    <cellStyle name="Hyperlink" xfId="3057" builtinId="8" hidden="1"/>
    <cellStyle name="Hyperlink" xfId="3059" builtinId="8" hidden="1"/>
    <cellStyle name="Hyperlink" xfId="3061" builtinId="8" hidden="1"/>
    <cellStyle name="Hyperlink" xfId="3063" builtinId="8" hidden="1"/>
    <cellStyle name="Hyperlink" xfId="3065" builtinId="8" hidden="1"/>
    <cellStyle name="Hyperlink" xfId="3067" builtinId="8" hidden="1"/>
    <cellStyle name="Hyperlink" xfId="3069" builtinId="8" hidden="1"/>
    <cellStyle name="Hyperlink" xfId="3071" builtinId="8" hidden="1"/>
    <cellStyle name="Hyperlink" xfId="3073" builtinId="8" hidden="1"/>
    <cellStyle name="Hyperlink" xfId="3075" builtinId="8" hidden="1"/>
    <cellStyle name="Hyperlink" xfId="3077" builtinId="8" hidden="1"/>
    <cellStyle name="Hyperlink" xfId="3079" builtinId="8" hidden="1"/>
    <cellStyle name="Hyperlink" xfId="3081" builtinId="8" hidden="1"/>
    <cellStyle name="Hyperlink" xfId="3083" builtinId="8" hidden="1"/>
    <cellStyle name="Hyperlink" xfId="3085" builtinId="8" hidden="1"/>
    <cellStyle name="Hyperlink" xfId="3087" builtinId="8" hidden="1"/>
    <cellStyle name="Hyperlink" xfId="3089" builtinId="8" hidden="1"/>
    <cellStyle name="Hyperlink" xfId="3091" builtinId="8" hidden="1"/>
    <cellStyle name="Hyperlink" xfId="3093" builtinId="8" hidden="1"/>
    <cellStyle name="Hyperlink" xfId="3095" builtinId="8" hidden="1"/>
    <cellStyle name="Hyperlink" xfId="3097" builtinId="8" hidden="1"/>
    <cellStyle name="Hyperlink" xfId="3099" builtinId="8" hidden="1"/>
    <cellStyle name="Hyperlink" xfId="3101" builtinId="8" hidden="1"/>
    <cellStyle name="Hyperlink" xfId="3103" builtinId="8" hidden="1"/>
    <cellStyle name="Hyperlink" xfId="3105" builtinId="8" hidden="1"/>
    <cellStyle name="Hyperlink" xfId="3107" builtinId="8" hidden="1"/>
    <cellStyle name="Hyperlink" xfId="3109" builtinId="8" hidden="1"/>
    <cellStyle name="Hyperlink" xfId="3111" builtinId="8" hidden="1"/>
    <cellStyle name="Hyperlink" xfId="3113" builtinId="8" hidden="1"/>
    <cellStyle name="Hyperlink" xfId="3115" builtinId="8" hidden="1"/>
    <cellStyle name="Hyperlink" xfId="3117" builtinId="8" hidden="1"/>
    <cellStyle name="Hyperlink" xfId="3119" builtinId="8" hidden="1"/>
    <cellStyle name="Hyperlink" xfId="3121" builtinId="8" hidden="1"/>
    <cellStyle name="Hyperlink" xfId="3123" builtinId="8" hidden="1"/>
    <cellStyle name="Hyperlink" xfId="3125" builtinId="8" hidden="1"/>
    <cellStyle name="Hyperlink" xfId="3127" builtinId="8" hidden="1"/>
    <cellStyle name="Hyperlink" xfId="3129" builtinId="8" hidden="1"/>
    <cellStyle name="Hyperlink" xfId="3131" builtinId="8" hidden="1"/>
    <cellStyle name="Hyperlink" xfId="3133" builtinId="8" hidden="1"/>
    <cellStyle name="Hyperlink" xfId="3135" builtinId="8" hidden="1"/>
    <cellStyle name="Hyperlink" xfId="3137" builtinId="8" hidden="1"/>
    <cellStyle name="Hyperlink" xfId="3139" builtinId="8" hidden="1"/>
    <cellStyle name="Hyperlink" xfId="3141" builtinId="8" hidden="1"/>
    <cellStyle name="Hyperlink" xfId="3143" builtinId="8" hidden="1"/>
    <cellStyle name="Hyperlink" xfId="3145" builtinId="8" hidden="1"/>
    <cellStyle name="Hyperlink" xfId="3147" builtinId="8" hidden="1"/>
    <cellStyle name="Hyperlink" xfId="3149" builtinId="8" hidden="1"/>
    <cellStyle name="Hyperlink" xfId="3151" builtinId="8" hidden="1"/>
    <cellStyle name="Hyperlink" xfId="3153" builtinId="8" hidden="1"/>
    <cellStyle name="Hyperlink" xfId="3155" builtinId="8" hidden="1"/>
    <cellStyle name="Hyperlink" xfId="3157" builtinId="8" hidden="1"/>
    <cellStyle name="Hyperlink" xfId="3159" builtinId="8" hidden="1"/>
    <cellStyle name="Hyperlink" xfId="3161" builtinId="8" hidden="1"/>
    <cellStyle name="Hyperlink" xfId="3163" builtinId="8" hidden="1"/>
    <cellStyle name="Hyperlink" xfId="3165" builtinId="8" hidden="1"/>
    <cellStyle name="Hyperlink" xfId="3167" builtinId="8" hidden="1"/>
    <cellStyle name="Hyperlink" xfId="3169" builtinId="8" hidden="1"/>
    <cellStyle name="Hyperlink" xfId="3171" builtinId="8" hidden="1"/>
    <cellStyle name="Hyperlink" xfId="3173" builtinId="8" hidden="1"/>
    <cellStyle name="Hyperlink" xfId="3175" builtinId="8" hidden="1"/>
    <cellStyle name="Hyperlink" xfId="3177" builtinId="8" hidden="1"/>
    <cellStyle name="Hyperlink" xfId="3179" builtinId="8" hidden="1"/>
    <cellStyle name="Hyperlink" xfId="3181" builtinId="8" hidden="1"/>
    <cellStyle name="Hyperlink" xfId="3183" builtinId="8" hidden="1"/>
    <cellStyle name="Hyperlink" xfId="3185" builtinId="8" hidden="1"/>
    <cellStyle name="Hyperlink" xfId="3187" builtinId="8" hidden="1"/>
    <cellStyle name="Hyperlink" xfId="3189" builtinId="8" hidden="1"/>
    <cellStyle name="Hyperlink" xfId="3191" builtinId="8" hidden="1"/>
    <cellStyle name="Hyperlink" xfId="3193" builtinId="8" hidden="1"/>
    <cellStyle name="Hyperlink" xfId="3195" builtinId="8" hidden="1"/>
    <cellStyle name="Hyperlink" xfId="3197" builtinId="8" hidden="1"/>
    <cellStyle name="Hyperlink" xfId="3199" builtinId="8" hidden="1"/>
    <cellStyle name="Hyperlink" xfId="3201" builtinId="8" hidden="1"/>
    <cellStyle name="Hyperlink" xfId="3203" builtinId="8" hidden="1"/>
    <cellStyle name="Hyperlink" xfId="3205" builtinId="8" hidden="1"/>
    <cellStyle name="Hyperlink" xfId="3207" builtinId="8" hidden="1"/>
    <cellStyle name="Hyperlink" xfId="3209" builtinId="8" hidden="1"/>
    <cellStyle name="Hyperlink" xfId="3211" builtinId="8" hidden="1"/>
    <cellStyle name="Hyperlink" xfId="3213" builtinId="8" hidden="1"/>
    <cellStyle name="Hyperlink" xfId="3215" builtinId="8" hidden="1"/>
    <cellStyle name="Hyperlink" xfId="3217" builtinId="8" hidden="1"/>
    <cellStyle name="Hyperlink" xfId="3219" builtinId="8" hidden="1"/>
    <cellStyle name="Hyperlink" xfId="3221" builtinId="8" hidden="1"/>
    <cellStyle name="Hyperlink" xfId="3223" builtinId="8" hidden="1"/>
    <cellStyle name="Hyperlink" xfId="3225" builtinId="8" hidden="1"/>
    <cellStyle name="Hyperlink" xfId="3227" builtinId="8" hidden="1"/>
    <cellStyle name="Hyperlink" xfId="3229" builtinId="8" hidden="1"/>
    <cellStyle name="Hyperlink" xfId="3231" builtinId="8" hidden="1"/>
    <cellStyle name="Hyperlink" xfId="3233" builtinId="8" hidden="1"/>
    <cellStyle name="Hyperlink" xfId="3235" builtinId="8" hidden="1"/>
    <cellStyle name="Hyperlink" xfId="3237" builtinId="8" hidden="1"/>
    <cellStyle name="Hyperlink" xfId="3239" builtinId="8" hidden="1"/>
    <cellStyle name="Hyperlink" xfId="3241" builtinId="8" hidden="1"/>
    <cellStyle name="Hyperlink" xfId="3243" builtinId="8" hidden="1"/>
    <cellStyle name="Hyperlink" xfId="3245" builtinId="8" hidden="1"/>
    <cellStyle name="Hyperlink" xfId="3247" builtinId="8" hidden="1"/>
    <cellStyle name="Hyperlink" xfId="3249" builtinId="8" hidden="1"/>
    <cellStyle name="Hyperlink" xfId="3251" builtinId="8" hidden="1"/>
    <cellStyle name="Hyperlink" xfId="3253" builtinId="8" hidden="1"/>
    <cellStyle name="Hyperlink" xfId="3255" builtinId="8" hidden="1"/>
    <cellStyle name="Hyperlink" xfId="3257" builtinId="8" hidden="1"/>
    <cellStyle name="Hyperlink" xfId="3259" builtinId="8" hidden="1"/>
    <cellStyle name="Hyperlink" xfId="3261" builtinId="8" hidden="1"/>
    <cellStyle name="Hyperlink" xfId="3263" builtinId="8" hidden="1"/>
    <cellStyle name="Hyperlink" xfId="3265" builtinId="8" hidden="1"/>
    <cellStyle name="Hyperlink" xfId="3267" builtinId="8" hidden="1"/>
    <cellStyle name="Hyperlink" xfId="3269" builtinId="8" hidden="1"/>
    <cellStyle name="Hyperlink" xfId="3271" builtinId="8" hidden="1"/>
    <cellStyle name="Hyperlink" xfId="3273" builtinId="8" hidden="1"/>
    <cellStyle name="Hyperlink" xfId="3275" builtinId="8" hidden="1"/>
    <cellStyle name="Hyperlink" xfId="3277" builtinId="8" hidden="1"/>
    <cellStyle name="Hyperlink" xfId="3279" builtinId="8" hidden="1"/>
    <cellStyle name="Hyperlink" xfId="3281" builtinId="8" hidden="1"/>
    <cellStyle name="Hyperlink" xfId="3283" builtinId="8" hidden="1"/>
    <cellStyle name="Hyperlink" xfId="3285" builtinId="8" hidden="1"/>
    <cellStyle name="Hyperlink" xfId="3287" builtinId="8" hidden="1"/>
    <cellStyle name="Hyperlink" xfId="3289" builtinId="8" hidden="1"/>
    <cellStyle name="Hyperlink" xfId="3291" builtinId="8" hidden="1"/>
    <cellStyle name="Hyperlink" xfId="3293" builtinId="8" hidden="1"/>
    <cellStyle name="Hyperlink" xfId="3295" builtinId="8" hidden="1"/>
    <cellStyle name="Hyperlink" xfId="3297" builtinId="8" hidden="1"/>
    <cellStyle name="Hyperlink" xfId="3299" builtinId="8" hidden="1"/>
    <cellStyle name="Hyperlink" xfId="3301" builtinId="8" hidden="1"/>
    <cellStyle name="Hyperlink" xfId="3303" builtinId="8" hidden="1"/>
    <cellStyle name="Hyperlink" xfId="3305" builtinId="8" hidden="1"/>
    <cellStyle name="Hyperlink" xfId="3307" builtinId="8" hidden="1"/>
    <cellStyle name="Hyperlink" xfId="3309" builtinId="8" hidden="1"/>
    <cellStyle name="Hyperlink" xfId="3311" builtinId="8" hidden="1"/>
    <cellStyle name="Hyperlink" xfId="3313" builtinId="8" hidden="1"/>
    <cellStyle name="Hyperlink" xfId="3315" builtinId="8" hidden="1"/>
    <cellStyle name="Hyperlink" xfId="3317" builtinId="8" hidden="1"/>
    <cellStyle name="Hyperlink" xfId="3319" builtinId="8" hidden="1"/>
    <cellStyle name="Hyperlink" xfId="3321" builtinId="8" hidden="1"/>
    <cellStyle name="Hyperlink" xfId="3323" builtinId="8" hidden="1"/>
    <cellStyle name="Hyperlink" xfId="3325" builtinId="8" hidden="1"/>
    <cellStyle name="Hyperlink" xfId="3327" builtinId="8" hidden="1"/>
    <cellStyle name="Hyperlink" xfId="3329" builtinId="8" hidden="1"/>
    <cellStyle name="Hyperlink" xfId="3331" builtinId="8" hidden="1"/>
    <cellStyle name="Hyperlink" xfId="3333" builtinId="8" hidden="1"/>
    <cellStyle name="Hyperlink" xfId="3335" builtinId="8" hidden="1"/>
    <cellStyle name="Hyperlink" xfId="3337" builtinId="8" hidden="1"/>
    <cellStyle name="Hyperlink" xfId="3339" builtinId="8" hidden="1"/>
    <cellStyle name="Hyperlink" xfId="3341" builtinId="8" hidden="1"/>
    <cellStyle name="Hyperlink" xfId="3343" builtinId="8" hidden="1"/>
    <cellStyle name="Hyperlink" xfId="3345" builtinId="8" hidden="1"/>
    <cellStyle name="Hyperlink" xfId="3347" builtinId="8" hidden="1"/>
    <cellStyle name="Hyperlink" xfId="3349" builtinId="8" hidden="1"/>
    <cellStyle name="Hyperlink" xfId="3351" builtinId="8" hidden="1"/>
    <cellStyle name="Hyperlink" xfId="3353" builtinId="8" hidden="1"/>
    <cellStyle name="Hyperlink" xfId="3355" builtinId="8" hidden="1"/>
    <cellStyle name="Hyperlink" xfId="3357" builtinId="8" hidden="1"/>
    <cellStyle name="Hyperlink" xfId="3359" builtinId="8" hidden="1"/>
    <cellStyle name="Hyperlink" xfId="3361" builtinId="8" hidden="1"/>
    <cellStyle name="Hyperlink" xfId="3363" builtinId="8" hidden="1"/>
    <cellStyle name="Hyperlink" xfId="3365" builtinId="8" hidden="1"/>
    <cellStyle name="Hyperlink" xfId="3367" builtinId="8" hidden="1"/>
    <cellStyle name="Hyperlink" xfId="3369" builtinId="8" hidden="1"/>
    <cellStyle name="Hyperlink" xfId="3371" builtinId="8" hidden="1"/>
    <cellStyle name="Hyperlink" xfId="3373" builtinId="8" hidden="1"/>
    <cellStyle name="Hyperlink" xfId="3375" builtinId="8" hidden="1"/>
    <cellStyle name="Hyperlink" xfId="3377" builtinId="8" hidden="1"/>
    <cellStyle name="Hyperlink" xfId="3379" builtinId="8" hidden="1"/>
    <cellStyle name="Hyperlink" xfId="3381" builtinId="8" hidden="1"/>
    <cellStyle name="Hyperlink" xfId="3383" builtinId="8" hidden="1"/>
    <cellStyle name="Hyperlink" xfId="3385" builtinId="8" hidden="1"/>
    <cellStyle name="Hyperlink" xfId="3387" builtinId="8" hidden="1"/>
    <cellStyle name="Hyperlink" xfId="3389" builtinId="8" hidden="1"/>
    <cellStyle name="Hyperlink" xfId="3391" builtinId="8" hidden="1"/>
    <cellStyle name="Hyperlink" xfId="3393" builtinId="8" hidden="1"/>
    <cellStyle name="Hyperlink" xfId="3395" builtinId="8" hidden="1"/>
    <cellStyle name="Hyperlink" xfId="3397" builtinId="8" hidden="1"/>
    <cellStyle name="Hyperlink" xfId="3399" builtinId="8" hidden="1"/>
    <cellStyle name="Hyperlink" xfId="3401" builtinId="8" hidden="1"/>
    <cellStyle name="Hyperlink" xfId="3403" builtinId="8" hidden="1"/>
    <cellStyle name="Hyperlink" xfId="3405" builtinId="8" hidden="1"/>
    <cellStyle name="Hyperlink" xfId="3407" builtinId="8" hidden="1"/>
    <cellStyle name="Hyperlink" xfId="3409" builtinId="8" hidden="1"/>
    <cellStyle name="Hyperlink" xfId="3411" builtinId="8" hidden="1"/>
    <cellStyle name="Hyperlink" xfId="3413" builtinId="8" hidden="1"/>
    <cellStyle name="Hyperlink" xfId="3415" builtinId="8" hidden="1"/>
    <cellStyle name="Hyperlink" xfId="3417" builtinId="8" hidden="1"/>
    <cellStyle name="Hyperlink" xfId="3419" builtinId="8" hidden="1"/>
    <cellStyle name="Hyperlink" xfId="3421" builtinId="8" hidden="1"/>
    <cellStyle name="Hyperlink" xfId="3423" builtinId="8" hidden="1"/>
    <cellStyle name="Hyperlink" xfId="3425" builtinId="8" hidden="1"/>
    <cellStyle name="Hyperlink" xfId="3427" builtinId="8" hidden="1"/>
    <cellStyle name="Hyperlink" xfId="3429" builtinId="8" hidden="1"/>
    <cellStyle name="Hyperlink" xfId="3431" builtinId="8" hidden="1"/>
    <cellStyle name="Hyperlink" xfId="3433" builtinId="8" hidden="1"/>
    <cellStyle name="Hyperlink" xfId="3435" builtinId="8" hidden="1"/>
    <cellStyle name="Hyperlink" xfId="3437" builtinId="8" hidden="1"/>
    <cellStyle name="Hyperlink" xfId="3439" builtinId="8" hidden="1"/>
    <cellStyle name="Hyperlink" xfId="3441" builtinId="8" hidden="1"/>
    <cellStyle name="Hyperlink" xfId="3443" builtinId="8" hidden="1"/>
    <cellStyle name="Hyperlink" xfId="3445" builtinId="8" hidden="1"/>
    <cellStyle name="Hyperlink" xfId="3447" builtinId="8" hidden="1"/>
    <cellStyle name="Hyperlink" xfId="3449" builtinId="8" hidden="1"/>
    <cellStyle name="Hyperlink" xfId="3451" builtinId="8" hidden="1"/>
    <cellStyle name="Hyperlink" xfId="3453" builtinId="8" hidden="1"/>
    <cellStyle name="Hyperlink" xfId="3455" builtinId="8" hidden="1"/>
    <cellStyle name="Hyperlink" xfId="3457" builtinId="8" hidden="1"/>
    <cellStyle name="Hyperlink" xfId="3459" builtinId="8" hidden="1"/>
    <cellStyle name="Hyperlink" xfId="3461" builtinId="8" hidden="1"/>
    <cellStyle name="Hyperlink" xfId="3463" builtinId="8" hidden="1"/>
    <cellStyle name="Hyperlink" xfId="3465" builtinId="8" hidden="1"/>
    <cellStyle name="Hyperlink" xfId="3467" builtinId="8" hidden="1"/>
    <cellStyle name="Hyperlink" xfId="3469" builtinId="8" hidden="1"/>
    <cellStyle name="Hyperlink" xfId="3471" builtinId="8" hidden="1"/>
    <cellStyle name="Hyperlink" xfId="3473" builtinId="8" hidden="1"/>
    <cellStyle name="Hyperlink" xfId="3475" builtinId="8" hidden="1"/>
    <cellStyle name="Hyperlink" xfId="3477" builtinId="8" hidden="1"/>
    <cellStyle name="Hyperlink" xfId="3479" builtinId="8" hidden="1"/>
    <cellStyle name="Hyperlink" xfId="3481" builtinId="8" hidden="1"/>
    <cellStyle name="Hyperlink" xfId="3483" builtinId="8" hidden="1"/>
    <cellStyle name="Hyperlink" xfId="3485" builtinId="8" hidden="1"/>
    <cellStyle name="Hyperlink" xfId="3487" builtinId="8" hidden="1"/>
    <cellStyle name="Hyperlink" xfId="3489" builtinId="8" hidden="1"/>
    <cellStyle name="Hyperlink" xfId="3491" builtinId="8" hidden="1"/>
    <cellStyle name="Hyperlink" xfId="3493" builtinId="8" hidden="1"/>
    <cellStyle name="Hyperlink" xfId="3495" builtinId="8" hidden="1"/>
    <cellStyle name="Hyperlink" xfId="3497" builtinId="8" hidden="1"/>
    <cellStyle name="Hyperlink" xfId="3499" builtinId="8" hidden="1"/>
    <cellStyle name="Hyperlink" xfId="3501" builtinId="8" hidden="1"/>
    <cellStyle name="Hyperlink" xfId="3503" builtinId="8" hidden="1"/>
    <cellStyle name="Hyperlink" xfId="3505" builtinId="8" hidden="1"/>
    <cellStyle name="Hyperlink" xfId="3507" builtinId="8" hidden="1"/>
    <cellStyle name="Hyperlink" xfId="3509" builtinId="8" hidden="1"/>
    <cellStyle name="Hyperlink" xfId="3511" builtinId="8" hidden="1"/>
    <cellStyle name="Hyperlink" xfId="3513" builtinId="8" hidden="1"/>
    <cellStyle name="Hyperlink" xfId="3515" builtinId="8" hidden="1"/>
    <cellStyle name="Hyperlink" xfId="3517" builtinId="8" hidden="1"/>
    <cellStyle name="Hyperlink" xfId="3519" builtinId="8" hidden="1"/>
    <cellStyle name="Hyperlink" xfId="3521" builtinId="8" hidden="1"/>
    <cellStyle name="Hyperlink" xfId="3523" builtinId="8" hidden="1"/>
    <cellStyle name="Hyperlink" xfId="3525" builtinId="8" hidden="1"/>
    <cellStyle name="Hyperlink" xfId="3527" builtinId="8" hidden="1"/>
    <cellStyle name="Hyperlink" xfId="3529" builtinId="8" hidden="1"/>
    <cellStyle name="Hyperlink" xfId="3531" builtinId="8" hidden="1"/>
    <cellStyle name="Hyperlink" xfId="3533" builtinId="8" hidden="1"/>
    <cellStyle name="Hyperlink" xfId="3535" builtinId="8" hidden="1"/>
    <cellStyle name="Hyperlink" xfId="3537" builtinId="8" hidden="1"/>
    <cellStyle name="Hyperlink" xfId="3539" builtinId="8" hidden="1"/>
    <cellStyle name="Hyperlink" xfId="3541" builtinId="8" hidden="1"/>
    <cellStyle name="Hyperlink" xfId="3543" builtinId="8" hidden="1"/>
    <cellStyle name="Hyperlink" xfId="3545" builtinId="8" hidden="1"/>
    <cellStyle name="Hyperlink" xfId="3547" builtinId="8" hidden="1"/>
    <cellStyle name="Hyperlink" xfId="3549" builtinId="8" hidden="1"/>
    <cellStyle name="Hyperlink" xfId="3551" builtinId="8" hidden="1"/>
    <cellStyle name="Hyperlink" xfId="3553" builtinId="8" hidden="1"/>
    <cellStyle name="Hyperlink" xfId="3555" builtinId="8" hidden="1"/>
    <cellStyle name="Hyperlink" xfId="3557" builtinId="8" hidden="1"/>
    <cellStyle name="Hyperlink" xfId="3559" builtinId="8" hidden="1"/>
    <cellStyle name="Hyperlink" xfId="3561" builtinId="8" hidden="1"/>
    <cellStyle name="Hyperlink" xfId="3563" builtinId="8" hidden="1"/>
    <cellStyle name="Hyperlink" xfId="3565" builtinId="8" hidden="1"/>
    <cellStyle name="Hyperlink" xfId="3567" builtinId="8" hidden="1"/>
    <cellStyle name="Hyperlink" xfId="3569" builtinId="8" hidden="1"/>
    <cellStyle name="Hyperlink" xfId="3571" builtinId="8" hidden="1"/>
    <cellStyle name="Hyperlink" xfId="3573" builtinId="8" hidden="1"/>
    <cellStyle name="Hyperlink" xfId="3575" builtinId="8" hidden="1"/>
    <cellStyle name="Hyperlink" xfId="3577" builtinId="8" hidden="1"/>
    <cellStyle name="Hyperlink" xfId="3579" builtinId="8" hidden="1"/>
    <cellStyle name="Hyperlink" xfId="3581" builtinId="8" hidden="1"/>
    <cellStyle name="Hyperlink" xfId="3583" builtinId="8" hidden="1"/>
    <cellStyle name="Hyperlink" xfId="3585" builtinId="8" hidden="1"/>
    <cellStyle name="Hyperlink" xfId="3587" builtinId="8" hidden="1"/>
    <cellStyle name="Hyperlink" xfId="3589" builtinId="8" hidden="1"/>
    <cellStyle name="Hyperlink" xfId="3591" builtinId="8" hidden="1"/>
    <cellStyle name="Hyperlink" xfId="3593" builtinId="8" hidden="1"/>
    <cellStyle name="Hyperlink" xfId="3595" builtinId="8" hidden="1"/>
    <cellStyle name="Hyperlink" xfId="3597" builtinId="8" hidden="1"/>
    <cellStyle name="Hyperlink" xfId="3599" builtinId="8" hidden="1"/>
    <cellStyle name="Hyperlink" xfId="3601" builtinId="8" hidden="1"/>
    <cellStyle name="Hyperlink" xfId="3603" builtinId="8" hidden="1"/>
    <cellStyle name="Hyperlink" xfId="3605" builtinId="8" hidden="1"/>
    <cellStyle name="Hyperlink" xfId="3607" builtinId="8" hidden="1"/>
    <cellStyle name="Hyperlink" xfId="3609" builtinId="8" hidden="1"/>
    <cellStyle name="Hyperlink" xfId="3611" builtinId="8" hidden="1"/>
    <cellStyle name="Hyperlink" xfId="3613" builtinId="8" hidden="1"/>
    <cellStyle name="Hyperlink" xfId="3615" builtinId="8" hidden="1"/>
    <cellStyle name="Hyperlink" xfId="3617" builtinId="8" hidden="1"/>
    <cellStyle name="Hyperlink" xfId="3619" builtinId="8" hidden="1"/>
    <cellStyle name="Hyperlink" xfId="3621" builtinId="8" hidden="1"/>
    <cellStyle name="Hyperlink" xfId="3623" builtinId="8" hidden="1"/>
    <cellStyle name="Hyperlink" xfId="3625" builtinId="8" hidden="1"/>
    <cellStyle name="Hyperlink" xfId="3627" builtinId="8" hidden="1"/>
    <cellStyle name="Hyperlink" xfId="3629" builtinId="8" hidden="1"/>
    <cellStyle name="Hyperlink" xfId="3631" builtinId="8" hidden="1"/>
    <cellStyle name="Hyperlink" xfId="3633" builtinId="8" hidden="1"/>
    <cellStyle name="Hyperlink" xfId="3635" builtinId="8" hidden="1"/>
    <cellStyle name="Hyperlink" xfId="3637" builtinId="8" hidden="1"/>
    <cellStyle name="Hyperlink" xfId="3639" builtinId="8" hidden="1"/>
    <cellStyle name="Hyperlink" xfId="3641" builtinId="8" hidden="1"/>
    <cellStyle name="Hyperlink" xfId="3643" builtinId="8" hidden="1"/>
    <cellStyle name="Hyperlink" xfId="3645" builtinId="8" hidden="1"/>
    <cellStyle name="Hyperlink" xfId="3647" builtinId="8" hidden="1"/>
    <cellStyle name="Hyperlink" xfId="3649" builtinId="8" hidden="1"/>
    <cellStyle name="Hyperlink" xfId="3651" builtinId="8" hidden="1"/>
    <cellStyle name="Hyperlink" xfId="3653" builtinId="8" hidden="1"/>
    <cellStyle name="Hyperlink" xfId="3655" builtinId="8" hidden="1"/>
    <cellStyle name="Hyperlink" xfId="3657" builtinId="8" hidden="1"/>
    <cellStyle name="Hyperlink" xfId="3659" builtinId="8" hidden="1"/>
    <cellStyle name="Hyperlink" xfId="3661" builtinId="8" hidden="1"/>
    <cellStyle name="Hyperlink" xfId="3663" builtinId="8" hidden="1"/>
    <cellStyle name="Hyperlink" xfId="3665" builtinId="8" hidden="1"/>
    <cellStyle name="Hyperlink" xfId="3667" builtinId="8" hidden="1"/>
    <cellStyle name="Hyperlink" xfId="3669" builtinId="8" hidden="1"/>
    <cellStyle name="Hyperlink" xfId="3671" builtinId="8" hidden="1"/>
    <cellStyle name="Hyperlink" xfId="3673" builtinId="8" hidden="1"/>
    <cellStyle name="Hyperlink" xfId="3675" builtinId="8" hidden="1"/>
    <cellStyle name="Hyperlink" xfId="3677" builtinId="8" hidden="1"/>
    <cellStyle name="Hyperlink" xfId="3679" builtinId="8" hidden="1"/>
    <cellStyle name="Hyperlink" xfId="3681" builtinId="8" hidden="1"/>
    <cellStyle name="Hyperlink" xfId="3683" builtinId="8" hidden="1"/>
    <cellStyle name="Hyperlink" xfId="3685" builtinId="8" hidden="1"/>
    <cellStyle name="Hyperlink" xfId="3687" builtinId="8" hidden="1"/>
    <cellStyle name="Hyperlink" xfId="3689" builtinId="8" hidden="1"/>
    <cellStyle name="Hyperlink" xfId="3691" builtinId="8" hidden="1"/>
    <cellStyle name="Hyperlink" xfId="3693" builtinId="8" hidden="1"/>
    <cellStyle name="Hyperlink" xfId="3695" builtinId="8" hidden="1"/>
    <cellStyle name="Hyperlink" xfId="3697" builtinId="8" hidden="1"/>
    <cellStyle name="Hyperlink" xfId="3699" builtinId="8" hidden="1"/>
    <cellStyle name="Hyperlink" xfId="3701" builtinId="8" hidden="1"/>
    <cellStyle name="Hyperlink" xfId="3703" builtinId="8" hidden="1"/>
    <cellStyle name="Hyperlink" xfId="3705" builtinId="8" hidden="1"/>
    <cellStyle name="Hyperlink" xfId="3707" builtinId="8" hidden="1"/>
    <cellStyle name="Hyperlink" xfId="3709" builtinId="8" hidden="1"/>
    <cellStyle name="Hyperlink" xfId="3711" builtinId="8" hidden="1"/>
    <cellStyle name="Hyperlink" xfId="3713" builtinId="8" hidden="1"/>
    <cellStyle name="Hyperlink" xfId="3715" builtinId="8" hidden="1"/>
    <cellStyle name="Hyperlink" xfId="3717" builtinId="8" hidden="1"/>
    <cellStyle name="Hyperlink" xfId="3719" builtinId="8" hidden="1"/>
    <cellStyle name="Hyperlink" xfId="3721" builtinId="8" hidden="1"/>
    <cellStyle name="Hyperlink" xfId="3723" builtinId="8" hidden="1"/>
    <cellStyle name="Hyperlink" xfId="3725" builtinId="8" hidden="1"/>
    <cellStyle name="Hyperlink" xfId="3727" builtinId="8" hidden="1"/>
    <cellStyle name="Hyperlink" xfId="3729" builtinId="8" hidden="1"/>
    <cellStyle name="Hyperlink" xfId="3731" builtinId="8" hidden="1"/>
    <cellStyle name="Hyperlink" xfId="3733" builtinId="8" hidden="1"/>
    <cellStyle name="Hyperlink" xfId="3735" builtinId="8" hidden="1"/>
    <cellStyle name="Hyperlink" xfId="3737" builtinId="8" hidden="1"/>
    <cellStyle name="Hyperlink" xfId="3739" builtinId="8" hidden="1"/>
    <cellStyle name="Hyperlink" xfId="3741" builtinId="8" hidden="1"/>
    <cellStyle name="Hyperlink" xfId="3743" builtinId="8" hidden="1"/>
    <cellStyle name="Hyperlink" xfId="3745" builtinId="8" hidden="1"/>
    <cellStyle name="Hyperlink" xfId="3747" builtinId="8" hidden="1"/>
    <cellStyle name="Hyperlink" xfId="3749" builtinId="8" hidden="1"/>
    <cellStyle name="Hyperlink" xfId="3751" builtinId="8" hidden="1"/>
    <cellStyle name="Hyperlink" xfId="3753" builtinId="8" hidden="1"/>
    <cellStyle name="Hyperlink" xfId="3755" builtinId="8" hidden="1"/>
    <cellStyle name="Hyperlink" xfId="3757" builtinId="8" hidden="1"/>
    <cellStyle name="Hyperlink" xfId="3759" builtinId="8" hidden="1"/>
    <cellStyle name="Hyperlink" xfId="3761" builtinId="8" hidden="1"/>
    <cellStyle name="Hyperlink" xfId="3763" builtinId="8" hidden="1"/>
    <cellStyle name="Hyperlink" xfId="3765" builtinId="8" hidden="1"/>
    <cellStyle name="Hyperlink" xfId="3767" builtinId="8" hidden="1"/>
    <cellStyle name="Hyperlink" xfId="3769" builtinId="8" hidden="1"/>
    <cellStyle name="Hyperlink" xfId="3771" builtinId="8" hidden="1"/>
    <cellStyle name="Hyperlink" xfId="3773" builtinId="8" hidden="1"/>
    <cellStyle name="Hyperlink" xfId="3775" builtinId="8" hidden="1"/>
    <cellStyle name="Hyperlink" xfId="3777" builtinId="8" hidden="1"/>
    <cellStyle name="Hyperlink" xfId="3779" builtinId="8" hidden="1"/>
    <cellStyle name="Hyperlink" xfId="3781" builtinId="8" hidden="1"/>
    <cellStyle name="Hyperlink" xfId="3783" builtinId="8" hidden="1"/>
    <cellStyle name="Hyperlink" xfId="3785" builtinId="8" hidden="1"/>
    <cellStyle name="Hyperlink" xfId="3787" builtinId="8" hidden="1"/>
    <cellStyle name="Hyperlink" xfId="3789" builtinId="8" hidden="1"/>
    <cellStyle name="Hyperlink" xfId="3791" builtinId="8" hidden="1"/>
    <cellStyle name="Hyperlink" xfId="3793" builtinId="8" hidden="1"/>
    <cellStyle name="Hyperlink" xfId="3795" builtinId="8" hidden="1"/>
    <cellStyle name="Hyperlink" xfId="3797" builtinId="8" hidden="1"/>
    <cellStyle name="Hyperlink" xfId="3799" builtinId="8" hidden="1"/>
    <cellStyle name="Hyperlink" xfId="3801" builtinId="8" hidden="1"/>
    <cellStyle name="Hyperlink" xfId="3803" builtinId="8" hidden="1"/>
    <cellStyle name="Hyperlink" xfId="3805" builtinId="8" hidden="1"/>
    <cellStyle name="Hyperlink" xfId="3807" builtinId="8" hidden="1"/>
    <cellStyle name="Hyperlink" xfId="3809" builtinId="8" hidden="1"/>
    <cellStyle name="Hyperlink" xfId="3811" builtinId="8" hidden="1"/>
    <cellStyle name="Hyperlink" xfId="3813" builtinId="8" hidden="1"/>
    <cellStyle name="Hyperlink" xfId="3815" builtinId="8" hidden="1"/>
    <cellStyle name="Hyperlink" xfId="3817" builtinId="8" hidden="1"/>
    <cellStyle name="Hyperlink" xfId="3819" builtinId="8" hidden="1"/>
    <cellStyle name="Hyperlink" xfId="3821" builtinId="8" hidden="1"/>
    <cellStyle name="Hyperlink" xfId="3823" builtinId="8" hidden="1"/>
    <cellStyle name="Hyperlink" xfId="3825" builtinId="8" hidden="1"/>
    <cellStyle name="Hyperlink" xfId="3827" builtinId="8" hidden="1"/>
    <cellStyle name="Hyperlink" xfId="3829" builtinId="8" hidden="1"/>
    <cellStyle name="Hyperlink" xfId="3831" builtinId="8" hidden="1"/>
    <cellStyle name="Hyperlink" xfId="3833" builtinId="8" hidden="1"/>
    <cellStyle name="Hyperlink" xfId="3835" builtinId="8" hidden="1"/>
    <cellStyle name="Hyperlink" xfId="3837" builtinId="8" hidden="1"/>
    <cellStyle name="Hyperlink" xfId="3839" builtinId="8" hidden="1"/>
    <cellStyle name="Hyperlink" xfId="3841" builtinId="8" hidden="1"/>
    <cellStyle name="Hyperlink" xfId="3843" builtinId="8" hidden="1"/>
    <cellStyle name="Hyperlink" xfId="3845" builtinId="8" hidden="1"/>
    <cellStyle name="Hyperlink" xfId="3847" builtinId="8" hidden="1"/>
    <cellStyle name="Hyperlink" xfId="3849" builtinId="8" hidden="1"/>
    <cellStyle name="Hyperlink" xfId="3851" builtinId="8" hidden="1"/>
    <cellStyle name="Hyperlink" xfId="3853" builtinId="8" hidden="1"/>
    <cellStyle name="Hyperlink" xfId="3855" builtinId="8" hidden="1"/>
    <cellStyle name="Hyperlink" xfId="3857" builtinId="8" hidden="1"/>
    <cellStyle name="Hyperlink" xfId="3859" builtinId="8" hidden="1"/>
    <cellStyle name="Hyperlink" xfId="3861" builtinId="8" hidden="1"/>
    <cellStyle name="Hyperlink" xfId="3863" builtinId="8" hidden="1"/>
    <cellStyle name="Hyperlink" xfId="3865" builtinId="8" hidden="1"/>
    <cellStyle name="Hyperlink" xfId="3867" builtinId="8" hidden="1"/>
    <cellStyle name="Hyperlink" xfId="3869" builtinId="8" hidden="1"/>
    <cellStyle name="Hyperlink" xfId="3871" builtinId="8" hidden="1"/>
    <cellStyle name="Hyperlink" xfId="3873" builtinId="8" hidden="1"/>
    <cellStyle name="Hyperlink" xfId="3875" builtinId="8" hidden="1"/>
    <cellStyle name="Hyperlink" xfId="3877" builtinId="8" hidden="1"/>
    <cellStyle name="Hyperlink" xfId="3879" builtinId="8" hidden="1"/>
    <cellStyle name="Hyperlink" xfId="3881" builtinId="8" hidden="1"/>
    <cellStyle name="Hyperlink" xfId="3883" builtinId="8" hidden="1"/>
    <cellStyle name="Hyperlink" xfId="3885" builtinId="8" hidden="1"/>
    <cellStyle name="Hyperlink" xfId="3887" builtinId="8" hidden="1"/>
    <cellStyle name="Hyperlink" xfId="3889" builtinId="8" hidden="1"/>
    <cellStyle name="Hyperlink" xfId="3891" builtinId="8" hidden="1"/>
    <cellStyle name="Hyperlink" xfId="3893" builtinId="8" hidden="1"/>
    <cellStyle name="Hyperlink" xfId="3895" builtinId="8" hidden="1"/>
    <cellStyle name="Hyperlink" xfId="3897" builtinId="8" hidden="1"/>
    <cellStyle name="Hyperlink" xfId="3899" builtinId="8" hidden="1"/>
    <cellStyle name="Hyperlink" xfId="3901" builtinId="8" hidden="1"/>
    <cellStyle name="Hyperlink" xfId="3903" builtinId="8" hidden="1"/>
    <cellStyle name="Hyperlink" xfId="3905" builtinId="8" hidden="1"/>
    <cellStyle name="Hyperlink" xfId="3907" builtinId="8" hidden="1"/>
    <cellStyle name="Hyperlink" xfId="3909" builtinId="8" hidden="1"/>
    <cellStyle name="Hyperlink" xfId="3911" builtinId="8" hidden="1"/>
    <cellStyle name="Hyperlink" xfId="3913" builtinId="8" hidden="1"/>
    <cellStyle name="Hyperlink" xfId="3915" builtinId="8" hidden="1"/>
    <cellStyle name="Hyperlink" xfId="3917" builtinId="8" hidden="1"/>
    <cellStyle name="Hyperlink" xfId="3919" builtinId="8" hidden="1"/>
    <cellStyle name="Hyperlink" xfId="3921" builtinId="8" hidden="1"/>
    <cellStyle name="Hyperlink" xfId="3923" builtinId="8" hidden="1"/>
    <cellStyle name="Hyperlink" xfId="3925" builtinId="8" hidden="1"/>
    <cellStyle name="Hyperlink" xfId="3927" builtinId="8" hidden="1"/>
    <cellStyle name="Hyperlink" xfId="3929" builtinId="8" hidden="1"/>
    <cellStyle name="Hyperlink" xfId="3931" builtinId="8" hidden="1"/>
    <cellStyle name="Hyperlink" xfId="3933" builtinId="8" hidden="1"/>
    <cellStyle name="Hyperlink" xfId="3935" builtinId="8" hidden="1"/>
    <cellStyle name="Hyperlink" xfId="3937" builtinId="8" hidden="1"/>
    <cellStyle name="Hyperlink" xfId="3939" builtinId="8" hidden="1"/>
    <cellStyle name="Hyperlink" xfId="3941" builtinId="8" hidden="1"/>
    <cellStyle name="Hyperlink" xfId="3943" builtinId="8" hidden="1"/>
    <cellStyle name="Hyperlink" xfId="3945" builtinId="8" hidden="1"/>
    <cellStyle name="Hyperlink" xfId="3947" builtinId="8" hidden="1"/>
    <cellStyle name="Hyperlink" xfId="3949" builtinId="8" hidden="1"/>
    <cellStyle name="Hyperlink" xfId="3951" builtinId="8" hidden="1"/>
    <cellStyle name="Hyperlink" xfId="3953" builtinId="8" hidden="1"/>
    <cellStyle name="Hyperlink" xfId="3955" builtinId="8" hidden="1"/>
    <cellStyle name="Hyperlink" xfId="3957" builtinId="8" hidden="1"/>
    <cellStyle name="Hyperlink" xfId="3959" builtinId="8" hidden="1"/>
    <cellStyle name="Hyperlink" xfId="3961" builtinId="8" hidden="1"/>
    <cellStyle name="Hyperlink" xfId="3963" builtinId="8" hidden="1"/>
    <cellStyle name="Hyperlink" xfId="3965" builtinId="8" hidden="1"/>
    <cellStyle name="Hyperlink" xfId="3967" builtinId="8" hidden="1"/>
    <cellStyle name="Hyperlink" xfId="3969" builtinId="8" hidden="1"/>
    <cellStyle name="Hyperlink" xfId="3971" builtinId="8" hidden="1"/>
    <cellStyle name="Hyperlink" xfId="3973" builtinId="8" hidden="1"/>
    <cellStyle name="Hyperlink" xfId="3975" builtinId="8" hidden="1"/>
    <cellStyle name="Hyperlink" xfId="3977" builtinId="8" hidden="1"/>
    <cellStyle name="Hyperlink" xfId="3979" builtinId="8" hidden="1"/>
    <cellStyle name="Hyperlink" xfId="3981" builtinId="8" hidden="1"/>
    <cellStyle name="Hyperlink" xfId="3983" builtinId="8" hidden="1"/>
    <cellStyle name="Hyperlink" xfId="3985" builtinId="8" hidden="1"/>
    <cellStyle name="Hyperlink" xfId="3987" builtinId="8" hidden="1"/>
    <cellStyle name="Hyperlink" xfId="3989" builtinId="8" hidden="1"/>
    <cellStyle name="Hyperlink" xfId="3991" builtinId="8" hidden="1"/>
    <cellStyle name="Hyperlink" xfId="3993" builtinId="8" hidden="1"/>
    <cellStyle name="Hyperlink" xfId="3995" builtinId="8" hidden="1"/>
    <cellStyle name="Hyperlink" xfId="3997" builtinId="8" hidden="1"/>
    <cellStyle name="Hyperlink" xfId="3999" builtinId="8" hidden="1"/>
    <cellStyle name="Hyperlink" xfId="4001" builtinId="8" hidden="1"/>
    <cellStyle name="Hyperlink" xfId="4003" builtinId="8" hidden="1"/>
    <cellStyle name="Hyperlink" xfId="4005" builtinId="8" hidden="1"/>
    <cellStyle name="Hyperlink" xfId="4007" builtinId="8" hidden="1"/>
    <cellStyle name="Hyperlink" xfId="4009" builtinId="8" hidden="1"/>
    <cellStyle name="Hyperlink" xfId="4011" builtinId="8" hidden="1"/>
    <cellStyle name="Hyperlink" xfId="4013" builtinId="8" hidden="1"/>
    <cellStyle name="Hyperlink" xfId="4015" builtinId="8" hidden="1"/>
    <cellStyle name="Hyperlink" xfId="4017" builtinId="8" hidden="1"/>
    <cellStyle name="Hyperlink" xfId="4019" builtinId="8" hidden="1"/>
    <cellStyle name="Hyperlink" xfId="4021" builtinId="8" hidden="1"/>
    <cellStyle name="Hyperlink" xfId="4023" builtinId="8" hidden="1"/>
    <cellStyle name="Hyperlink" xfId="4025" builtinId="8" hidden="1"/>
    <cellStyle name="Hyperlink" xfId="4027" builtinId="8" hidden="1"/>
    <cellStyle name="Hyperlink" xfId="4029" builtinId="8" hidden="1"/>
    <cellStyle name="Hyperlink" xfId="4031" builtinId="8" hidden="1"/>
    <cellStyle name="Hyperlink" xfId="4033" builtinId="8" hidden="1"/>
    <cellStyle name="Hyperlink" xfId="4035" builtinId="8" hidden="1"/>
    <cellStyle name="Hyperlink" xfId="4037" builtinId="8" hidden="1"/>
    <cellStyle name="Hyperlink" xfId="4039" builtinId="8" hidden="1"/>
    <cellStyle name="Hyperlink" xfId="4041" builtinId="8" hidden="1"/>
    <cellStyle name="Hyperlink" xfId="4043" builtinId="8" hidden="1"/>
    <cellStyle name="Hyperlink" xfId="4045" builtinId="8" hidden="1"/>
    <cellStyle name="Hyperlink" xfId="4047" builtinId="8" hidden="1"/>
    <cellStyle name="Hyperlink" xfId="4049" builtinId="8" hidden="1"/>
    <cellStyle name="Hyperlink" xfId="4051" builtinId="8" hidden="1"/>
    <cellStyle name="Hyperlink" xfId="4053" builtinId="8" hidden="1"/>
    <cellStyle name="Hyperlink" xfId="4055" builtinId="8" hidden="1"/>
    <cellStyle name="Hyperlink" xfId="4057" builtinId="8" hidden="1"/>
    <cellStyle name="Hyperlink" xfId="4059" builtinId="8" hidden="1"/>
    <cellStyle name="Hyperlink" xfId="4061" builtinId="8" hidden="1"/>
    <cellStyle name="Hyperlink" xfId="4063" builtinId="8" hidden="1"/>
    <cellStyle name="Hyperlink" xfId="4065" builtinId="8" hidden="1"/>
    <cellStyle name="Hyperlink" xfId="4067" builtinId="8" hidden="1"/>
    <cellStyle name="Hyperlink" xfId="4069" builtinId="8" hidden="1"/>
    <cellStyle name="Hyperlink" xfId="4071" builtinId="8" hidden="1"/>
    <cellStyle name="Hyperlink" xfId="4073" builtinId="8" hidden="1"/>
    <cellStyle name="Hyperlink" xfId="4075" builtinId="8" hidden="1"/>
    <cellStyle name="Hyperlink" xfId="4077" builtinId="8" hidden="1"/>
    <cellStyle name="Hyperlink" xfId="4079" builtinId="8" hidden="1"/>
    <cellStyle name="Hyperlink" xfId="4081" builtinId="8" hidden="1"/>
    <cellStyle name="Hyperlink" xfId="4083" builtinId="8" hidden="1"/>
    <cellStyle name="Hyperlink" xfId="4085" builtinId="8" hidden="1"/>
    <cellStyle name="Hyperlink" xfId="4087" builtinId="8" hidden="1"/>
    <cellStyle name="Hyperlink" xfId="4089" builtinId="8" hidden="1"/>
    <cellStyle name="Hyperlink" xfId="4091" builtinId="8" hidden="1"/>
    <cellStyle name="Hyperlink" xfId="4093" builtinId="8" hidden="1"/>
    <cellStyle name="Hyperlink" xfId="4095" builtinId="8" hidden="1"/>
    <cellStyle name="Hyperlink" xfId="4097" builtinId="8" hidden="1"/>
    <cellStyle name="Hyperlink" xfId="4099" builtinId="8" hidden="1"/>
    <cellStyle name="Hyperlink" xfId="4101" builtinId="8" hidden="1"/>
    <cellStyle name="Hyperlink" xfId="4103" builtinId="8" hidden="1"/>
    <cellStyle name="Hyperlink" xfId="4105" builtinId="8" hidden="1"/>
    <cellStyle name="Hyperlink" xfId="4107" builtinId="8" hidden="1"/>
    <cellStyle name="Hyperlink" xfId="4109" builtinId="8" hidden="1"/>
    <cellStyle name="Hyperlink" xfId="4111" builtinId="8" hidden="1"/>
    <cellStyle name="Hyperlink" xfId="4113" builtinId="8" hidden="1"/>
    <cellStyle name="Hyperlink" xfId="4115" builtinId="8" hidden="1"/>
    <cellStyle name="Hyperlink" xfId="4117" builtinId="8" hidden="1"/>
    <cellStyle name="Hyperlink" xfId="4119" builtinId="8" hidden="1"/>
    <cellStyle name="Hyperlink" xfId="4121" builtinId="8" hidden="1"/>
    <cellStyle name="Hyperlink" xfId="4123" builtinId="8" hidden="1"/>
    <cellStyle name="Hyperlink" xfId="4125" builtinId="8" hidden="1"/>
    <cellStyle name="Hyperlink" xfId="4127" builtinId="8" hidden="1"/>
    <cellStyle name="Hyperlink" xfId="4129" builtinId="8" hidden="1"/>
    <cellStyle name="Hyperlink" xfId="4131" builtinId="8" hidden="1"/>
    <cellStyle name="Hyperlink" xfId="4133" builtinId="8" hidden="1"/>
    <cellStyle name="Hyperlink" xfId="4135" builtinId="8" hidden="1"/>
    <cellStyle name="Hyperlink" xfId="4137" builtinId="8" hidden="1"/>
    <cellStyle name="Hyperlink" xfId="4139" builtinId="8" hidden="1"/>
    <cellStyle name="Hyperlink" xfId="4141" builtinId="8" hidden="1"/>
    <cellStyle name="Hyperlink" xfId="4143" builtinId="8" hidden="1"/>
    <cellStyle name="Hyperlink" xfId="4145" builtinId="8" hidden="1"/>
    <cellStyle name="Hyperlink" xfId="4147" builtinId="8" hidden="1"/>
    <cellStyle name="Hyperlink" xfId="4149" builtinId="8" hidden="1"/>
    <cellStyle name="Hyperlink" xfId="4151" builtinId="8" hidden="1"/>
    <cellStyle name="Hyperlink" xfId="4153" builtinId="8" hidden="1"/>
    <cellStyle name="Hyperlink" xfId="4155" builtinId="8" hidden="1"/>
    <cellStyle name="Hyperlink" xfId="4157" builtinId="8" hidden="1"/>
    <cellStyle name="Hyperlink" xfId="4159" builtinId="8" hidden="1"/>
    <cellStyle name="Hyperlink" xfId="4161" builtinId="8" hidden="1"/>
    <cellStyle name="Hyperlink" xfId="4163" builtinId="8" hidden="1"/>
    <cellStyle name="Hyperlink" xfId="4165" builtinId="8" hidden="1"/>
    <cellStyle name="Hyperlink" xfId="4167" builtinId="8" hidden="1"/>
    <cellStyle name="Hyperlink" xfId="4169" builtinId="8" hidden="1"/>
    <cellStyle name="Hyperlink" xfId="4171" builtinId="8" hidden="1"/>
    <cellStyle name="Hyperlink" xfId="4173" builtinId="8" hidden="1"/>
    <cellStyle name="Hyperlink" xfId="4175" builtinId="8" hidden="1"/>
    <cellStyle name="Hyperlink" xfId="4177" builtinId="8" hidden="1"/>
    <cellStyle name="Hyperlink" xfId="4179" builtinId="8" hidden="1"/>
    <cellStyle name="Hyperlink" xfId="4181" builtinId="8" hidden="1"/>
    <cellStyle name="Hyperlink" xfId="4183" builtinId="8" hidden="1"/>
    <cellStyle name="Hyperlink" xfId="4185" builtinId="8" hidden="1"/>
    <cellStyle name="Hyperlink" xfId="4187" builtinId="8" hidden="1"/>
    <cellStyle name="Hyperlink" xfId="4189" builtinId="8" hidden="1"/>
    <cellStyle name="Hyperlink" xfId="4191" builtinId="8" hidden="1"/>
    <cellStyle name="Hyperlink" xfId="4193" builtinId="8" hidden="1"/>
    <cellStyle name="Hyperlink" xfId="4195" builtinId="8" hidden="1"/>
    <cellStyle name="Hyperlink" xfId="4197" builtinId="8" hidden="1"/>
    <cellStyle name="Hyperlink" xfId="4199" builtinId="8" hidden="1"/>
    <cellStyle name="Hyperlink" xfId="4201" builtinId="8" hidden="1"/>
    <cellStyle name="Hyperlink" xfId="4203" builtinId="8" hidden="1"/>
    <cellStyle name="Hyperlink" xfId="4205" builtinId="8" hidden="1"/>
    <cellStyle name="Hyperlink" xfId="4207" builtinId="8" hidden="1"/>
    <cellStyle name="Hyperlink" xfId="4209" builtinId="8" hidden="1"/>
    <cellStyle name="Hyperlink" xfId="4211" builtinId="8" hidden="1"/>
    <cellStyle name="Hyperlink" xfId="4213" builtinId="8" hidden="1"/>
    <cellStyle name="Hyperlink" xfId="4215" builtinId="8" hidden="1"/>
    <cellStyle name="Hyperlink" xfId="4217" builtinId="8" hidden="1"/>
    <cellStyle name="Hyperlink" xfId="4219" builtinId="8" hidden="1"/>
    <cellStyle name="Hyperlink" xfId="4221" builtinId="8" hidden="1"/>
    <cellStyle name="Hyperlink" xfId="4223" builtinId="8" hidden="1"/>
    <cellStyle name="Hyperlink" xfId="4225" builtinId="8" hidden="1"/>
    <cellStyle name="Hyperlink" xfId="4227" builtinId="8" hidden="1"/>
    <cellStyle name="Hyperlink" xfId="4229" builtinId="8" hidden="1"/>
    <cellStyle name="Hyperlink" xfId="4231" builtinId="8" hidden="1"/>
    <cellStyle name="Hyperlink" xfId="4233" builtinId="8" hidden="1"/>
    <cellStyle name="Hyperlink" xfId="4235" builtinId="8" hidden="1"/>
    <cellStyle name="Hyperlink" xfId="4237" builtinId="8" hidden="1"/>
    <cellStyle name="Hyperlink" xfId="4239" builtinId="8" hidden="1"/>
    <cellStyle name="Hyperlink" xfId="4241" builtinId="8" hidden="1"/>
    <cellStyle name="Hyperlink" xfId="4243" builtinId="8" hidden="1"/>
    <cellStyle name="Hyperlink" xfId="4245" builtinId="8" hidden="1"/>
    <cellStyle name="Hyperlink" xfId="4247" builtinId="8" hidden="1"/>
    <cellStyle name="Hyperlink" xfId="4249" builtinId="8" hidden="1"/>
    <cellStyle name="Hyperlink" xfId="4251" builtinId="8" hidden="1"/>
    <cellStyle name="Hyperlink" xfId="4253" builtinId="8" hidden="1"/>
    <cellStyle name="Hyperlink" xfId="4255" builtinId="8" hidden="1"/>
    <cellStyle name="Hyperlink" xfId="4257" builtinId="8" hidden="1"/>
    <cellStyle name="Hyperlink" xfId="4259" builtinId="8" hidden="1"/>
    <cellStyle name="Hyperlink" xfId="4261" builtinId="8" hidden="1"/>
    <cellStyle name="Hyperlink" xfId="4263" builtinId="8" hidden="1"/>
    <cellStyle name="Hyperlink" xfId="4265" builtinId="8" hidden="1"/>
    <cellStyle name="Hyperlink" xfId="4267" builtinId="8" hidden="1"/>
    <cellStyle name="Hyperlink" xfId="4269" builtinId="8" hidden="1"/>
    <cellStyle name="Hyperlink" xfId="4271" builtinId="8" hidden="1"/>
    <cellStyle name="Hyperlink" xfId="4273" builtinId="8" hidden="1"/>
    <cellStyle name="Hyperlink" xfId="4275" builtinId="8" hidden="1"/>
    <cellStyle name="Hyperlink" xfId="4277" builtinId="8" hidden="1"/>
    <cellStyle name="Hyperlink" xfId="4279" builtinId="8" hidden="1"/>
    <cellStyle name="Hyperlink" xfId="4281" builtinId="8" hidden="1"/>
    <cellStyle name="Hyperlink" xfId="4283" builtinId="8" hidden="1"/>
    <cellStyle name="Hyperlink" xfId="4285" builtinId="8" hidden="1"/>
    <cellStyle name="Hyperlink" xfId="4287" builtinId="8" hidden="1"/>
    <cellStyle name="Hyperlink" xfId="4289" builtinId="8" hidden="1"/>
    <cellStyle name="Hyperlink" xfId="4291" builtinId="8" hidden="1"/>
    <cellStyle name="Hyperlink" xfId="4293" builtinId="8" hidden="1"/>
    <cellStyle name="Hyperlink" xfId="4295" builtinId="8" hidden="1"/>
    <cellStyle name="Hyperlink" xfId="4297" builtinId="8" hidden="1"/>
    <cellStyle name="Hyperlink" xfId="4299" builtinId="8" hidden="1"/>
    <cellStyle name="Hyperlink" xfId="4301" builtinId="8" hidden="1"/>
    <cellStyle name="Hyperlink" xfId="4303" builtinId="8" hidden="1"/>
    <cellStyle name="Hyperlink" xfId="4305" builtinId="8" hidden="1"/>
    <cellStyle name="Hyperlink" xfId="4307" builtinId="8" hidden="1"/>
    <cellStyle name="Hyperlink" xfId="4309" builtinId="8" hidden="1"/>
    <cellStyle name="Hyperlink" xfId="4311" builtinId="8" hidden="1"/>
    <cellStyle name="Hyperlink" xfId="4313" builtinId="8" hidden="1"/>
    <cellStyle name="Hyperlink" xfId="4315" builtinId="8" hidden="1"/>
    <cellStyle name="Hyperlink" xfId="4317" builtinId="8" hidden="1"/>
    <cellStyle name="Hyperlink" xfId="4319" builtinId="8" hidden="1"/>
    <cellStyle name="Hyperlink" xfId="4321" builtinId="8" hidden="1"/>
    <cellStyle name="Hyperlink" xfId="4323" builtinId="8" hidden="1"/>
    <cellStyle name="Hyperlink" xfId="4325" builtinId="8" hidden="1"/>
    <cellStyle name="Hyperlink" xfId="4327" builtinId="8" hidden="1"/>
    <cellStyle name="Hyperlink" xfId="4329" builtinId="8" hidden="1"/>
    <cellStyle name="Hyperlink" xfId="4331" builtinId="8" hidden="1"/>
    <cellStyle name="Hyperlink" xfId="4333" builtinId="8" hidden="1"/>
    <cellStyle name="Hyperlink" xfId="4335" builtinId="8" hidden="1"/>
    <cellStyle name="Hyperlink" xfId="4337" builtinId="8" hidden="1"/>
    <cellStyle name="Hyperlink" xfId="4339" builtinId="8" hidden="1"/>
    <cellStyle name="Hyperlink" xfId="4341" builtinId="8" hidden="1"/>
    <cellStyle name="Hyperlink" xfId="4343" builtinId="8" hidden="1"/>
    <cellStyle name="Hyperlink" xfId="4345" builtinId="8" hidden="1"/>
    <cellStyle name="Hyperlink" xfId="4347" builtinId="8" hidden="1"/>
    <cellStyle name="Hyperlink" xfId="4349" builtinId="8" hidden="1"/>
    <cellStyle name="Hyperlink" xfId="4351" builtinId="8" hidden="1"/>
    <cellStyle name="Hyperlink" xfId="4353" builtinId="8" hidden="1"/>
    <cellStyle name="Hyperlink" xfId="4355" builtinId="8" hidden="1"/>
    <cellStyle name="Hyperlink" xfId="4357" builtinId="8" hidden="1"/>
    <cellStyle name="Hyperlink" xfId="4359" builtinId="8" hidden="1"/>
    <cellStyle name="Hyperlink" xfId="4361" builtinId="8" hidden="1"/>
    <cellStyle name="Hyperlink" xfId="4363" builtinId="8" hidden="1"/>
    <cellStyle name="Hyperlink" xfId="4365" builtinId="8" hidden="1"/>
    <cellStyle name="Hyperlink" xfId="4367" builtinId="8" hidden="1"/>
    <cellStyle name="Hyperlink" xfId="4369" builtinId="8" hidden="1"/>
    <cellStyle name="Hyperlink" xfId="4371" builtinId="8" hidden="1"/>
    <cellStyle name="Hyperlink" xfId="4373" builtinId="8" hidden="1"/>
    <cellStyle name="Hyperlink" xfId="4375" builtinId="8" hidden="1"/>
    <cellStyle name="Hyperlink" xfId="4377" builtinId="8" hidden="1"/>
    <cellStyle name="Hyperlink" xfId="4379" builtinId="8" hidden="1"/>
    <cellStyle name="Hyperlink" xfId="4381" builtinId="8" hidden="1"/>
    <cellStyle name="Hyperlink" xfId="4383" builtinId="8" hidden="1"/>
    <cellStyle name="Hyperlink" xfId="4385" builtinId="8" hidden="1"/>
    <cellStyle name="Hyperlink" xfId="4387" builtinId="8" hidden="1"/>
    <cellStyle name="Hyperlink" xfId="4389" builtinId="8" hidden="1"/>
    <cellStyle name="Hyperlink" xfId="4391" builtinId="8" hidden="1"/>
    <cellStyle name="Hyperlink" xfId="4393" builtinId="8" hidden="1"/>
    <cellStyle name="Hyperlink" xfId="4395" builtinId="8" hidden="1"/>
    <cellStyle name="Hyperlink" xfId="4397" builtinId="8" hidden="1"/>
    <cellStyle name="Hyperlink" xfId="4399" builtinId="8" hidden="1"/>
    <cellStyle name="Hyperlink" xfId="4401" builtinId="8" hidden="1"/>
    <cellStyle name="Hyperlink" xfId="4403" builtinId="8" hidden="1"/>
    <cellStyle name="Hyperlink" xfId="4405" builtinId="8" hidden="1"/>
    <cellStyle name="Hyperlink" xfId="4407" builtinId="8" hidden="1"/>
    <cellStyle name="Hyperlink" xfId="4409" builtinId="8" hidden="1"/>
    <cellStyle name="Hyperlink" xfId="4411" builtinId="8" hidden="1"/>
    <cellStyle name="Hyperlink" xfId="4413" builtinId="8" hidden="1"/>
    <cellStyle name="Hyperlink" xfId="4415" builtinId="8" hidden="1"/>
    <cellStyle name="Hyperlink" xfId="4417" builtinId="8" hidden="1"/>
    <cellStyle name="Hyperlink" xfId="4419" builtinId="8" hidden="1"/>
    <cellStyle name="Hyperlink" xfId="4421" builtinId="8" hidden="1"/>
    <cellStyle name="Hyperlink" xfId="4423" builtinId="8" hidden="1"/>
    <cellStyle name="Hyperlink" xfId="4425" builtinId="8" hidden="1"/>
    <cellStyle name="Hyperlink" xfId="4427" builtinId="8" hidden="1"/>
    <cellStyle name="Hyperlink" xfId="4429" builtinId="8" hidden="1"/>
    <cellStyle name="Hyperlink" xfId="4431" builtinId="8" hidden="1"/>
    <cellStyle name="Hyperlink" xfId="4433" builtinId="8" hidden="1"/>
    <cellStyle name="Hyperlink" xfId="4435" builtinId="8" hidden="1"/>
    <cellStyle name="Hyperlink" xfId="4437" builtinId="8" hidden="1"/>
    <cellStyle name="Hyperlink" xfId="4439" builtinId="8" hidden="1"/>
    <cellStyle name="Hyperlink" xfId="4441" builtinId="8" hidden="1"/>
    <cellStyle name="Hyperlink" xfId="4443" builtinId="8" hidden="1"/>
    <cellStyle name="Hyperlink" xfId="4445" builtinId="8" hidden="1"/>
    <cellStyle name="Hyperlink" xfId="4447" builtinId="8" hidden="1"/>
    <cellStyle name="Hyperlink" xfId="4449" builtinId="8" hidden="1"/>
    <cellStyle name="Hyperlink" xfId="4451" builtinId="8" hidden="1"/>
    <cellStyle name="Hyperlink" xfId="4453" builtinId="8" hidden="1"/>
    <cellStyle name="Hyperlink" xfId="4455" builtinId="8" hidden="1"/>
    <cellStyle name="Hyperlink" xfId="4457" builtinId="8" hidden="1"/>
    <cellStyle name="Hyperlink" xfId="4459" builtinId="8" hidden="1"/>
    <cellStyle name="Hyperlink" xfId="4461" builtinId="8" hidden="1"/>
    <cellStyle name="Hyperlink" xfId="4463" builtinId="8" hidden="1"/>
    <cellStyle name="Hyperlink" xfId="4465" builtinId="8" hidden="1"/>
    <cellStyle name="Hyperlink" xfId="4467" builtinId="8" hidden="1"/>
    <cellStyle name="Hyperlink" xfId="4469" builtinId="8" hidden="1"/>
    <cellStyle name="Hyperlink" xfId="4471" builtinId="8" hidden="1"/>
    <cellStyle name="Hyperlink" xfId="4473" builtinId="8" hidden="1"/>
    <cellStyle name="Hyperlink" xfId="4475" builtinId="8" hidden="1"/>
    <cellStyle name="Hyperlink" xfId="4477" builtinId="8" hidden="1"/>
    <cellStyle name="Hyperlink" xfId="4479" builtinId="8" hidden="1"/>
    <cellStyle name="Hyperlink" xfId="4481" builtinId="8" hidden="1"/>
    <cellStyle name="Hyperlink" xfId="4483" builtinId="8" hidden="1"/>
    <cellStyle name="Hyperlink" xfId="4485" builtinId="8" hidden="1"/>
    <cellStyle name="Hyperlink" xfId="4487" builtinId="8" hidden="1"/>
    <cellStyle name="Hyperlink" xfId="4489" builtinId="8" hidden="1"/>
    <cellStyle name="Hyperlink" xfId="4491" builtinId="8" hidden="1"/>
    <cellStyle name="Hyperlink" xfId="4493" builtinId="8" hidden="1"/>
    <cellStyle name="Hyperlink" xfId="4495" builtinId="8" hidden="1"/>
    <cellStyle name="Hyperlink" xfId="4497" builtinId="8" hidden="1"/>
    <cellStyle name="Hyperlink" xfId="4499" builtinId="8" hidden="1"/>
    <cellStyle name="Hyperlink" xfId="4501" builtinId="8" hidden="1"/>
    <cellStyle name="Hyperlink" xfId="4503" builtinId="8" hidden="1"/>
    <cellStyle name="Hyperlink" xfId="4505" builtinId="8" hidden="1"/>
    <cellStyle name="Hyperlink" xfId="4507" builtinId="8" hidden="1"/>
    <cellStyle name="Hyperlink" xfId="4509" builtinId="8" hidden="1"/>
    <cellStyle name="Hyperlink" xfId="4511" builtinId="8" hidden="1"/>
    <cellStyle name="Hyperlink" xfId="4513" builtinId="8" hidden="1"/>
    <cellStyle name="Hyperlink" xfId="4515" builtinId="8" hidden="1"/>
    <cellStyle name="Hyperlink" xfId="4517" builtinId="8" hidden="1"/>
    <cellStyle name="Hyperlink" xfId="4519" builtinId="8" hidden="1"/>
    <cellStyle name="Hyperlink" xfId="4521" builtinId="8" hidden="1"/>
    <cellStyle name="Hyperlink" xfId="4523" builtinId="8" hidden="1"/>
    <cellStyle name="Hyperlink" xfId="4525" builtinId="8" hidden="1"/>
    <cellStyle name="Hyperlink" xfId="4527" builtinId="8" hidden="1"/>
    <cellStyle name="Hyperlink" xfId="4529" builtinId="8" hidden="1"/>
    <cellStyle name="Hyperlink" xfId="4531" builtinId="8" hidden="1"/>
    <cellStyle name="Hyperlink" xfId="4533" builtinId="8" hidden="1"/>
    <cellStyle name="Hyperlink" xfId="4535" builtinId="8" hidden="1"/>
    <cellStyle name="Hyperlink" xfId="4537" builtinId="8" hidden="1"/>
    <cellStyle name="Hyperlink" xfId="4539" builtinId="8" hidden="1"/>
    <cellStyle name="Hyperlink" xfId="4541" builtinId="8" hidden="1"/>
    <cellStyle name="Hyperlink" xfId="4543" builtinId="8" hidden="1"/>
    <cellStyle name="Hyperlink" xfId="4545" builtinId="8" hidden="1"/>
    <cellStyle name="Hyperlink" xfId="4547" builtinId="8" hidden="1"/>
    <cellStyle name="Hyperlink" xfId="4549" builtinId="8" hidden="1"/>
    <cellStyle name="Hyperlink" xfId="4551" builtinId="8" hidden="1"/>
    <cellStyle name="Hyperlink" xfId="4553" builtinId="8" hidden="1"/>
    <cellStyle name="Hyperlink" xfId="4555" builtinId="8" hidden="1"/>
    <cellStyle name="Hyperlink" xfId="4557" builtinId="8" hidden="1"/>
    <cellStyle name="Hyperlink" xfId="4559" builtinId="8" hidden="1"/>
    <cellStyle name="Hyperlink" xfId="4561" builtinId="8" hidden="1"/>
    <cellStyle name="Hyperlink" xfId="4563" builtinId="8" hidden="1"/>
    <cellStyle name="Hyperlink" xfId="4565" builtinId="8" hidden="1"/>
    <cellStyle name="Hyperlink" xfId="4567" builtinId="8" hidden="1"/>
    <cellStyle name="Hyperlink" xfId="4569" builtinId="8" hidden="1"/>
    <cellStyle name="Hyperlink" xfId="4571" builtinId="8" hidden="1"/>
    <cellStyle name="Hyperlink" xfId="4573" builtinId="8" hidden="1"/>
    <cellStyle name="Hyperlink" xfId="4575" builtinId="8" hidden="1"/>
    <cellStyle name="Hyperlink" xfId="4577" builtinId="8" hidden="1"/>
    <cellStyle name="Hyperlink" xfId="4579" builtinId="8" hidden="1"/>
    <cellStyle name="Hyperlink" xfId="4581" builtinId="8" hidden="1"/>
    <cellStyle name="Hyperlink" xfId="4583" builtinId="8" hidden="1"/>
    <cellStyle name="Hyperlink" xfId="4585" builtinId="8" hidden="1"/>
    <cellStyle name="Hyperlink" xfId="4587" builtinId="8" hidden="1"/>
    <cellStyle name="Hyperlink" xfId="4589" builtinId="8" hidden="1"/>
    <cellStyle name="Hyperlink" xfId="4591" builtinId="8" hidden="1"/>
    <cellStyle name="Hyperlink" xfId="4593" builtinId="8" hidden="1"/>
    <cellStyle name="Hyperlink" xfId="4595" builtinId="8" hidden="1"/>
    <cellStyle name="Hyperlink" xfId="4597" builtinId="8" hidden="1"/>
    <cellStyle name="Hyperlink" xfId="4599" builtinId="8" hidden="1"/>
    <cellStyle name="Hyperlink" xfId="4601" builtinId="8" hidden="1"/>
    <cellStyle name="Hyperlink" xfId="4603" builtinId="8" hidden="1"/>
    <cellStyle name="Hyperlink" xfId="4605" builtinId="8" hidden="1"/>
    <cellStyle name="Hyperlink" xfId="4607" builtinId="8" hidden="1"/>
    <cellStyle name="Hyperlink" xfId="4609" builtinId="8" hidden="1"/>
    <cellStyle name="Hyperlink" xfId="4611" builtinId="8" hidden="1"/>
    <cellStyle name="Hyperlink" xfId="4613" builtinId="8" hidden="1"/>
    <cellStyle name="Hyperlink" xfId="4615" builtinId="8" hidden="1"/>
    <cellStyle name="Hyperlink" xfId="4617" builtinId="8" hidden="1"/>
    <cellStyle name="Hyperlink" xfId="4619" builtinId="8" hidden="1"/>
    <cellStyle name="Hyperlink" xfId="4621" builtinId="8" hidden="1"/>
    <cellStyle name="Hyperlink" xfId="4623" builtinId="8" hidden="1"/>
    <cellStyle name="Hyperlink" xfId="4625" builtinId="8" hidden="1"/>
    <cellStyle name="Hyperlink" xfId="4627" builtinId="8" hidden="1"/>
    <cellStyle name="Hyperlink" xfId="4629" builtinId="8" hidden="1"/>
    <cellStyle name="Hyperlink" xfId="4631" builtinId="8" hidden="1"/>
    <cellStyle name="Hyperlink" xfId="4633" builtinId="8" hidden="1"/>
    <cellStyle name="Hyperlink" xfId="4635" builtinId="8" hidden="1"/>
    <cellStyle name="Hyperlink" xfId="4637" builtinId="8" hidden="1"/>
    <cellStyle name="Hyperlink" xfId="4639" builtinId="8" hidden="1"/>
    <cellStyle name="Hyperlink" xfId="4641" builtinId="8" hidden="1"/>
    <cellStyle name="Hyperlink" xfId="4643" builtinId="8" hidden="1"/>
    <cellStyle name="Hyperlink" xfId="4645" builtinId="8" hidden="1"/>
    <cellStyle name="Hyperlink" xfId="4647" builtinId="8" hidden="1"/>
    <cellStyle name="Hyperlink" xfId="4649" builtinId="8" hidden="1"/>
    <cellStyle name="Hyperlink" xfId="4651" builtinId="8" hidden="1"/>
    <cellStyle name="Hyperlink" xfId="4653" builtinId="8" hidden="1"/>
    <cellStyle name="Hyperlink" xfId="4655" builtinId="8" hidden="1"/>
    <cellStyle name="Hyperlink" xfId="4657" builtinId="8" hidden="1"/>
    <cellStyle name="Hyperlink" xfId="4659" builtinId="8" hidden="1"/>
    <cellStyle name="Hyperlink" xfId="4661" builtinId="8" hidden="1"/>
    <cellStyle name="Hyperlink" xfId="4663" builtinId="8" hidden="1"/>
    <cellStyle name="Hyperlink" xfId="4665" builtinId="8" hidden="1"/>
    <cellStyle name="Hyperlink" xfId="4667" builtinId="8" hidden="1"/>
    <cellStyle name="Hyperlink" xfId="4669" builtinId="8" hidden="1"/>
    <cellStyle name="Hyperlink" xfId="4671" builtinId="8" hidden="1"/>
    <cellStyle name="Hyperlink" xfId="4673" builtinId="8" hidden="1"/>
    <cellStyle name="Hyperlink" xfId="4675" builtinId="8" hidden="1"/>
    <cellStyle name="Hyperlink" xfId="4677" builtinId="8" hidden="1"/>
    <cellStyle name="Hyperlink" xfId="4679" builtinId="8" hidden="1"/>
    <cellStyle name="Hyperlink" xfId="4681" builtinId="8" hidden="1"/>
    <cellStyle name="Hyperlink" xfId="4683" builtinId="8" hidden="1"/>
    <cellStyle name="Hyperlink" xfId="4685" builtinId="8" hidden="1"/>
    <cellStyle name="Hyperlink" xfId="4687" builtinId="8" hidden="1"/>
    <cellStyle name="Hyperlink" xfId="4689" builtinId="8" hidden="1"/>
    <cellStyle name="Hyperlink" xfId="4691" builtinId="8" hidden="1"/>
    <cellStyle name="Hyperlink" xfId="4693" builtinId="8" hidden="1"/>
    <cellStyle name="Hyperlink" xfId="4695" builtinId="8" hidden="1"/>
    <cellStyle name="Hyperlink" xfId="4697" builtinId="8" hidden="1"/>
    <cellStyle name="Hyperlink" xfId="4699" builtinId="8" hidden="1"/>
    <cellStyle name="Hyperlink" xfId="4701" builtinId="8" hidden="1"/>
    <cellStyle name="Hyperlink" xfId="4703" builtinId="8" hidden="1"/>
    <cellStyle name="Hyperlink" xfId="4705" builtinId="8" hidden="1"/>
    <cellStyle name="Hyperlink" xfId="4707" builtinId="8" hidden="1"/>
    <cellStyle name="Hyperlink" xfId="4709" builtinId="8" hidden="1"/>
    <cellStyle name="Hyperlink" xfId="4711" builtinId="8" hidden="1"/>
    <cellStyle name="Hyperlink" xfId="4713" builtinId="8" hidden="1"/>
    <cellStyle name="Hyperlink" xfId="4715" builtinId="8" hidden="1"/>
    <cellStyle name="Hyperlink" xfId="4717" builtinId="8" hidden="1"/>
    <cellStyle name="Hyperlink" xfId="4719" builtinId="8" hidden="1"/>
    <cellStyle name="Hyperlink" xfId="4721" builtinId="8" hidden="1"/>
    <cellStyle name="Hyperlink" xfId="4723" builtinId="8" hidden="1"/>
    <cellStyle name="Hyperlink" xfId="4725" builtinId="8" hidden="1"/>
    <cellStyle name="Hyperlink" xfId="4727" builtinId="8" hidden="1"/>
    <cellStyle name="Hyperlink" xfId="4729" builtinId="8" hidden="1"/>
    <cellStyle name="Hyperlink" xfId="4731" builtinId="8" hidden="1"/>
    <cellStyle name="Hyperlink" xfId="4733" builtinId="8" hidden="1"/>
    <cellStyle name="Hyperlink" xfId="4735" builtinId="8" hidden="1"/>
    <cellStyle name="Hyperlink" xfId="4737" builtinId="8" hidden="1"/>
    <cellStyle name="Hyperlink" xfId="4739" builtinId="8" hidden="1"/>
    <cellStyle name="Hyperlink" xfId="4741" builtinId="8" hidden="1"/>
    <cellStyle name="Hyperlink" xfId="4743" builtinId="8" hidden="1"/>
    <cellStyle name="Hyperlink" xfId="4745" builtinId="8" hidden="1"/>
    <cellStyle name="Hyperlink" xfId="4747" builtinId="8" hidden="1"/>
    <cellStyle name="Hyperlink" xfId="4749" builtinId="8" hidden="1"/>
    <cellStyle name="Hyperlink" xfId="4751" builtinId="8" hidden="1"/>
    <cellStyle name="Hyperlink" xfId="4753" builtinId="8" hidden="1"/>
    <cellStyle name="Hyperlink" xfId="4755" builtinId="8" hidden="1"/>
    <cellStyle name="Hyperlink" xfId="4757" builtinId="8" hidden="1"/>
    <cellStyle name="Hyperlink" xfId="4759" builtinId="8" hidden="1"/>
    <cellStyle name="Hyperlink" xfId="4761" builtinId="8" hidden="1"/>
    <cellStyle name="Hyperlink" xfId="4763" builtinId="8" hidden="1"/>
    <cellStyle name="Hyperlink" xfId="4765" builtinId="8" hidden="1"/>
    <cellStyle name="Hyperlink" xfId="4767" builtinId="8" hidden="1"/>
    <cellStyle name="Hyperlink" xfId="4769" builtinId="8" hidden="1"/>
    <cellStyle name="Hyperlink" xfId="4771" builtinId="8" hidden="1"/>
    <cellStyle name="Hyperlink" xfId="4773" builtinId="8" hidden="1"/>
    <cellStyle name="Hyperlink" xfId="4775" builtinId="8" hidden="1"/>
    <cellStyle name="Hyperlink" xfId="4777" builtinId="8" hidden="1"/>
    <cellStyle name="Hyperlink" xfId="4779" builtinId="8" hidden="1"/>
    <cellStyle name="Hyperlink" xfId="4781" builtinId="8" hidden="1"/>
    <cellStyle name="Hyperlink" xfId="4783" builtinId="8" hidden="1"/>
    <cellStyle name="Hyperlink" xfId="4785" builtinId="8" hidden="1"/>
    <cellStyle name="Hyperlink" xfId="4787" builtinId="8" hidden="1"/>
    <cellStyle name="Hyperlink" xfId="4789" builtinId="8" hidden="1"/>
    <cellStyle name="Hyperlink" xfId="4791" builtinId="8" hidden="1"/>
    <cellStyle name="Hyperlink" xfId="4793" builtinId="8" hidden="1"/>
    <cellStyle name="Hyperlink" xfId="4795" builtinId="8" hidden="1"/>
    <cellStyle name="Hyperlink" xfId="4797" builtinId="8" hidden="1"/>
    <cellStyle name="Hyperlink" xfId="4799" builtinId="8" hidden="1"/>
    <cellStyle name="Hyperlink" xfId="4801" builtinId="8" hidden="1"/>
    <cellStyle name="Hyperlink" xfId="4803" builtinId="8" hidden="1"/>
    <cellStyle name="Hyperlink" xfId="4805" builtinId="8" hidden="1"/>
    <cellStyle name="Hyperlink" xfId="4807" builtinId="8" hidden="1"/>
    <cellStyle name="Hyperlink" xfId="4809" builtinId="8" hidden="1"/>
    <cellStyle name="Hyperlink" xfId="4811" builtinId="8" hidden="1"/>
    <cellStyle name="Hyperlink" xfId="4813" builtinId="8" hidden="1"/>
    <cellStyle name="Hyperlink" xfId="4815" builtinId="8" hidden="1"/>
    <cellStyle name="Hyperlink" xfId="4817" builtinId="8" hidden="1"/>
    <cellStyle name="Hyperlink" xfId="4819" builtinId="8" hidden="1"/>
    <cellStyle name="Hyperlink" xfId="4821" builtinId="8" hidden="1"/>
    <cellStyle name="Hyperlink" xfId="4823" builtinId="8" hidden="1"/>
    <cellStyle name="Hyperlink" xfId="4825" builtinId="8" hidden="1"/>
    <cellStyle name="Hyperlink" xfId="4827" builtinId="8" hidden="1"/>
    <cellStyle name="Hyperlink" xfId="4829" builtinId="8" hidden="1"/>
    <cellStyle name="Hyperlink" xfId="4831" builtinId="8" hidden="1"/>
    <cellStyle name="Hyperlink" xfId="4833" builtinId="8" hidden="1"/>
    <cellStyle name="Hyperlink" xfId="4835" builtinId="8" hidden="1"/>
    <cellStyle name="Hyperlink" xfId="4837" builtinId="8" hidden="1"/>
    <cellStyle name="Hyperlink" xfId="4839" builtinId="8" hidden="1"/>
    <cellStyle name="Hyperlink" xfId="4841" builtinId="8" hidden="1"/>
    <cellStyle name="Hyperlink" xfId="4843" builtinId="8" hidden="1"/>
    <cellStyle name="Hyperlink" xfId="4845" builtinId="8" hidden="1"/>
    <cellStyle name="Hyperlink" xfId="4847" builtinId="8" hidden="1"/>
    <cellStyle name="Hyperlink" xfId="4849" builtinId="8" hidden="1"/>
    <cellStyle name="Hyperlink" xfId="4851" builtinId="8" hidden="1"/>
    <cellStyle name="Hyperlink" xfId="4853" builtinId="8" hidden="1"/>
    <cellStyle name="Hyperlink" xfId="4855" builtinId="8" hidden="1"/>
    <cellStyle name="Hyperlink" xfId="4857" builtinId="8" hidden="1"/>
    <cellStyle name="Hyperlink" xfId="4859" builtinId="8" hidden="1"/>
    <cellStyle name="Hyperlink" xfId="4861" builtinId="8" hidden="1"/>
    <cellStyle name="Hyperlink" xfId="4863" builtinId="8" hidden="1"/>
    <cellStyle name="Hyperlink" xfId="4865" builtinId="8" hidden="1"/>
    <cellStyle name="Hyperlink" xfId="4867" builtinId="8" hidden="1"/>
    <cellStyle name="Hyperlink" xfId="4869" builtinId="8" hidden="1"/>
    <cellStyle name="Hyperlink" xfId="4871" builtinId="8" hidden="1"/>
    <cellStyle name="Hyperlink" xfId="4873" builtinId="8" hidden="1"/>
    <cellStyle name="Hyperlink" xfId="4875" builtinId="8" hidden="1"/>
    <cellStyle name="Hyperlink" xfId="4877" builtinId="8" hidden="1"/>
    <cellStyle name="Hyperlink" xfId="4879" builtinId="8" hidden="1"/>
    <cellStyle name="Hyperlink" xfId="4881" builtinId="8" hidden="1"/>
    <cellStyle name="Hyperlink" xfId="4883" builtinId="8" hidden="1"/>
    <cellStyle name="Hyperlink" xfId="4885" builtinId="8" hidden="1"/>
    <cellStyle name="Hyperlink" xfId="4887" builtinId="8" hidden="1"/>
    <cellStyle name="Hyperlink" xfId="4889" builtinId="8" hidden="1"/>
    <cellStyle name="Hyperlink" xfId="4891" builtinId="8" hidden="1"/>
    <cellStyle name="Hyperlink" xfId="4893" builtinId="8" hidden="1"/>
    <cellStyle name="Hyperlink" xfId="4895" builtinId="8" hidden="1"/>
    <cellStyle name="Hyperlink" xfId="4897" builtinId="8" hidden="1"/>
    <cellStyle name="Hyperlink" xfId="4899" builtinId="8" hidden="1"/>
    <cellStyle name="Hyperlink" xfId="4901" builtinId="8" hidden="1"/>
    <cellStyle name="Hyperlink" xfId="4903" builtinId="8" hidden="1"/>
    <cellStyle name="Hyperlink" xfId="4905" builtinId="8" hidden="1"/>
    <cellStyle name="Hyperlink" xfId="4907" builtinId="8" hidden="1"/>
    <cellStyle name="Hyperlink" xfId="4909" builtinId="8" hidden="1"/>
    <cellStyle name="Hyperlink" xfId="4911" builtinId="8" hidden="1"/>
    <cellStyle name="Hyperlink" xfId="4913" builtinId="8" hidden="1"/>
    <cellStyle name="Hyperlink" xfId="4915" builtinId="8" hidden="1"/>
    <cellStyle name="Hyperlink" xfId="4917" builtinId="8" hidden="1"/>
    <cellStyle name="Hyperlink" xfId="4919" builtinId="8" hidden="1"/>
    <cellStyle name="Hyperlink" xfId="4921" builtinId="8" hidden="1"/>
    <cellStyle name="Hyperlink" xfId="4923" builtinId="8" hidden="1"/>
    <cellStyle name="Hyperlink" xfId="4925" builtinId="8" hidden="1"/>
    <cellStyle name="Hyperlink" xfId="4927" builtinId="8" hidden="1"/>
    <cellStyle name="Hyperlink" xfId="4929" builtinId="8" hidden="1"/>
    <cellStyle name="Hyperlink" xfId="4931" builtinId="8" hidden="1"/>
    <cellStyle name="Hyperlink" xfId="4933" builtinId="8" hidden="1"/>
    <cellStyle name="Hyperlink" xfId="4935" builtinId="8" hidden="1"/>
    <cellStyle name="Hyperlink" xfId="4937" builtinId="8" hidden="1"/>
    <cellStyle name="Hyperlink" xfId="4939" builtinId="8" hidden="1"/>
    <cellStyle name="Hyperlink" xfId="4941" builtinId="8" hidden="1"/>
    <cellStyle name="Hyperlink" xfId="4943" builtinId="8" hidden="1"/>
    <cellStyle name="Hyperlink" xfId="4945" builtinId="8" hidden="1"/>
    <cellStyle name="Hyperlink" xfId="4947" builtinId="8" hidden="1"/>
    <cellStyle name="Hyperlink" xfId="4949" builtinId="8" hidden="1"/>
    <cellStyle name="Hyperlink" xfId="4951" builtinId="8" hidden="1"/>
    <cellStyle name="Hyperlink" xfId="4953" builtinId="8" hidden="1"/>
    <cellStyle name="Hyperlink" xfId="4955" builtinId="8" hidden="1"/>
    <cellStyle name="Hyperlink" xfId="4957" builtinId="8" hidden="1"/>
    <cellStyle name="Hyperlink" xfId="4959" builtinId="8" hidden="1"/>
    <cellStyle name="Hyperlink" xfId="4961" builtinId="8" hidden="1"/>
    <cellStyle name="Hyperlink" xfId="4963" builtinId="8" hidden="1"/>
    <cellStyle name="Hyperlink" xfId="4965" builtinId="8" hidden="1"/>
    <cellStyle name="Hyperlink" xfId="4967" builtinId="8" hidden="1"/>
    <cellStyle name="Hyperlink" xfId="4969" builtinId="8" hidden="1"/>
    <cellStyle name="Hyperlink" xfId="4971" builtinId="8" hidden="1"/>
    <cellStyle name="Hyperlink" xfId="4973" builtinId="8" hidden="1"/>
    <cellStyle name="Hyperlink" xfId="4975" builtinId="8" hidden="1"/>
    <cellStyle name="Hyperlink" xfId="4977" builtinId="8" hidden="1"/>
    <cellStyle name="Hyperlink" xfId="4979" builtinId="8" hidden="1"/>
    <cellStyle name="Hyperlink" xfId="4981" builtinId="8" hidden="1"/>
    <cellStyle name="Hyperlink" xfId="4983" builtinId="8" hidden="1"/>
    <cellStyle name="Hyperlink" xfId="4985" builtinId="8" hidden="1"/>
    <cellStyle name="Hyperlink" xfId="4987" builtinId="8" hidden="1"/>
    <cellStyle name="Hyperlink" xfId="4989" builtinId="8" hidden="1"/>
    <cellStyle name="Hyperlink" xfId="4991" builtinId="8" hidden="1"/>
    <cellStyle name="Hyperlink" xfId="4993" builtinId="8" hidden="1"/>
    <cellStyle name="Hyperlink" xfId="4995" builtinId="8" hidden="1"/>
    <cellStyle name="Hyperlink" xfId="4997" builtinId="8" hidden="1"/>
    <cellStyle name="Hyperlink" xfId="4999" builtinId="8" hidden="1"/>
    <cellStyle name="Hyperlink" xfId="5001" builtinId="8" hidden="1"/>
    <cellStyle name="Hyperlink" xfId="5003" builtinId="8" hidden="1"/>
    <cellStyle name="Hyperlink" xfId="5005" builtinId="8" hidden="1"/>
    <cellStyle name="Hyperlink" xfId="5007" builtinId="8" hidden="1"/>
    <cellStyle name="Hyperlink" xfId="5009" builtinId="8" hidden="1"/>
    <cellStyle name="Hyperlink" xfId="5011" builtinId="8" hidden="1"/>
    <cellStyle name="Hyperlink" xfId="5013" builtinId="8" hidden="1"/>
    <cellStyle name="Hyperlink" xfId="5015" builtinId="8" hidden="1"/>
    <cellStyle name="Hyperlink" xfId="5017" builtinId="8" hidden="1"/>
    <cellStyle name="Hyperlink" xfId="5019" builtinId="8" hidden="1"/>
    <cellStyle name="Hyperlink" xfId="5021" builtinId="8" hidden="1"/>
    <cellStyle name="Hyperlink" xfId="5023" builtinId="8" hidden="1"/>
    <cellStyle name="Hyperlink" xfId="5025" builtinId="8" hidden="1"/>
    <cellStyle name="Hyperlink" xfId="5027" builtinId="8" hidden="1"/>
    <cellStyle name="Hyperlink" xfId="5029" builtinId="8" hidden="1"/>
    <cellStyle name="Hyperlink" xfId="5031" builtinId="8" hidden="1"/>
    <cellStyle name="Hyperlink" xfId="5033" builtinId="8" hidden="1"/>
    <cellStyle name="Hyperlink" xfId="5035" builtinId="8" hidden="1"/>
    <cellStyle name="Hyperlink" xfId="5037" builtinId="8" hidden="1"/>
    <cellStyle name="Hyperlink" xfId="5039" builtinId="8" hidden="1"/>
    <cellStyle name="Hyperlink" xfId="5041" builtinId="8" hidden="1"/>
    <cellStyle name="Hyperlink" xfId="5043" builtinId="8" hidden="1"/>
    <cellStyle name="Hyperlink" xfId="5045" builtinId="8" hidden="1"/>
    <cellStyle name="Hyperlink" xfId="5047" builtinId="8" hidden="1"/>
    <cellStyle name="Hyperlink" xfId="5049" builtinId="8" hidden="1"/>
    <cellStyle name="Hyperlink" xfId="5051" builtinId="8" hidden="1"/>
    <cellStyle name="Hyperlink" xfId="5053" builtinId="8" hidden="1"/>
    <cellStyle name="Hyperlink" xfId="5055" builtinId="8" hidden="1"/>
    <cellStyle name="Hyperlink" xfId="5057" builtinId="8" hidden="1"/>
    <cellStyle name="Hyperlink" xfId="5059" builtinId="8" hidden="1"/>
    <cellStyle name="Hyperlink" xfId="5061" builtinId="8" hidden="1"/>
    <cellStyle name="Hyperlink" xfId="5063" builtinId="8" hidden="1"/>
    <cellStyle name="Hyperlink" xfId="5065" builtinId="8" hidden="1"/>
    <cellStyle name="Hyperlink" xfId="5067" builtinId="8" hidden="1"/>
    <cellStyle name="Hyperlink" xfId="5069" builtinId="8" hidden="1"/>
    <cellStyle name="Hyperlink" xfId="5071" builtinId="8" hidden="1"/>
    <cellStyle name="Hyperlink" xfId="5073" builtinId="8" hidden="1"/>
    <cellStyle name="Hyperlink" xfId="5075" builtinId="8" hidden="1"/>
    <cellStyle name="Hyperlink" xfId="5077" builtinId="8" hidden="1"/>
    <cellStyle name="Hyperlink" xfId="5079" builtinId="8" hidden="1"/>
    <cellStyle name="Hyperlink" xfId="5081" builtinId="8" hidden="1"/>
    <cellStyle name="Hyperlink" xfId="5083" builtinId="8" hidden="1"/>
    <cellStyle name="Hyperlink" xfId="5085" builtinId="8" hidden="1"/>
    <cellStyle name="Hyperlink" xfId="5087" builtinId="8" hidden="1"/>
    <cellStyle name="Hyperlink" xfId="5089" builtinId="8" hidden="1"/>
    <cellStyle name="Hyperlink" xfId="5091" builtinId="8" hidden="1"/>
    <cellStyle name="Hyperlink" xfId="5093" builtinId="8" hidden="1"/>
    <cellStyle name="Hyperlink" xfId="5095" builtinId="8" hidden="1"/>
    <cellStyle name="Hyperlink" xfId="5097" builtinId="8" hidden="1"/>
    <cellStyle name="Hyperlink" xfId="5099" builtinId="8" hidden="1"/>
    <cellStyle name="Hyperlink" xfId="5101" builtinId="8" hidden="1"/>
    <cellStyle name="Hyperlink" xfId="5103" builtinId="8" hidden="1"/>
    <cellStyle name="Hyperlink" xfId="5105" builtinId="8" hidden="1"/>
    <cellStyle name="Hyperlink" xfId="5107" builtinId="8" hidden="1"/>
    <cellStyle name="Hyperlink" xfId="5109" builtinId="8" hidden="1"/>
    <cellStyle name="Hyperlink" xfId="5111" builtinId="8" hidden="1"/>
    <cellStyle name="Hyperlink" xfId="5113" builtinId="8" hidden="1"/>
    <cellStyle name="Hyperlink" xfId="5115" builtinId="8" hidden="1"/>
    <cellStyle name="Hyperlink" xfId="5117" builtinId="8" hidden="1"/>
    <cellStyle name="Hyperlink" xfId="5119" builtinId="8" hidden="1"/>
    <cellStyle name="Hyperlink" xfId="5121" builtinId="8" hidden="1"/>
    <cellStyle name="Hyperlink" xfId="5123" builtinId="8" hidden="1"/>
    <cellStyle name="Hyperlink" xfId="5125" builtinId="8" hidden="1"/>
    <cellStyle name="Hyperlink" xfId="5127" builtinId="8" hidden="1"/>
    <cellStyle name="Hyperlink" xfId="5129" builtinId="8" hidden="1"/>
    <cellStyle name="Hyperlink" xfId="5131" builtinId="8" hidden="1"/>
    <cellStyle name="Hyperlink" xfId="5133" builtinId="8" hidden="1"/>
    <cellStyle name="Hyperlink" xfId="5135" builtinId="8" hidden="1"/>
    <cellStyle name="Hyperlink" xfId="5137" builtinId="8" hidden="1"/>
    <cellStyle name="Hyperlink" xfId="5139" builtinId="8" hidden="1"/>
    <cellStyle name="Hyperlink" xfId="5141" builtinId="8" hidden="1"/>
    <cellStyle name="Hyperlink" xfId="5143" builtinId="8" hidden="1"/>
    <cellStyle name="Hyperlink" xfId="5145" builtinId="8" hidden="1"/>
    <cellStyle name="Hyperlink" xfId="5147" builtinId="8" hidden="1"/>
    <cellStyle name="Hyperlink" xfId="5149" builtinId="8" hidden="1"/>
    <cellStyle name="Hyperlink" xfId="5151" builtinId="8" hidden="1"/>
    <cellStyle name="Hyperlink" xfId="5153" builtinId="8" hidden="1"/>
    <cellStyle name="Hyperlink" xfId="5155" builtinId="8" hidden="1"/>
    <cellStyle name="Hyperlink" xfId="5157" builtinId="8" hidden="1"/>
    <cellStyle name="Hyperlink" xfId="5159" builtinId="8" hidden="1"/>
    <cellStyle name="Hyperlink" xfId="5161" builtinId="8" hidden="1"/>
    <cellStyle name="Hyperlink" xfId="5163" builtinId="8" hidden="1"/>
    <cellStyle name="Hyperlink" xfId="5165" builtinId="8" hidden="1"/>
    <cellStyle name="Hyperlink" xfId="5167" builtinId="8" hidden="1"/>
    <cellStyle name="Hyperlink" xfId="5169" builtinId="8" hidden="1"/>
    <cellStyle name="Hyperlink" xfId="5171" builtinId="8" hidden="1"/>
    <cellStyle name="Hyperlink" xfId="5173" builtinId="8" hidden="1"/>
    <cellStyle name="Hyperlink" xfId="5175" builtinId="8" hidden="1"/>
    <cellStyle name="Hyperlink" xfId="5177" builtinId="8" hidden="1"/>
    <cellStyle name="Hyperlink" xfId="5179" builtinId="8" hidden="1"/>
    <cellStyle name="Hyperlink" xfId="5181" builtinId="8" hidden="1"/>
    <cellStyle name="Hyperlink" xfId="5183" builtinId="8" hidden="1"/>
    <cellStyle name="Hyperlink" xfId="5185" builtinId="8" hidden="1"/>
    <cellStyle name="Hyperlink" xfId="5187" builtinId="8" hidden="1"/>
    <cellStyle name="Hyperlink" xfId="5189" builtinId="8" hidden="1"/>
    <cellStyle name="Hyperlink" xfId="5191" builtinId="8" hidden="1"/>
    <cellStyle name="Hyperlink" xfId="5193" builtinId="8" hidden="1"/>
    <cellStyle name="Hyperlink" xfId="5195" builtinId="8" hidden="1"/>
    <cellStyle name="Hyperlink" xfId="5197" builtinId="8" hidden="1"/>
    <cellStyle name="Hyperlink" xfId="5199" builtinId="8" hidden="1"/>
    <cellStyle name="Hyperlink" xfId="5201" builtinId="8" hidden="1"/>
    <cellStyle name="Hyperlink" xfId="5203" builtinId="8" hidden="1"/>
    <cellStyle name="Hyperlink" xfId="5205" builtinId="8" hidden="1"/>
    <cellStyle name="Hyperlink" xfId="5207" builtinId="8" hidden="1"/>
    <cellStyle name="Hyperlink" xfId="5209" builtinId="8" hidden="1"/>
    <cellStyle name="Hyperlink" xfId="5211" builtinId="8" hidden="1"/>
    <cellStyle name="Hyperlink" xfId="5213" builtinId="8" hidden="1"/>
    <cellStyle name="Hyperlink" xfId="5215" builtinId="8" hidden="1"/>
    <cellStyle name="Hyperlink" xfId="5217" builtinId="8" hidden="1"/>
    <cellStyle name="Hyperlink" xfId="5219" builtinId="8" hidden="1"/>
    <cellStyle name="Hyperlink" xfId="5221" builtinId="8" hidden="1"/>
    <cellStyle name="Hyperlink" xfId="5223" builtinId="8" hidden="1"/>
    <cellStyle name="Hyperlink" xfId="5225" builtinId="8" hidden="1"/>
    <cellStyle name="Hyperlink" xfId="5227" builtinId="8" hidden="1"/>
    <cellStyle name="Hyperlink" xfId="5229" builtinId="8" hidden="1"/>
    <cellStyle name="Hyperlink" xfId="5231" builtinId="8" hidden="1"/>
    <cellStyle name="Hyperlink" xfId="5233" builtinId="8" hidden="1"/>
    <cellStyle name="Hyperlink" xfId="5235" builtinId="8" hidden="1"/>
    <cellStyle name="Hyperlink" xfId="5237" builtinId="8" hidden="1"/>
    <cellStyle name="Hyperlink" xfId="5239" builtinId="8" hidden="1"/>
    <cellStyle name="Hyperlink" xfId="5241" builtinId="8" hidden="1"/>
    <cellStyle name="Hyperlink" xfId="5243" builtinId="8" hidden="1"/>
    <cellStyle name="Hyperlink" xfId="5245" builtinId="8" hidden="1"/>
    <cellStyle name="Hyperlink" xfId="5247" builtinId="8" hidden="1"/>
    <cellStyle name="Hyperlink" xfId="5249" builtinId="8" hidden="1"/>
    <cellStyle name="Hyperlink" xfId="5251" builtinId="8" hidden="1"/>
    <cellStyle name="Hyperlink" xfId="5253" builtinId="8" hidden="1"/>
    <cellStyle name="Hyperlink" xfId="5255" builtinId="8" hidden="1"/>
    <cellStyle name="Hyperlink" xfId="5257" builtinId="8" hidden="1"/>
    <cellStyle name="Hyperlink" xfId="5259" builtinId="8" hidden="1"/>
    <cellStyle name="Hyperlink" xfId="5261" builtinId="8" hidden="1"/>
    <cellStyle name="Hyperlink" xfId="5263" builtinId="8" hidden="1"/>
    <cellStyle name="Hyperlink" xfId="5265" builtinId="8" hidden="1"/>
    <cellStyle name="Hyperlink" xfId="5267" builtinId="8" hidden="1"/>
    <cellStyle name="Hyperlink" xfId="5269" builtinId="8" hidden="1"/>
    <cellStyle name="Hyperlink" xfId="5271" builtinId="8" hidden="1"/>
    <cellStyle name="Hyperlink" xfId="5273" builtinId="8" hidden="1"/>
    <cellStyle name="Hyperlink" xfId="5275" builtinId="8" hidden="1"/>
    <cellStyle name="Hyperlink" xfId="5277" builtinId="8" hidden="1"/>
    <cellStyle name="Hyperlink" xfId="5279" builtinId="8" hidden="1"/>
    <cellStyle name="Hyperlink" xfId="5281" builtinId="8" hidden="1"/>
    <cellStyle name="Hyperlink" xfId="5283" builtinId="8" hidden="1"/>
    <cellStyle name="Hyperlink" xfId="5285" builtinId="8" hidden="1"/>
    <cellStyle name="Hyperlink" xfId="5287" builtinId="8" hidden="1"/>
    <cellStyle name="Hyperlink" xfId="5289" builtinId="8" hidden="1"/>
    <cellStyle name="Hyperlink" xfId="5291" builtinId="8" hidden="1"/>
    <cellStyle name="Hyperlink" xfId="5293" builtinId="8" hidden="1"/>
    <cellStyle name="Hyperlink" xfId="5295" builtinId="8" hidden="1"/>
    <cellStyle name="Hyperlink" xfId="5297" builtinId="8" hidden="1"/>
    <cellStyle name="Hyperlink" xfId="5299" builtinId="8" hidden="1"/>
    <cellStyle name="Hyperlink" xfId="5301" builtinId="8" hidden="1"/>
    <cellStyle name="Hyperlink" xfId="5303" builtinId="8" hidden="1"/>
    <cellStyle name="Hyperlink" xfId="5305" builtinId="8" hidden="1"/>
    <cellStyle name="Hyperlink" xfId="5307" builtinId="8" hidden="1"/>
    <cellStyle name="Hyperlink" xfId="5309" builtinId="8" hidden="1"/>
    <cellStyle name="Hyperlink" xfId="5311" builtinId="8" hidden="1"/>
    <cellStyle name="Hyperlink" xfId="5313" builtinId="8" hidden="1"/>
    <cellStyle name="Hyperlink" xfId="5315" builtinId="8" hidden="1"/>
    <cellStyle name="Hyperlink" xfId="5317" builtinId="8" hidden="1"/>
    <cellStyle name="Hyperlink" xfId="5319" builtinId="8" hidden="1"/>
    <cellStyle name="Hyperlink" xfId="5321" builtinId="8" hidden="1"/>
    <cellStyle name="Hyperlink" xfId="5323" builtinId="8" hidden="1"/>
    <cellStyle name="Hyperlink" xfId="5325" builtinId="8" hidden="1"/>
    <cellStyle name="Hyperlink" xfId="5327" builtinId="8" hidden="1"/>
    <cellStyle name="Hyperlink" xfId="5329" builtinId="8" hidden="1"/>
    <cellStyle name="Hyperlink" xfId="5331" builtinId="8" hidden="1"/>
    <cellStyle name="Hyperlink" xfId="5333" builtinId="8" hidden="1"/>
    <cellStyle name="Hyperlink" xfId="5335" builtinId="8" hidden="1"/>
    <cellStyle name="Hyperlink" xfId="5337" builtinId="8" hidden="1"/>
    <cellStyle name="Hyperlink" xfId="5339" builtinId="8" hidden="1"/>
    <cellStyle name="Hyperlink" xfId="5341" builtinId="8" hidden="1"/>
    <cellStyle name="Hyperlink" xfId="5343" builtinId="8" hidden="1"/>
    <cellStyle name="Hyperlink" xfId="5345" builtinId="8" hidden="1"/>
    <cellStyle name="Hyperlink" xfId="5347" builtinId="8" hidden="1"/>
    <cellStyle name="Hyperlink" xfId="5349" builtinId="8" hidden="1"/>
    <cellStyle name="Hyperlink" xfId="5351" builtinId="8" hidden="1"/>
    <cellStyle name="Hyperlink" xfId="5353" builtinId="8" hidden="1"/>
    <cellStyle name="Hyperlink" xfId="5355" builtinId="8" hidden="1"/>
    <cellStyle name="Hyperlink" xfId="5357" builtinId="8" hidden="1"/>
    <cellStyle name="Hyperlink" xfId="5359" builtinId="8" hidden="1"/>
    <cellStyle name="Hyperlink" xfId="5361" builtinId="8" hidden="1"/>
    <cellStyle name="Hyperlink" xfId="5363" builtinId="8" hidden="1"/>
    <cellStyle name="Hyperlink" xfId="5365" builtinId="8" hidden="1"/>
    <cellStyle name="Hyperlink" xfId="5367" builtinId="8" hidden="1"/>
    <cellStyle name="Hyperlink" xfId="5369" builtinId="8" hidden="1"/>
    <cellStyle name="Hyperlink" xfId="5371" builtinId="8" hidden="1"/>
    <cellStyle name="Hyperlink" xfId="5373" builtinId="8" hidden="1"/>
    <cellStyle name="Hyperlink" xfId="5375" builtinId="8" hidden="1"/>
    <cellStyle name="Hyperlink" xfId="5377" builtinId="8" hidden="1"/>
    <cellStyle name="Hyperlink" xfId="5379" builtinId="8" hidden="1"/>
    <cellStyle name="Hyperlink" xfId="5381" builtinId="8" hidden="1"/>
    <cellStyle name="Hyperlink" xfId="5383" builtinId="8" hidden="1"/>
    <cellStyle name="Hyperlink" xfId="5385" builtinId="8" hidden="1"/>
    <cellStyle name="Hyperlink" xfId="5387" builtinId="8" hidden="1"/>
    <cellStyle name="Hyperlink" xfId="5389" builtinId="8" hidden="1"/>
    <cellStyle name="Hyperlink" xfId="5391" builtinId="8" hidden="1"/>
    <cellStyle name="Hyperlink" xfId="5393" builtinId="8" hidden="1"/>
    <cellStyle name="Hyperlink" xfId="5395" builtinId="8" hidden="1"/>
    <cellStyle name="Hyperlink" xfId="5397" builtinId="8" hidden="1"/>
    <cellStyle name="Hyperlink" xfId="5399" builtinId="8" hidden="1"/>
    <cellStyle name="Hyperlink" xfId="5401" builtinId="8" hidden="1"/>
    <cellStyle name="Hyperlink" xfId="5403" builtinId="8" hidden="1"/>
    <cellStyle name="Hyperlink" xfId="5405" builtinId="8" hidden="1"/>
    <cellStyle name="Hyperlink" xfId="5407" builtinId="8" hidden="1"/>
    <cellStyle name="Hyperlink" xfId="5409" builtinId="8" hidden="1"/>
    <cellStyle name="Hyperlink" xfId="5411" builtinId="8" hidden="1"/>
    <cellStyle name="Hyperlink" xfId="5413" builtinId="8" hidden="1"/>
    <cellStyle name="Hyperlink" xfId="5415" builtinId="8" hidden="1"/>
    <cellStyle name="Hyperlink" xfId="5417" builtinId="8" hidden="1"/>
    <cellStyle name="Hyperlink" xfId="5419" builtinId="8" hidden="1"/>
    <cellStyle name="Hyperlink" xfId="5421" builtinId="8" hidden="1"/>
    <cellStyle name="Hyperlink" xfId="5423" builtinId="8" hidden="1"/>
    <cellStyle name="Hyperlink" xfId="5425" builtinId="8" hidden="1"/>
    <cellStyle name="Hyperlink" xfId="5427" builtinId="8" hidden="1"/>
    <cellStyle name="Hyperlink" xfId="5429" builtinId="8" hidden="1"/>
    <cellStyle name="Hyperlink" xfId="5431" builtinId="8" hidden="1"/>
    <cellStyle name="Hyperlink" xfId="5433" builtinId="8" hidden="1"/>
    <cellStyle name="Hyperlink" xfId="5435" builtinId="8" hidden="1"/>
    <cellStyle name="Hyperlink" xfId="5437" builtinId="8" hidden="1"/>
    <cellStyle name="Hyperlink" xfId="5439" builtinId="8" hidden="1"/>
    <cellStyle name="Hyperlink" xfId="5441" builtinId="8" hidden="1"/>
    <cellStyle name="Hyperlink" xfId="5443" builtinId="8" hidden="1"/>
    <cellStyle name="Hyperlink" xfId="5445" builtinId="8" hidden="1"/>
    <cellStyle name="Hyperlink" xfId="5447" builtinId="8" hidden="1"/>
    <cellStyle name="Hyperlink" xfId="5449" builtinId="8" hidden="1"/>
    <cellStyle name="Hyperlink" xfId="5451" builtinId="8" hidden="1"/>
    <cellStyle name="Hyperlink" xfId="5453" builtinId="8" hidden="1"/>
    <cellStyle name="Hyperlink" xfId="5455" builtinId="8" hidden="1"/>
    <cellStyle name="Hyperlink" xfId="5457" builtinId="8" hidden="1"/>
    <cellStyle name="Hyperlink" xfId="5459" builtinId="8" hidden="1"/>
    <cellStyle name="Hyperlink" xfId="5461" builtinId="8" hidden="1"/>
    <cellStyle name="Hyperlink" xfId="5463" builtinId="8" hidden="1"/>
    <cellStyle name="Hyperlink" xfId="5465" builtinId="8" hidden="1"/>
    <cellStyle name="Hyperlink" xfId="5467" builtinId="8" hidden="1"/>
    <cellStyle name="Hyperlink" xfId="5469" builtinId="8" hidden="1"/>
    <cellStyle name="Hyperlink" xfId="5471" builtinId="8" hidden="1"/>
    <cellStyle name="Hyperlink" xfId="5473" builtinId="8" hidden="1"/>
    <cellStyle name="Hyperlink" xfId="5475" builtinId="8" hidden="1"/>
    <cellStyle name="Hyperlink" xfId="5477" builtinId="8" hidden="1"/>
    <cellStyle name="Hyperlink" xfId="5479" builtinId="8" hidden="1"/>
    <cellStyle name="Hyperlink" xfId="5481" builtinId="8" hidden="1"/>
    <cellStyle name="Hyperlink" xfId="5483" builtinId="8" hidden="1"/>
    <cellStyle name="Hyperlink" xfId="5485" builtinId="8" hidden="1"/>
    <cellStyle name="Hyperlink" xfId="5487" builtinId="8" hidden="1"/>
    <cellStyle name="Hyperlink" xfId="5489" builtinId="8" hidden="1"/>
    <cellStyle name="Hyperlink" xfId="5491" builtinId="8" hidden="1"/>
    <cellStyle name="Hyperlink" xfId="5493" builtinId="8" hidden="1"/>
    <cellStyle name="Hyperlink" xfId="5495" builtinId="8" hidden="1"/>
    <cellStyle name="Hyperlink" xfId="5497" builtinId="8" hidden="1"/>
    <cellStyle name="Hyperlink" xfId="5499" builtinId="8" hidden="1"/>
    <cellStyle name="Hyperlink" xfId="5501" builtinId="8" hidden="1"/>
    <cellStyle name="Hyperlink" xfId="5503" builtinId="8" hidden="1"/>
    <cellStyle name="Hyperlink" xfId="5505" builtinId="8" hidden="1"/>
    <cellStyle name="Hyperlink" xfId="5507" builtinId="8" hidden="1"/>
    <cellStyle name="Hyperlink" xfId="5509" builtinId="8" hidden="1"/>
    <cellStyle name="Hyperlink" xfId="5511" builtinId="8" hidden="1"/>
    <cellStyle name="Hyperlink" xfId="5513" builtinId="8" hidden="1"/>
    <cellStyle name="Hyperlink" xfId="5515" builtinId="8" hidden="1"/>
    <cellStyle name="Hyperlink" xfId="5517" builtinId="8" hidden="1"/>
    <cellStyle name="Hyperlink" xfId="5519" builtinId="8" hidden="1"/>
    <cellStyle name="Hyperlink" xfId="5521" builtinId="8" hidden="1"/>
    <cellStyle name="Hyperlink" xfId="5523" builtinId="8" hidden="1"/>
    <cellStyle name="Hyperlink" xfId="5525" builtinId="8" hidden="1"/>
    <cellStyle name="Hyperlink" xfId="5527" builtinId="8" hidden="1"/>
    <cellStyle name="Hyperlink" xfId="5529" builtinId="8" hidden="1"/>
    <cellStyle name="Hyperlink" xfId="5531" builtinId="8" hidden="1"/>
    <cellStyle name="Hyperlink" xfId="5533" builtinId="8" hidden="1"/>
    <cellStyle name="Hyperlink" xfId="5535" builtinId="8" hidden="1"/>
    <cellStyle name="Hyperlink" xfId="5537" builtinId="8" hidden="1"/>
    <cellStyle name="Hyperlink" xfId="5539" builtinId="8" hidden="1"/>
    <cellStyle name="Hyperlink" xfId="5541" builtinId="8" hidden="1"/>
    <cellStyle name="Hyperlink" xfId="5543" builtinId="8" hidden="1"/>
    <cellStyle name="Hyperlink" xfId="5545" builtinId="8" hidden="1"/>
    <cellStyle name="Hyperlink" xfId="5547" builtinId="8" hidden="1"/>
    <cellStyle name="Hyperlink" xfId="5549" builtinId="8" hidden="1"/>
    <cellStyle name="Hyperlink" xfId="5551" builtinId="8" hidden="1"/>
    <cellStyle name="Hyperlink" xfId="5553" builtinId="8" hidden="1"/>
    <cellStyle name="Hyperlink" xfId="5555" builtinId="8" hidden="1"/>
    <cellStyle name="Hyperlink" xfId="5557" builtinId="8" hidden="1"/>
    <cellStyle name="Hyperlink" xfId="5559" builtinId="8" hidden="1"/>
    <cellStyle name="Hyperlink" xfId="5561" builtinId="8" hidden="1"/>
    <cellStyle name="Hyperlink" xfId="5563" builtinId="8" hidden="1"/>
    <cellStyle name="Hyperlink" xfId="5565" builtinId="8" hidden="1"/>
    <cellStyle name="Hyperlink" xfId="5567" builtinId="8" hidden="1"/>
    <cellStyle name="Hyperlink" xfId="5569" builtinId="8" hidden="1"/>
    <cellStyle name="Hyperlink" xfId="5571" builtinId="8" hidden="1"/>
    <cellStyle name="Hyperlink" xfId="5573" builtinId="8" hidden="1"/>
    <cellStyle name="Hyperlink" xfId="5575" builtinId="8" hidden="1"/>
    <cellStyle name="Hyperlink" xfId="5577" builtinId="8" hidden="1"/>
    <cellStyle name="Hyperlink" xfId="5579" builtinId="8" hidden="1"/>
    <cellStyle name="Hyperlink" xfId="5581" builtinId="8" hidden="1"/>
    <cellStyle name="Hyperlink" xfId="5583" builtinId="8" hidden="1"/>
    <cellStyle name="Hyperlink" xfId="5585" builtinId="8" hidden="1"/>
    <cellStyle name="Hyperlink" xfId="5587" builtinId="8" hidden="1"/>
    <cellStyle name="Hyperlink" xfId="5589" builtinId="8" hidden="1"/>
    <cellStyle name="Hyperlink" xfId="5591" builtinId="8" hidden="1"/>
    <cellStyle name="Hyperlink" xfId="5593" builtinId="8" hidden="1"/>
    <cellStyle name="Hyperlink" xfId="5595" builtinId="8" hidden="1"/>
    <cellStyle name="Hyperlink" xfId="5597" builtinId="8" hidden="1"/>
    <cellStyle name="Hyperlink" xfId="5599" builtinId="8" hidden="1"/>
    <cellStyle name="Hyperlink" xfId="5601" builtinId="8" hidden="1"/>
    <cellStyle name="Hyperlink" xfId="5603" builtinId="8" hidden="1"/>
    <cellStyle name="Hyperlink" xfId="5605" builtinId="8" hidden="1"/>
    <cellStyle name="Hyperlink" xfId="5607" builtinId="8" hidden="1"/>
    <cellStyle name="Hyperlink" xfId="5609" builtinId="8" hidden="1"/>
    <cellStyle name="Hyperlink" xfId="5611" builtinId="8" hidden="1"/>
    <cellStyle name="Hyperlink" xfId="5613" builtinId="8" hidden="1"/>
    <cellStyle name="Hyperlink" xfId="5615" builtinId="8" hidden="1"/>
    <cellStyle name="Hyperlink" xfId="5617" builtinId="8" hidden="1"/>
    <cellStyle name="Hyperlink" xfId="5619" builtinId="8" hidden="1"/>
    <cellStyle name="Hyperlink" xfId="5621" builtinId="8" hidden="1"/>
    <cellStyle name="Hyperlink" xfId="5623" builtinId="8" hidden="1"/>
    <cellStyle name="Hyperlink" xfId="5625" builtinId="8" hidden="1"/>
    <cellStyle name="Hyperlink" xfId="5627" builtinId="8" hidden="1"/>
    <cellStyle name="Hyperlink" xfId="5629" builtinId="8" hidden="1"/>
    <cellStyle name="Hyperlink" xfId="5631" builtinId="8" hidden="1"/>
    <cellStyle name="Hyperlink" xfId="5633" builtinId="8" hidden="1"/>
    <cellStyle name="Hyperlink" xfId="5635" builtinId="8" hidden="1"/>
    <cellStyle name="Hyperlink" xfId="5637" builtinId="8" hidden="1"/>
    <cellStyle name="Hyperlink" xfId="5639" builtinId="8" hidden="1"/>
    <cellStyle name="Hyperlink" xfId="5641" builtinId="8" hidden="1"/>
    <cellStyle name="Hyperlink" xfId="5643" builtinId="8" hidden="1"/>
    <cellStyle name="Hyperlink" xfId="5645" builtinId="8" hidden="1"/>
    <cellStyle name="Hyperlink" xfId="5647" builtinId="8" hidden="1"/>
    <cellStyle name="Hyperlink" xfId="5649" builtinId="8" hidden="1"/>
    <cellStyle name="Hyperlink" xfId="5651" builtinId="8" hidden="1"/>
    <cellStyle name="Hyperlink" xfId="5653" builtinId="8" hidden="1"/>
    <cellStyle name="Hyperlink" xfId="5655" builtinId="8" hidden="1"/>
    <cellStyle name="Hyperlink" xfId="5657" builtinId="8" hidden="1"/>
    <cellStyle name="Hyperlink" xfId="5659" builtinId="8" hidden="1"/>
    <cellStyle name="Hyperlink" xfId="5661" builtinId="8" hidden="1"/>
    <cellStyle name="Hyperlink" xfId="5663" builtinId="8" hidden="1"/>
    <cellStyle name="Hyperlink" xfId="5665" builtinId="8" hidden="1"/>
    <cellStyle name="Hyperlink" xfId="5667" builtinId="8" hidden="1"/>
    <cellStyle name="Hyperlink" xfId="5669" builtinId="8" hidden="1"/>
    <cellStyle name="Hyperlink" xfId="5671" builtinId="8" hidden="1"/>
    <cellStyle name="Hyperlink" xfId="5673" builtinId="8" hidden="1"/>
    <cellStyle name="Hyperlink" xfId="5675" builtinId="8" hidden="1"/>
    <cellStyle name="Hyperlink" xfId="5677" builtinId="8" hidden="1"/>
    <cellStyle name="Hyperlink" xfId="5679" builtinId="8" hidden="1"/>
    <cellStyle name="Hyperlink" xfId="5681" builtinId="8" hidden="1"/>
    <cellStyle name="Hyperlink" xfId="5683" builtinId="8" hidden="1"/>
    <cellStyle name="Hyperlink" xfId="5685" builtinId="8" hidden="1"/>
    <cellStyle name="Hyperlink" xfId="5687" builtinId="8" hidden="1"/>
    <cellStyle name="Hyperlink" xfId="5689" builtinId="8" hidden="1"/>
    <cellStyle name="Hyperlink" xfId="5691" builtinId="8" hidden="1"/>
    <cellStyle name="Hyperlink" xfId="5693" builtinId="8" hidden="1"/>
    <cellStyle name="Hyperlink" xfId="5695" builtinId="8" hidden="1"/>
    <cellStyle name="Hyperlink" xfId="5697" builtinId="8" hidden="1"/>
    <cellStyle name="Hyperlink" xfId="5699" builtinId="8" hidden="1"/>
    <cellStyle name="Hyperlink" xfId="5701" builtinId="8" hidden="1"/>
    <cellStyle name="Hyperlink" xfId="5703" builtinId="8" hidden="1"/>
    <cellStyle name="Hyperlink" xfId="5705" builtinId="8" hidden="1"/>
    <cellStyle name="Hyperlink" xfId="5707" builtinId="8" hidden="1"/>
    <cellStyle name="Hyperlink" xfId="5709" builtinId="8" hidden="1"/>
    <cellStyle name="Hyperlink" xfId="5711" builtinId="8" hidden="1"/>
    <cellStyle name="Hyperlink" xfId="5713" builtinId="8" hidden="1"/>
    <cellStyle name="Hyperlink" xfId="5715" builtinId="8" hidden="1"/>
    <cellStyle name="Hyperlink" xfId="5717" builtinId="8" hidden="1"/>
    <cellStyle name="Hyperlink" xfId="5719" builtinId="8" hidden="1"/>
    <cellStyle name="Hyperlink" xfId="5721" builtinId="8" hidden="1"/>
    <cellStyle name="Hyperlink" xfId="5723" builtinId="8" hidden="1"/>
    <cellStyle name="Hyperlink" xfId="5725" builtinId="8" hidden="1"/>
    <cellStyle name="Hyperlink" xfId="5727" builtinId="8" hidden="1"/>
    <cellStyle name="Hyperlink" xfId="5729" builtinId="8" hidden="1"/>
    <cellStyle name="Hyperlink" xfId="5731" builtinId="8" hidden="1"/>
    <cellStyle name="Hyperlink" xfId="5733" builtinId="8" hidden="1"/>
    <cellStyle name="Hyperlink" xfId="5735" builtinId="8" hidden="1"/>
    <cellStyle name="Hyperlink" xfId="5737" builtinId="8" hidden="1"/>
    <cellStyle name="Hyperlink" xfId="5739" builtinId="8" hidden="1"/>
    <cellStyle name="Hyperlink" xfId="5741" builtinId="8" hidden="1"/>
    <cellStyle name="Hyperlink" xfId="5743" builtinId="8" hidden="1"/>
    <cellStyle name="Hyperlink" xfId="5745" builtinId="8" hidden="1"/>
    <cellStyle name="Hyperlink" xfId="5747" builtinId="8" hidden="1"/>
    <cellStyle name="Hyperlink" xfId="5749" builtinId="8" hidden="1"/>
    <cellStyle name="Hyperlink" xfId="5751" builtinId="8" hidden="1"/>
    <cellStyle name="Hyperlink" xfId="5753" builtinId="8" hidden="1"/>
    <cellStyle name="Hyperlink" xfId="5755" builtinId="8" hidden="1"/>
    <cellStyle name="Hyperlink" xfId="5757" builtinId="8" hidden="1"/>
    <cellStyle name="Hyperlink" xfId="5759" builtinId="8" hidden="1"/>
    <cellStyle name="Hyperlink" xfId="5761" builtinId="8" hidden="1"/>
    <cellStyle name="Hyperlink" xfId="5763" builtinId="8" hidden="1"/>
    <cellStyle name="Hyperlink" xfId="5765" builtinId="8" hidden="1"/>
    <cellStyle name="Hyperlink" xfId="5767" builtinId="8" hidden="1"/>
    <cellStyle name="Hyperlink" xfId="5769" builtinId="8" hidden="1"/>
    <cellStyle name="Hyperlink" xfId="5771" builtinId="8" hidden="1"/>
    <cellStyle name="Hyperlink" xfId="5773" builtinId="8" hidden="1"/>
    <cellStyle name="Hyperlink" xfId="5775" builtinId="8" hidden="1"/>
    <cellStyle name="Hyperlink" xfId="5777" builtinId="8" hidden="1"/>
    <cellStyle name="Hyperlink" xfId="5779" builtinId="8" hidden="1"/>
    <cellStyle name="Hyperlink" xfId="5781" builtinId="8" hidden="1"/>
    <cellStyle name="Hyperlink" xfId="5783" builtinId="8" hidden="1"/>
    <cellStyle name="Hyperlink" xfId="5785" builtinId="8" hidden="1"/>
    <cellStyle name="Hyperlink" xfId="5787" builtinId="8" hidden="1"/>
    <cellStyle name="Hyperlink" xfId="5789" builtinId="8" hidden="1"/>
    <cellStyle name="Hyperlink" xfId="5791" builtinId="8" hidden="1"/>
    <cellStyle name="Hyperlink" xfId="5793" builtinId="8" hidden="1"/>
    <cellStyle name="Hyperlink" xfId="5795" builtinId="8" hidden="1"/>
    <cellStyle name="Hyperlink" xfId="5797" builtinId="8" hidden="1"/>
    <cellStyle name="Hyperlink" xfId="5799" builtinId="8" hidden="1"/>
    <cellStyle name="Hyperlink" xfId="5801" builtinId="8" hidden="1"/>
    <cellStyle name="Hyperlink" xfId="5803" builtinId="8" hidden="1"/>
    <cellStyle name="Hyperlink" xfId="5805" builtinId="8" hidden="1"/>
    <cellStyle name="Hyperlink" xfId="5807" builtinId="8" hidden="1"/>
    <cellStyle name="Hyperlink" xfId="5809" builtinId="8" hidden="1"/>
    <cellStyle name="Hyperlink" xfId="5811" builtinId="8" hidden="1"/>
    <cellStyle name="Hyperlink" xfId="5813" builtinId="8" hidden="1"/>
    <cellStyle name="Hyperlink" xfId="5815" builtinId="8" hidden="1"/>
    <cellStyle name="Hyperlink" xfId="5817" builtinId="8" hidden="1"/>
    <cellStyle name="Hyperlink" xfId="5819" builtinId="8" hidden="1"/>
    <cellStyle name="Hyperlink" xfId="5821" builtinId="8" hidden="1"/>
    <cellStyle name="Hyperlink" xfId="5823" builtinId="8" hidden="1"/>
    <cellStyle name="Hyperlink" xfId="5825" builtinId="8" hidden="1"/>
    <cellStyle name="Hyperlink" xfId="5827" builtinId="8" hidden="1"/>
    <cellStyle name="Hyperlink" xfId="5829" builtinId="8" hidden="1"/>
    <cellStyle name="Hyperlink" xfId="5831" builtinId="8" hidden="1"/>
    <cellStyle name="Hyperlink" xfId="5833" builtinId="8" hidden="1"/>
    <cellStyle name="Hyperlink" xfId="5835" builtinId="8" hidden="1"/>
    <cellStyle name="Hyperlink" xfId="5837" builtinId="8" hidden="1"/>
    <cellStyle name="Hyperlink" xfId="5839" builtinId="8" hidden="1"/>
    <cellStyle name="Hyperlink" xfId="5841" builtinId="8" hidden="1"/>
    <cellStyle name="Hyperlink" xfId="5843" builtinId="8" hidden="1"/>
    <cellStyle name="Hyperlink" xfId="5845" builtinId="8" hidden="1"/>
    <cellStyle name="Hyperlink" xfId="5847" builtinId="8" hidden="1"/>
    <cellStyle name="Hyperlink" xfId="5849" builtinId="8" hidden="1"/>
    <cellStyle name="Hyperlink" xfId="5851" builtinId="8" hidden="1"/>
    <cellStyle name="Hyperlink" xfId="5853" builtinId="8" hidden="1"/>
    <cellStyle name="Hyperlink" xfId="5855" builtinId="8" hidden="1"/>
    <cellStyle name="Hyperlink" xfId="5857" builtinId="8" hidden="1"/>
    <cellStyle name="Hyperlink" xfId="5859" builtinId="8" hidden="1"/>
    <cellStyle name="Hyperlink" xfId="5861" builtinId="8" hidden="1"/>
    <cellStyle name="Hyperlink" xfId="5863" builtinId="8" hidden="1"/>
    <cellStyle name="Hyperlink" xfId="5865" builtinId="8" hidden="1"/>
    <cellStyle name="Hyperlink" xfId="5867" builtinId="8" hidden="1"/>
    <cellStyle name="Hyperlink" xfId="5869" builtinId="8" hidden="1"/>
    <cellStyle name="Hyperlink" xfId="5871" builtinId="8" hidden="1"/>
    <cellStyle name="Hyperlink" xfId="5873" builtinId="8" hidden="1"/>
    <cellStyle name="Hyperlink" xfId="5875" builtinId="8" hidden="1"/>
    <cellStyle name="Hyperlink" xfId="5877" builtinId="8" hidden="1"/>
    <cellStyle name="Hyperlink" xfId="5879" builtinId="8" hidden="1"/>
    <cellStyle name="Hyperlink" xfId="5881" builtinId="8" hidden="1"/>
    <cellStyle name="Hyperlink" xfId="5883" builtinId="8" hidden="1"/>
    <cellStyle name="Hyperlink" xfId="5885" builtinId="8" hidden="1"/>
    <cellStyle name="Hyperlink" xfId="5887" builtinId="8" hidden="1"/>
    <cellStyle name="Hyperlink" xfId="5889" builtinId="8" hidden="1"/>
    <cellStyle name="Hyperlink" xfId="5891" builtinId="8" hidden="1"/>
    <cellStyle name="Hyperlink" xfId="5893" builtinId="8" hidden="1"/>
    <cellStyle name="Hyperlink" xfId="5895" builtinId="8" hidden="1"/>
    <cellStyle name="Hyperlink" xfId="5897" builtinId="8" hidden="1"/>
    <cellStyle name="Hyperlink" xfId="5899" builtinId="8" hidden="1"/>
    <cellStyle name="Hyperlink" xfId="5901" builtinId="8" hidden="1"/>
    <cellStyle name="Hyperlink" xfId="5903" builtinId="8" hidden="1"/>
    <cellStyle name="Hyperlink" xfId="5905" builtinId="8" hidden="1"/>
    <cellStyle name="Hyperlink" xfId="5907" builtinId="8" hidden="1"/>
    <cellStyle name="Hyperlink" xfId="5909" builtinId="8" hidden="1"/>
    <cellStyle name="Hyperlink" xfId="5911" builtinId="8" hidden="1"/>
    <cellStyle name="Hyperlink" xfId="5913" builtinId="8" hidden="1"/>
    <cellStyle name="Hyperlink" xfId="5915" builtinId="8" hidden="1"/>
    <cellStyle name="Hyperlink" xfId="5917" builtinId="8" hidden="1"/>
    <cellStyle name="Hyperlink" xfId="5919" builtinId="8" hidden="1"/>
    <cellStyle name="Hyperlink" xfId="5921" builtinId="8" hidden="1"/>
    <cellStyle name="Hyperlink" xfId="5923" builtinId="8" hidden="1"/>
    <cellStyle name="Hyperlink" xfId="5925" builtinId="8" hidden="1"/>
    <cellStyle name="Hyperlink" xfId="5927" builtinId="8" hidden="1"/>
    <cellStyle name="Hyperlink" xfId="5929" builtinId="8" hidden="1"/>
    <cellStyle name="Hyperlink" xfId="5931" builtinId="8" hidden="1"/>
    <cellStyle name="Hyperlink" xfId="5933" builtinId="8" hidden="1"/>
    <cellStyle name="Hyperlink" xfId="5935" builtinId="8" hidden="1"/>
    <cellStyle name="Hyperlink" xfId="5937" builtinId="8" hidden="1"/>
    <cellStyle name="Hyperlink" xfId="5939" builtinId="8" hidden="1"/>
    <cellStyle name="Hyperlink" xfId="5941" builtinId="8" hidden="1"/>
    <cellStyle name="Hyperlink" xfId="5943" builtinId="8" hidden="1"/>
    <cellStyle name="Hyperlink" xfId="5945" builtinId="8" hidden="1"/>
    <cellStyle name="Hyperlink" xfId="5947" builtinId="8" hidden="1"/>
    <cellStyle name="Hyperlink" xfId="5949" builtinId="8" hidden="1"/>
    <cellStyle name="Hyperlink" xfId="5951" builtinId="8" hidden="1"/>
    <cellStyle name="Hyperlink" xfId="5953" builtinId="8" hidden="1"/>
    <cellStyle name="Hyperlink" xfId="5955" builtinId="8" hidden="1"/>
    <cellStyle name="Hyperlink" xfId="5957" builtinId="8" hidden="1"/>
    <cellStyle name="Hyperlink" xfId="5959" builtinId="8" hidden="1"/>
    <cellStyle name="Hyperlink" xfId="5961" builtinId="8" hidden="1"/>
    <cellStyle name="Hyperlink" xfId="5963" builtinId="8" hidden="1"/>
    <cellStyle name="Hyperlink" xfId="5965" builtinId="8" hidden="1"/>
    <cellStyle name="Hyperlink" xfId="5967" builtinId="8" hidden="1"/>
    <cellStyle name="Hyperlink" xfId="5969" builtinId="8" hidden="1"/>
    <cellStyle name="Hyperlink" xfId="5971" builtinId="8" hidden="1"/>
    <cellStyle name="Hyperlink" xfId="5973" builtinId="8" hidden="1"/>
    <cellStyle name="Hyperlink" xfId="5975" builtinId="8" hidden="1"/>
    <cellStyle name="Hyperlink" xfId="5977" builtinId="8" hidden="1"/>
    <cellStyle name="Hyperlink" xfId="5979" builtinId="8" hidden="1"/>
    <cellStyle name="Hyperlink" xfId="5981" builtinId="8" hidden="1"/>
    <cellStyle name="Hyperlink" xfId="5983" builtinId="8" hidden="1"/>
    <cellStyle name="Hyperlink" xfId="5985" builtinId="8" hidden="1"/>
    <cellStyle name="Hyperlink" xfId="5987" builtinId="8" hidden="1"/>
    <cellStyle name="Hyperlink" xfId="5989" builtinId="8" hidden="1"/>
    <cellStyle name="Hyperlink" xfId="5991" builtinId="8" hidden="1"/>
    <cellStyle name="Hyperlink" xfId="5993" builtinId="8" hidden="1"/>
    <cellStyle name="Hyperlink" xfId="5995" builtinId="8" hidden="1"/>
    <cellStyle name="Hyperlink" xfId="5997" builtinId="8" hidden="1"/>
    <cellStyle name="Hyperlink" xfId="5999" builtinId="8" hidden="1"/>
    <cellStyle name="Hyperlink" xfId="6001" builtinId="8" hidden="1"/>
    <cellStyle name="Hyperlink" xfId="6003" builtinId="8" hidden="1"/>
    <cellStyle name="Hyperlink" xfId="6005" builtinId="8" hidden="1"/>
    <cellStyle name="Hyperlink" xfId="6007" builtinId="8" hidden="1"/>
    <cellStyle name="Hyperlink" xfId="6009" builtinId="8" hidden="1"/>
    <cellStyle name="Hyperlink" xfId="6011" builtinId="8" hidden="1"/>
    <cellStyle name="Hyperlink" xfId="6013" builtinId="8" hidden="1"/>
    <cellStyle name="Hyperlink" xfId="6015" builtinId="8" hidden="1"/>
    <cellStyle name="Hyperlink" xfId="6017" builtinId="8" hidden="1"/>
    <cellStyle name="Hyperlink" xfId="6019" builtinId="8" hidden="1"/>
    <cellStyle name="Hyperlink" xfId="6021" builtinId="8" hidden="1"/>
    <cellStyle name="Hyperlink" xfId="6023" builtinId="8" hidden="1"/>
    <cellStyle name="Hyperlink" xfId="6025" builtinId="8" hidden="1"/>
    <cellStyle name="Hyperlink" xfId="6027" builtinId="8" hidden="1"/>
    <cellStyle name="Hyperlink" xfId="6029" builtinId="8" hidden="1"/>
    <cellStyle name="Hyperlink" xfId="6031" builtinId="8" hidden="1"/>
    <cellStyle name="Hyperlink" xfId="6033" builtinId="8" hidden="1"/>
    <cellStyle name="Hyperlink" xfId="6035" builtinId="8" hidden="1"/>
    <cellStyle name="Hyperlink" xfId="6037" builtinId="8" hidden="1"/>
    <cellStyle name="Hyperlink" xfId="6039" builtinId="8" hidden="1"/>
    <cellStyle name="Hyperlink" xfId="6041" builtinId="8" hidden="1"/>
    <cellStyle name="Hyperlink" xfId="6043" builtinId="8" hidden="1"/>
    <cellStyle name="Hyperlink" xfId="6045" builtinId="8" hidden="1"/>
    <cellStyle name="Hyperlink" xfId="6047" builtinId="8" hidden="1"/>
    <cellStyle name="Hyperlink" xfId="6049" builtinId="8" hidden="1"/>
    <cellStyle name="Hyperlink" xfId="6051" builtinId="8" hidden="1"/>
    <cellStyle name="Hyperlink" xfId="6053" builtinId="8" hidden="1"/>
    <cellStyle name="Hyperlink" xfId="6055" builtinId="8" hidden="1"/>
    <cellStyle name="Hyperlink" xfId="6057" builtinId="8" hidden="1"/>
    <cellStyle name="Hyperlink" xfId="6059" builtinId="8" hidden="1"/>
    <cellStyle name="Hyperlink" xfId="6061" builtinId="8" hidden="1"/>
    <cellStyle name="Hyperlink" xfId="6063" builtinId="8" hidden="1"/>
    <cellStyle name="Hyperlink" xfId="6065" builtinId="8" hidden="1"/>
    <cellStyle name="Hyperlink" xfId="6067" builtinId="8" hidden="1"/>
    <cellStyle name="Hyperlink" xfId="6069" builtinId="8" hidden="1"/>
    <cellStyle name="Hyperlink" xfId="6071" builtinId="8" hidden="1"/>
    <cellStyle name="Hyperlink" xfId="6073" builtinId="8" hidden="1"/>
    <cellStyle name="Hyperlink" xfId="6075" builtinId="8" hidden="1"/>
    <cellStyle name="Hyperlink" xfId="6077" builtinId="8" hidden="1"/>
    <cellStyle name="Hyperlink" xfId="6079" builtinId="8" hidden="1"/>
    <cellStyle name="Hyperlink" xfId="6081" builtinId="8" hidden="1"/>
    <cellStyle name="Hyperlink" xfId="6083" builtinId="8" hidden="1"/>
    <cellStyle name="Hyperlink" xfId="6085" builtinId="8" hidden="1"/>
    <cellStyle name="Hyperlink" xfId="6087" builtinId="8" hidden="1"/>
    <cellStyle name="Hyperlink" xfId="6089" builtinId="8" hidden="1"/>
    <cellStyle name="Hyperlink" xfId="6091" builtinId="8" hidden="1"/>
    <cellStyle name="Hyperlink" xfId="6093" builtinId="8" hidden="1"/>
    <cellStyle name="Hyperlink" xfId="6095" builtinId="8" hidden="1"/>
    <cellStyle name="Hyperlink" xfId="6097" builtinId="8" hidden="1"/>
    <cellStyle name="Hyperlink" xfId="6099" builtinId="8" hidden="1"/>
    <cellStyle name="Hyperlink" xfId="6101" builtinId="8" hidden="1"/>
    <cellStyle name="Hyperlink" xfId="6103" builtinId="8" hidden="1"/>
    <cellStyle name="Hyperlink" xfId="6105" builtinId="8" hidden="1"/>
    <cellStyle name="Hyperlink" xfId="6107" builtinId="8" hidden="1"/>
    <cellStyle name="Hyperlink" xfId="6109" builtinId="8" hidden="1"/>
    <cellStyle name="Hyperlink" xfId="6111" builtinId="8" hidden="1"/>
    <cellStyle name="Hyperlink" xfId="6113" builtinId="8" hidden="1"/>
    <cellStyle name="Hyperlink" xfId="6115" builtinId="8" hidden="1"/>
    <cellStyle name="Hyperlink" xfId="6117" builtinId="8" hidden="1"/>
    <cellStyle name="Hyperlink" xfId="6119" builtinId="8" hidden="1"/>
    <cellStyle name="Hyperlink" xfId="6121" builtinId="8" hidden="1"/>
    <cellStyle name="Hyperlink" xfId="6123" builtinId="8" hidden="1"/>
    <cellStyle name="Hyperlink" xfId="6125" builtinId="8" hidden="1"/>
    <cellStyle name="Hyperlink" xfId="6127" builtinId="8" hidden="1"/>
    <cellStyle name="Hyperlink" xfId="6129" builtinId="8" hidden="1"/>
    <cellStyle name="Hyperlink" xfId="6131" builtinId="8" hidden="1"/>
    <cellStyle name="Hyperlink" xfId="6133" builtinId="8" hidden="1"/>
    <cellStyle name="Hyperlink" xfId="6135" builtinId="8" hidden="1"/>
    <cellStyle name="Hyperlink" xfId="6137" builtinId="8" hidden="1"/>
    <cellStyle name="Hyperlink" xfId="6139" builtinId="8" hidden="1"/>
    <cellStyle name="Hyperlink" xfId="6141" builtinId="8" hidden="1"/>
    <cellStyle name="Hyperlink" xfId="6143" builtinId="8" hidden="1"/>
    <cellStyle name="Hyperlink" xfId="6145" builtinId="8" hidden="1"/>
    <cellStyle name="Hyperlink" xfId="6147" builtinId="8" hidden="1"/>
    <cellStyle name="Hyperlink" xfId="6149" builtinId="8" hidden="1"/>
    <cellStyle name="Hyperlink" xfId="6151" builtinId="8" hidden="1"/>
    <cellStyle name="Hyperlink" xfId="6153" builtinId="8" hidden="1"/>
    <cellStyle name="Hyperlink" xfId="6155" builtinId="8" hidden="1"/>
    <cellStyle name="Hyperlink" xfId="6157" builtinId="8" hidden="1"/>
    <cellStyle name="Hyperlink" xfId="6159" builtinId="8" hidden="1"/>
    <cellStyle name="Hyperlink" xfId="6161" builtinId="8" hidden="1"/>
    <cellStyle name="Hyperlink" xfId="6163" builtinId="8" hidden="1"/>
    <cellStyle name="Hyperlink" xfId="6165" builtinId="8" hidden="1"/>
    <cellStyle name="Hyperlink" xfId="6167" builtinId="8" hidden="1"/>
    <cellStyle name="Hyperlink" xfId="6169" builtinId="8" hidden="1"/>
    <cellStyle name="Hyperlink" xfId="6171" builtinId="8" hidden="1"/>
    <cellStyle name="Hyperlink" xfId="6173" builtinId="8" hidden="1"/>
    <cellStyle name="Hyperlink" xfId="6175" builtinId="8" hidden="1"/>
    <cellStyle name="Hyperlink" xfId="6177" builtinId="8" hidden="1"/>
    <cellStyle name="Hyperlink" xfId="6179" builtinId="8" hidden="1"/>
    <cellStyle name="Hyperlink" xfId="6181" builtinId="8" hidden="1"/>
    <cellStyle name="Hyperlink" xfId="6183" builtinId="8" hidden="1"/>
    <cellStyle name="Hyperlink" xfId="6185" builtinId="8" hidden="1"/>
    <cellStyle name="Hyperlink" xfId="6187" builtinId="8" hidden="1"/>
    <cellStyle name="Hyperlink" xfId="6189" builtinId="8" hidden="1"/>
    <cellStyle name="Hyperlink" xfId="6191" builtinId="8" hidden="1"/>
    <cellStyle name="Hyperlink" xfId="6193" builtinId="8" hidden="1"/>
    <cellStyle name="Hyperlink" xfId="6195" builtinId="8" hidden="1"/>
    <cellStyle name="Hyperlink" xfId="6197" builtinId="8" hidden="1"/>
    <cellStyle name="Hyperlink" xfId="6199" builtinId="8" hidden="1"/>
    <cellStyle name="Hyperlink" xfId="6201" builtinId="8" hidden="1"/>
    <cellStyle name="Hyperlink" xfId="6203" builtinId="8" hidden="1"/>
    <cellStyle name="Hyperlink" xfId="6205" builtinId="8" hidden="1"/>
    <cellStyle name="Hyperlink" xfId="6207" builtinId="8" hidden="1"/>
    <cellStyle name="Hyperlink" xfId="6209" builtinId="8" hidden="1"/>
    <cellStyle name="Hyperlink" xfId="6211" builtinId="8" hidden="1"/>
    <cellStyle name="Hyperlink" xfId="6213" builtinId="8" hidden="1"/>
    <cellStyle name="Hyperlink" xfId="6215" builtinId="8" hidden="1"/>
    <cellStyle name="Hyperlink" xfId="6217" builtinId="8" hidden="1"/>
    <cellStyle name="Hyperlink" xfId="6219" builtinId="8" hidden="1"/>
    <cellStyle name="Hyperlink" xfId="6221" builtinId="8" hidden="1"/>
    <cellStyle name="Hyperlink" xfId="6223" builtinId="8" hidden="1"/>
    <cellStyle name="Hyperlink" xfId="6225" builtinId="8" hidden="1"/>
    <cellStyle name="Hyperlink" xfId="6227" builtinId="8" hidden="1"/>
    <cellStyle name="Hyperlink" xfId="6229" builtinId="8" hidden="1"/>
    <cellStyle name="Hyperlink" xfId="6231" builtinId="8" hidden="1"/>
    <cellStyle name="Hyperlink" xfId="6233" builtinId="8" hidden="1"/>
    <cellStyle name="Hyperlink" xfId="6235" builtinId="8" hidden="1"/>
    <cellStyle name="Hyperlink" xfId="6237" builtinId="8" hidden="1"/>
    <cellStyle name="Hyperlink" xfId="6239" builtinId="8" hidden="1"/>
    <cellStyle name="Hyperlink" xfId="6241" builtinId="8" hidden="1"/>
    <cellStyle name="Hyperlink" xfId="6243" builtinId="8" hidden="1"/>
    <cellStyle name="Hyperlink" xfId="6245" builtinId="8" hidden="1"/>
    <cellStyle name="Hyperlink" xfId="6247" builtinId="8" hidden="1"/>
    <cellStyle name="Hyperlink" xfId="6249" builtinId="8" hidden="1"/>
    <cellStyle name="Hyperlink" xfId="6251" builtinId="8" hidden="1"/>
    <cellStyle name="Hyperlink" xfId="6253" builtinId="8" hidden="1"/>
    <cellStyle name="Hyperlink" xfId="6255" builtinId="8" hidden="1"/>
    <cellStyle name="Hyperlink" xfId="6257" builtinId="8" hidden="1"/>
    <cellStyle name="Hyperlink" xfId="6259" builtinId="8" hidden="1"/>
    <cellStyle name="Hyperlink" xfId="6261" builtinId="8" hidden="1"/>
    <cellStyle name="Hyperlink" xfId="6263" builtinId="8" hidden="1"/>
    <cellStyle name="Hyperlink" xfId="6265" builtinId="8" hidden="1"/>
    <cellStyle name="Hyperlink" xfId="6267" builtinId="8" hidden="1"/>
    <cellStyle name="Hyperlink" xfId="6269" builtinId="8" hidden="1"/>
    <cellStyle name="Hyperlink" xfId="6271" builtinId="8" hidden="1"/>
    <cellStyle name="Hyperlink" xfId="6273" builtinId="8" hidden="1"/>
    <cellStyle name="Hyperlink" xfId="6275" builtinId="8" hidden="1"/>
    <cellStyle name="Hyperlink" xfId="6277" builtinId="8" hidden="1"/>
    <cellStyle name="Hyperlink" xfId="6279" builtinId="8" hidden="1"/>
    <cellStyle name="Hyperlink" xfId="6281" builtinId="8" hidden="1"/>
    <cellStyle name="Hyperlink" xfId="6283" builtinId="8" hidden="1"/>
    <cellStyle name="Hyperlink" xfId="6285" builtinId="8" hidden="1"/>
    <cellStyle name="Hyperlink" xfId="6287" builtinId="8" hidden="1"/>
    <cellStyle name="Hyperlink" xfId="6289" builtinId="8" hidden="1"/>
    <cellStyle name="Hyperlink" xfId="6291" builtinId="8" hidden="1"/>
    <cellStyle name="Hyperlink" xfId="6293" builtinId="8" hidden="1"/>
    <cellStyle name="Hyperlink" xfId="6295" builtinId="8" hidden="1"/>
    <cellStyle name="Hyperlink" xfId="6297" builtinId="8" hidden="1"/>
    <cellStyle name="Hyperlink" xfId="6299" builtinId="8" hidden="1"/>
    <cellStyle name="Hyperlink" xfId="6301" builtinId="8" hidden="1"/>
    <cellStyle name="Hyperlink" xfId="6303" builtinId="8" hidden="1"/>
    <cellStyle name="Hyperlink" xfId="6305" builtinId="8" hidden="1"/>
    <cellStyle name="Hyperlink" xfId="6307" builtinId="8" hidden="1"/>
    <cellStyle name="Hyperlink" xfId="6309" builtinId="8" hidden="1"/>
    <cellStyle name="Hyperlink" xfId="6311" builtinId="8" hidden="1"/>
    <cellStyle name="Hyperlink" xfId="6313" builtinId="8" hidden="1"/>
    <cellStyle name="Hyperlink" xfId="6315" builtinId="8" hidden="1"/>
    <cellStyle name="Hyperlink" xfId="6317" builtinId="8" hidden="1"/>
    <cellStyle name="Hyperlink" xfId="6319" builtinId="8" hidden="1"/>
    <cellStyle name="Hyperlink" xfId="6321" builtinId="8" hidden="1"/>
    <cellStyle name="Hyperlink" xfId="6323" builtinId="8" hidden="1"/>
    <cellStyle name="Hyperlink" xfId="6325" builtinId="8" hidden="1"/>
    <cellStyle name="Hyperlink" xfId="6327" builtinId="8" hidden="1"/>
    <cellStyle name="Hyperlink" xfId="6329" builtinId="8" hidden="1"/>
    <cellStyle name="Hyperlink" xfId="6331" builtinId="8" hidden="1"/>
    <cellStyle name="Hyperlink" xfId="6333" builtinId="8" hidden="1"/>
    <cellStyle name="Hyperlink" xfId="6335" builtinId="8" hidden="1"/>
    <cellStyle name="Hyperlink" xfId="6337" builtinId="8" hidden="1"/>
    <cellStyle name="Hyperlink" xfId="6339" builtinId="8" hidden="1"/>
    <cellStyle name="Hyperlink" xfId="6341" builtinId="8" hidden="1"/>
    <cellStyle name="Hyperlink" xfId="6343" builtinId="8" hidden="1"/>
    <cellStyle name="Hyperlink" xfId="6345" builtinId="8" hidden="1"/>
    <cellStyle name="Hyperlink" xfId="6347" builtinId="8" hidden="1"/>
    <cellStyle name="Hyperlink" xfId="6349" builtinId="8" hidden="1"/>
    <cellStyle name="Hyperlink" xfId="6351" builtinId="8" hidden="1"/>
    <cellStyle name="Hyperlink" xfId="6353" builtinId="8" hidden="1"/>
    <cellStyle name="Hyperlink" xfId="6355" builtinId="8" hidden="1"/>
    <cellStyle name="Hyperlink" xfId="6357" builtinId="8" hidden="1"/>
    <cellStyle name="Hyperlink" xfId="6359" builtinId="8" hidden="1"/>
    <cellStyle name="Hyperlink" xfId="6361" builtinId="8" hidden="1"/>
    <cellStyle name="Hyperlink" xfId="6363" builtinId="8" hidden="1"/>
    <cellStyle name="Hyperlink" xfId="6365" builtinId="8" hidden="1"/>
    <cellStyle name="Hyperlink" xfId="6367" builtinId="8" hidden="1"/>
    <cellStyle name="Hyperlink" xfId="6369" builtinId="8" hidden="1"/>
    <cellStyle name="Hyperlink" xfId="6371" builtinId="8" hidden="1"/>
    <cellStyle name="Hyperlink" xfId="6373" builtinId="8" hidden="1"/>
    <cellStyle name="Hyperlink" xfId="6375" builtinId="8" hidden="1"/>
    <cellStyle name="Hyperlink" xfId="6377" builtinId="8" hidden="1"/>
    <cellStyle name="Hyperlink" xfId="6379" builtinId="8" hidden="1"/>
    <cellStyle name="Hyperlink" xfId="6381" builtinId="8" hidden="1"/>
    <cellStyle name="Hyperlink" xfId="6383" builtinId="8" hidden="1"/>
    <cellStyle name="Hyperlink" xfId="6385" builtinId="8" hidden="1"/>
    <cellStyle name="Hyperlink" xfId="6387" builtinId="8" hidden="1"/>
    <cellStyle name="Hyperlink" xfId="6389" builtinId="8" hidden="1"/>
    <cellStyle name="Hyperlink" xfId="6391" builtinId="8" hidden="1"/>
    <cellStyle name="Hyperlink" xfId="6393" builtinId="8" hidden="1"/>
    <cellStyle name="Hyperlink" xfId="6395" builtinId="8" hidden="1"/>
    <cellStyle name="Hyperlink" xfId="6397" builtinId="8" hidden="1"/>
    <cellStyle name="Hyperlink" xfId="6399" builtinId="8" hidden="1"/>
    <cellStyle name="Hyperlink" xfId="6401" builtinId="8" hidden="1"/>
    <cellStyle name="Hyperlink" xfId="6403" builtinId="8" hidden="1"/>
    <cellStyle name="Hyperlink" xfId="6405" builtinId="8" hidden="1"/>
    <cellStyle name="Hyperlink" xfId="6407" builtinId="8" hidden="1"/>
    <cellStyle name="Hyperlink" xfId="6409" builtinId="8" hidden="1"/>
    <cellStyle name="Hyperlink" xfId="6411" builtinId="8" hidden="1"/>
    <cellStyle name="Hyperlink" xfId="6413" builtinId="8" hidden="1"/>
    <cellStyle name="Hyperlink" xfId="6415" builtinId="8" hidden="1"/>
    <cellStyle name="Hyperlink" xfId="6417" builtinId="8" hidden="1"/>
    <cellStyle name="Hyperlink" xfId="6419" builtinId="8" hidden="1"/>
    <cellStyle name="Hyperlink" xfId="6421" builtinId="8" hidden="1"/>
    <cellStyle name="Hyperlink" xfId="6423" builtinId="8" hidden="1"/>
    <cellStyle name="Hyperlink" xfId="6425" builtinId="8" hidden="1"/>
    <cellStyle name="Hyperlink" xfId="6427" builtinId="8" hidden="1"/>
    <cellStyle name="Hyperlink" xfId="6429" builtinId="8" hidden="1"/>
    <cellStyle name="Hyperlink" xfId="6431" builtinId="8" hidden="1"/>
    <cellStyle name="Hyperlink" xfId="6433" builtinId="8" hidden="1"/>
    <cellStyle name="Hyperlink" xfId="6435" builtinId="8" hidden="1"/>
    <cellStyle name="Hyperlink" xfId="6437" builtinId="8" hidden="1"/>
    <cellStyle name="Hyperlink" xfId="6439" builtinId="8" hidden="1"/>
    <cellStyle name="Hyperlink" xfId="6441" builtinId="8" hidden="1"/>
    <cellStyle name="Hyperlink" xfId="6443" builtinId="8" hidden="1"/>
    <cellStyle name="Hyperlink" xfId="6445" builtinId="8" hidden="1"/>
    <cellStyle name="Hyperlink" xfId="6447" builtinId="8" hidden="1"/>
    <cellStyle name="Hyperlink" xfId="6449" builtinId="8" hidden="1"/>
    <cellStyle name="Hyperlink" xfId="6451" builtinId="8" hidden="1"/>
    <cellStyle name="Hyperlink" xfId="6453" builtinId="8" hidden="1"/>
    <cellStyle name="Hyperlink" xfId="6455" builtinId="8" hidden="1"/>
    <cellStyle name="Hyperlink" xfId="6457" builtinId="8" hidden="1"/>
    <cellStyle name="Hyperlink" xfId="6459" builtinId="8" hidden="1"/>
    <cellStyle name="Hyperlink" xfId="6461" builtinId="8" hidden="1"/>
    <cellStyle name="Hyperlink" xfId="6463" builtinId="8" hidden="1"/>
    <cellStyle name="Hyperlink" xfId="6465" builtinId="8" hidden="1"/>
    <cellStyle name="Hyperlink" xfId="6467" builtinId="8" hidden="1"/>
    <cellStyle name="Hyperlink" xfId="6469" builtinId="8" hidden="1"/>
    <cellStyle name="Hyperlink" xfId="6471" builtinId="8" hidden="1"/>
    <cellStyle name="Hyperlink" xfId="6473" builtinId="8" hidden="1"/>
    <cellStyle name="Hyperlink" xfId="6475" builtinId="8" hidden="1"/>
    <cellStyle name="Hyperlink" xfId="6477" builtinId="8" hidden="1"/>
    <cellStyle name="Hyperlink" xfId="6479" builtinId="8" hidden="1"/>
    <cellStyle name="Hyperlink" xfId="6481" builtinId="8" hidden="1"/>
    <cellStyle name="Hyperlink" xfId="6483" builtinId="8" hidden="1"/>
    <cellStyle name="Hyperlink" xfId="6485" builtinId="8" hidden="1"/>
    <cellStyle name="Hyperlink" xfId="6487" builtinId="8" hidden="1"/>
    <cellStyle name="Hyperlink" xfId="6489" builtinId="8" hidden="1"/>
    <cellStyle name="Hyperlink" xfId="6491" builtinId="8" hidden="1"/>
    <cellStyle name="Hyperlink" xfId="6493" builtinId="8" hidden="1"/>
    <cellStyle name="Hyperlink" xfId="6495" builtinId="8" hidden="1"/>
    <cellStyle name="Hyperlink" xfId="6497" builtinId="8" hidden="1"/>
    <cellStyle name="Hyperlink" xfId="6499" builtinId="8" hidden="1"/>
    <cellStyle name="Hyperlink" xfId="6501" builtinId="8" hidden="1"/>
    <cellStyle name="Hyperlink" xfId="6503" builtinId="8" hidden="1"/>
    <cellStyle name="Hyperlink" xfId="6505" builtinId="8" hidden="1"/>
    <cellStyle name="Hyperlink" xfId="6507" builtinId="8" hidden="1"/>
    <cellStyle name="Hyperlink" xfId="6509" builtinId="8" hidden="1"/>
    <cellStyle name="Hyperlink" xfId="6511" builtinId="8" hidden="1"/>
    <cellStyle name="Hyperlink" xfId="6513" builtinId="8" hidden="1"/>
    <cellStyle name="Hyperlink" xfId="6515" builtinId="8" hidden="1"/>
    <cellStyle name="Hyperlink" xfId="6517" builtinId="8" hidden="1"/>
    <cellStyle name="Hyperlink" xfId="6519" builtinId="8" hidden="1"/>
    <cellStyle name="Hyperlink" xfId="6521" builtinId="8" hidden="1"/>
    <cellStyle name="Hyperlink" xfId="6523" builtinId="8" hidden="1"/>
    <cellStyle name="Hyperlink" xfId="6525" builtinId="8" hidden="1"/>
    <cellStyle name="Hyperlink" xfId="6527" builtinId="8" hidden="1"/>
    <cellStyle name="Hyperlink" xfId="6529" builtinId="8" hidden="1"/>
    <cellStyle name="Hyperlink" xfId="6531" builtinId="8" hidden="1"/>
    <cellStyle name="Hyperlink" xfId="6533" builtinId="8" hidden="1"/>
    <cellStyle name="Hyperlink" xfId="6535" builtinId="8" hidden="1"/>
    <cellStyle name="Hyperlink" xfId="6537" builtinId="8" hidden="1"/>
    <cellStyle name="Hyperlink" xfId="6539" builtinId="8" hidden="1"/>
    <cellStyle name="Hyperlink" xfId="6541" builtinId="8" hidden="1"/>
    <cellStyle name="Hyperlink" xfId="6543" builtinId="8" hidden="1"/>
    <cellStyle name="Hyperlink" xfId="6545" builtinId="8" hidden="1"/>
    <cellStyle name="Hyperlink" xfId="6547" builtinId="8" hidden="1"/>
    <cellStyle name="Hyperlink" xfId="6549" builtinId="8" hidden="1"/>
    <cellStyle name="Hyperlink" xfId="6551" builtinId="8" hidden="1"/>
    <cellStyle name="Hyperlink" xfId="6553" builtinId="8" hidden="1"/>
    <cellStyle name="Hyperlink" xfId="6555" builtinId="8" hidden="1"/>
    <cellStyle name="Hyperlink" xfId="6557" builtinId="8" hidden="1"/>
    <cellStyle name="Hyperlink" xfId="6559" builtinId="8" hidden="1"/>
    <cellStyle name="Hyperlink" xfId="6561" builtinId="8" hidden="1"/>
    <cellStyle name="Hyperlink" xfId="6563" builtinId="8" hidden="1"/>
    <cellStyle name="Hyperlink" xfId="6565" builtinId="8" hidden="1"/>
    <cellStyle name="Hyperlink" xfId="6567" builtinId="8" hidden="1"/>
    <cellStyle name="Hyperlink" xfId="6569" builtinId="8" hidden="1"/>
    <cellStyle name="Hyperlink" xfId="6571" builtinId="8" hidden="1"/>
    <cellStyle name="Hyperlink" xfId="6573" builtinId="8" hidden="1"/>
    <cellStyle name="Hyperlink" xfId="6575" builtinId="8" hidden="1"/>
    <cellStyle name="Hyperlink" xfId="6577" builtinId="8" hidden="1"/>
    <cellStyle name="Hyperlink" xfId="6579" builtinId="8" hidden="1"/>
    <cellStyle name="Hyperlink" xfId="6581" builtinId="8" hidden="1"/>
    <cellStyle name="Hyperlink" xfId="6583" builtinId="8" hidden="1"/>
    <cellStyle name="Hyperlink" xfId="6585" builtinId="8" hidden="1"/>
    <cellStyle name="Hyperlink" xfId="6587" builtinId="8" hidden="1"/>
    <cellStyle name="Hyperlink" xfId="6589" builtinId="8" hidden="1"/>
    <cellStyle name="Hyperlink" xfId="6591" builtinId="8" hidden="1"/>
    <cellStyle name="Hyperlink" xfId="6593" builtinId="8" hidden="1"/>
    <cellStyle name="Hyperlink" xfId="6595" builtinId="8" hidden="1"/>
    <cellStyle name="Hyperlink" xfId="6597" builtinId="8" hidden="1"/>
    <cellStyle name="Hyperlink" xfId="6599" builtinId="8" hidden="1"/>
    <cellStyle name="Hyperlink" xfId="6601" builtinId="8" hidden="1"/>
    <cellStyle name="Hyperlink" xfId="6603" builtinId="8" hidden="1"/>
    <cellStyle name="Hyperlink" xfId="6605" builtinId="8" hidden="1"/>
    <cellStyle name="Hyperlink" xfId="6607" builtinId="8" hidden="1"/>
    <cellStyle name="Hyperlink" xfId="6609" builtinId="8" hidden="1"/>
    <cellStyle name="Hyperlink" xfId="6611" builtinId="8" hidden="1"/>
    <cellStyle name="Hyperlink" xfId="6613" builtinId="8" hidden="1"/>
    <cellStyle name="Hyperlink" xfId="6615" builtinId="8" hidden="1"/>
    <cellStyle name="Hyperlink" xfId="6617" builtinId="8" hidden="1"/>
    <cellStyle name="Hyperlink" xfId="6619" builtinId="8" hidden="1"/>
    <cellStyle name="Hyperlink" xfId="6621" builtinId="8" hidden="1"/>
    <cellStyle name="Hyperlink" xfId="6623" builtinId="8" hidden="1"/>
    <cellStyle name="Hyperlink" xfId="6625" builtinId="8" hidden="1"/>
    <cellStyle name="Hyperlink" xfId="6627" builtinId="8" hidden="1"/>
    <cellStyle name="Hyperlink" xfId="6629" builtinId="8" hidden="1"/>
    <cellStyle name="Hyperlink" xfId="6631" builtinId="8" hidden="1"/>
    <cellStyle name="Hyperlink" xfId="6633" builtinId="8" hidden="1"/>
    <cellStyle name="Hyperlink" xfId="6635" builtinId="8" hidden="1"/>
    <cellStyle name="Hyperlink" xfId="6637" builtinId="8" hidden="1"/>
    <cellStyle name="Hyperlink" xfId="6639" builtinId="8" hidden="1"/>
    <cellStyle name="Hyperlink" xfId="6641" builtinId="8" hidden="1"/>
    <cellStyle name="Hyperlink" xfId="6643" builtinId="8" hidden="1"/>
    <cellStyle name="Hyperlink" xfId="6645" builtinId="8" hidden="1"/>
    <cellStyle name="Hyperlink" xfId="6647" builtinId="8" hidden="1"/>
    <cellStyle name="Hyperlink" xfId="6649" builtinId="8" hidden="1"/>
    <cellStyle name="Hyperlink" xfId="6651" builtinId="8" hidden="1"/>
    <cellStyle name="Hyperlink" xfId="6653" builtinId="8" hidden="1"/>
    <cellStyle name="Hyperlink" xfId="6655" builtinId="8" hidden="1"/>
    <cellStyle name="Hyperlink" xfId="6657" builtinId="8" hidden="1"/>
    <cellStyle name="Hyperlink" xfId="6659" builtinId="8" hidden="1"/>
    <cellStyle name="Hyperlink" xfId="6661" builtinId="8" hidden="1"/>
    <cellStyle name="Hyperlink" xfId="6663" builtinId="8" hidden="1"/>
    <cellStyle name="Hyperlink" xfId="6665" builtinId="8" hidden="1"/>
    <cellStyle name="Hyperlink" xfId="6667" builtinId="8" hidden="1"/>
    <cellStyle name="Hyperlink" xfId="6669" builtinId="8" hidden="1"/>
    <cellStyle name="Hyperlink" xfId="6671" builtinId="8" hidden="1"/>
    <cellStyle name="Hyperlink" xfId="6673" builtinId="8" hidden="1"/>
    <cellStyle name="Hyperlink" xfId="6675" builtinId="8" hidden="1"/>
    <cellStyle name="Hyperlink" xfId="6677" builtinId="8" hidden="1"/>
    <cellStyle name="Hyperlink" xfId="6679" builtinId="8" hidden="1"/>
    <cellStyle name="Hyperlink" xfId="6681" builtinId="8" hidden="1"/>
    <cellStyle name="Hyperlink" xfId="6683" builtinId="8" hidden="1"/>
    <cellStyle name="Hyperlink" xfId="6685" builtinId="8" hidden="1"/>
    <cellStyle name="Hyperlink" xfId="6687" builtinId="8" hidden="1"/>
    <cellStyle name="Hyperlink" xfId="6689" builtinId="8" hidden="1"/>
    <cellStyle name="Hyperlink" xfId="6691" builtinId="8" hidden="1"/>
    <cellStyle name="Hyperlink" xfId="6693" builtinId="8" hidden="1"/>
    <cellStyle name="Hyperlink" xfId="6695" builtinId="8" hidden="1"/>
    <cellStyle name="Hyperlink" xfId="6697" builtinId="8" hidden="1"/>
    <cellStyle name="Hyperlink" xfId="6699" builtinId="8" hidden="1"/>
    <cellStyle name="Hyperlink" xfId="6701" builtinId="8" hidden="1"/>
    <cellStyle name="Hyperlink" xfId="6703" builtinId="8" hidden="1"/>
    <cellStyle name="Hyperlink" xfId="6705" builtinId="8" hidden="1"/>
    <cellStyle name="Hyperlink" xfId="6707" builtinId="8" hidden="1"/>
    <cellStyle name="Hyperlink" xfId="6709" builtinId="8" hidden="1"/>
    <cellStyle name="Hyperlink" xfId="6711" builtinId="8" hidden="1"/>
    <cellStyle name="Hyperlink" xfId="6713" builtinId="8" hidden="1"/>
    <cellStyle name="Hyperlink" xfId="6715" builtinId="8" hidden="1"/>
    <cellStyle name="Hyperlink" xfId="6717" builtinId="8" hidden="1"/>
    <cellStyle name="Hyperlink" xfId="6719" builtinId="8" hidden="1"/>
    <cellStyle name="Hyperlink" xfId="6721" builtinId="8" hidden="1"/>
    <cellStyle name="Hyperlink" xfId="6723" builtinId="8" hidden="1"/>
    <cellStyle name="Hyperlink" xfId="6725" builtinId="8" hidden="1"/>
    <cellStyle name="Hyperlink" xfId="6727" builtinId="8" hidden="1"/>
    <cellStyle name="Hyperlink" xfId="6729" builtinId="8" hidden="1"/>
    <cellStyle name="Hyperlink" xfId="6731" builtinId="8" hidden="1"/>
    <cellStyle name="Hyperlink" xfId="6733" builtinId="8" hidden="1"/>
    <cellStyle name="Hyperlink" xfId="6735" builtinId="8" hidden="1"/>
    <cellStyle name="Hyperlink" xfId="6737" builtinId="8" hidden="1"/>
    <cellStyle name="Hyperlink" xfId="6739" builtinId="8" hidden="1"/>
    <cellStyle name="Hyperlink" xfId="6741" builtinId="8" hidden="1"/>
    <cellStyle name="Hyperlink" xfId="6743" builtinId="8" hidden="1"/>
    <cellStyle name="Hyperlink" xfId="6745" builtinId="8" hidden="1"/>
    <cellStyle name="Hyperlink" xfId="6747" builtinId="8" hidden="1"/>
    <cellStyle name="Hyperlink" xfId="6749" builtinId="8" hidden="1"/>
    <cellStyle name="Hyperlink" xfId="6751" builtinId="8" hidden="1"/>
    <cellStyle name="Hyperlink" xfId="6753" builtinId="8" hidden="1"/>
    <cellStyle name="Hyperlink" xfId="6755" builtinId="8" hidden="1"/>
    <cellStyle name="Hyperlink" xfId="6757" builtinId="8" hidden="1"/>
    <cellStyle name="Hyperlink" xfId="6759" builtinId="8" hidden="1"/>
    <cellStyle name="Hyperlink" xfId="6761" builtinId="8" hidden="1"/>
    <cellStyle name="Hyperlink" xfId="6763" builtinId="8" hidden="1"/>
    <cellStyle name="Hyperlink" xfId="6765" builtinId="8" hidden="1"/>
    <cellStyle name="Hyperlink" xfId="6767" builtinId="8" hidden="1"/>
    <cellStyle name="Hyperlink" xfId="6769" builtinId="8" hidden="1"/>
    <cellStyle name="Hyperlink" xfId="6771" builtinId="8" hidden="1"/>
    <cellStyle name="Hyperlink" xfId="6773" builtinId="8" hidden="1"/>
    <cellStyle name="Hyperlink" xfId="6775" builtinId="8" hidden="1"/>
    <cellStyle name="Hyperlink" xfId="6777" builtinId="8" hidden="1"/>
    <cellStyle name="Hyperlink" xfId="6779" builtinId="8" hidden="1"/>
    <cellStyle name="Hyperlink" xfId="6781" builtinId="8" hidden="1"/>
    <cellStyle name="Hyperlink" xfId="6783" builtinId="8" hidden="1"/>
    <cellStyle name="Hyperlink" xfId="6785" builtinId="8" hidden="1"/>
    <cellStyle name="Hyperlink" xfId="6787" builtinId="8" hidden="1"/>
    <cellStyle name="Hyperlink" xfId="6789" builtinId="8" hidden="1"/>
    <cellStyle name="Hyperlink" xfId="6791" builtinId="8" hidden="1"/>
    <cellStyle name="Hyperlink" xfId="6793" builtinId="8" hidden="1"/>
    <cellStyle name="Hyperlink" xfId="6795" builtinId="8" hidden="1"/>
    <cellStyle name="Hyperlink" xfId="6797" builtinId="8" hidden="1"/>
    <cellStyle name="Hyperlink" xfId="6799" builtinId="8" hidden="1"/>
    <cellStyle name="Hyperlink" xfId="6801" builtinId="8" hidden="1"/>
    <cellStyle name="Hyperlink" xfId="6803" builtinId="8" hidden="1"/>
    <cellStyle name="Hyperlink" xfId="6805" builtinId="8" hidden="1"/>
    <cellStyle name="Hyperlink" xfId="6807" builtinId="8" hidden="1"/>
    <cellStyle name="Hyperlink" xfId="6809" builtinId="8" hidden="1"/>
    <cellStyle name="Hyperlink" xfId="6811" builtinId="8" hidden="1"/>
    <cellStyle name="Hyperlink" xfId="6813" builtinId="8" hidden="1"/>
    <cellStyle name="Hyperlink" xfId="6815" builtinId="8" hidden="1"/>
    <cellStyle name="Hyperlink" xfId="6817" builtinId="8" hidden="1"/>
    <cellStyle name="Hyperlink" xfId="6819" builtinId="8" hidden="1"/>
    <cellStyle name="Hyperlink" xfId="6821" builtinId="8" hidden="1"/>
    <cellStyle name="Hyperlink" xfId="6823" builtinId="8" hidden="1"/>
    <cellStyle name="Hyperlink" xfId="6825" builtinId="8" hidden="1"/>
    <cellStyle name="Hyperlink" xfId="6827" builtinId="8" hidden="1"/>
    <cellStyle name="Hyperlink" xfId="6829" builtinId="8" hidden="1"/>
    <cellStyle name="Hyperlink" xfId="6831" builtinId="8" hidden="1"/>
    <cellStyle name="Hyperlink" xfId="6833" builtinId="8" hidden="1"/>
    <cellStyle name="Hyperlink" xfId="6835" builtinId="8" hidden="1"/>
    <cellStyle name="Hyperlink" xfId="6837" builtinId="8" hidden="1"/>
    <cellStyle name="Hyperlink" xfId="6839" builtinId="8" hidden="1"/>
    <cellStyle name="Hyperlink" xfId="6841" builtinId="8" hidden="1"/>
    <cellStyle name="Hyperlink" xfId="6843" builtinId="8" hidden="1"/>
    <cellStyle name="Hyperlink" xfId="6845" builtinId="8" hidden="1"/>
    <cellStyle name="Hyperlink" xfId="6847" builtinId="8" hidden="1"/>
    <cellStyle name="Hyperlink" xfId="6849" builtinId="8" hidden="1"/>
    <cellStyle name="Hyperlink" xfId="6851" builtinId="8" hidden="1"/>
    <cellStyle name="Hyperlink" xfId="6853" builtinId="8" hidden="1"/>
    <cellStyle name="Hyperlink" xfId="6855" builtinId="8" hidden="1"/>
    <cellStyle name="Hyperlink" xfId="6857" builtinId="8" hidden="1"/>
    <cellStyle name="Hyperlink" xfId="6859" builtinId="8" hidden="1"/>
    <cellStyle name="Hyperlink" xfId="6861" builtinId="8" hidden="1"/>
    <cellStyle name="Hyperlink" xfId="6863" builtinId="8" hidden="1"/>
    <cellStyle name="Hyperlink" xfId="6865" builtinId="8" hidden="1"/>
    <cellStyle name="Hyperlink" xfId="6867" builtinId="8" hidden="1"/>
    <cellStyle name="Hyperlink" xfId="6869" builtinId="8" hidden="1"/>
    <cellStyle name="Hyperlink" xfId="6871" builtinId="8" hidden="1"/>
    <cellStyle name="Hyperlink" xfId="6873" builtinId="8" hidden="1"/>
    <cellStyle name="Hyperlink" xfId="6875" builtinId="8" hidden="1"/>
    <cellStyle name="Hyperlink" xfId="6877" builtinId="8" hidden="1"/>
    <cellStyle name="Hyperlink" xfId="6879" builtinId="8" hidden="1"/>
    <cellStyle name="Hyperlink" xfId="6881" builtinId="8" hidden="1"/>
    <cellStyle name="Hyperlink" xfId="6883" builtinId="8" hidden="1"/>
    <cellStyle name="Hyperlink" xfId="6885" builtinId="8" hidden="1"/>
    <cellStyle name="Hyperlink" xfId="6887" builtinId="8" hidden="1"/>
    <cellStyle name="Hyperlink" xfId="6889" builtinId="8" hidden="1"/>
    <cellStyle name="Hyperlink" xfId="6891" builtinId="8" hidden="1"/>
    <cellStyle name="Hyperlink" xfId="6893" builtinId="8" hidden="1"/>
    <cellStyle name="Hyperlink" xfId="6895" builtinId="8" hidden="1"/>
    <cellStyle name="Hyperlink" xfId="6897" builtinId="8" hidden="1"/>
    <cellStyle name="Hyperlink" xfId="6899" builtinId="8" hidden="1"/>
    <cellStyle name="Hyperlink" xfId="6901" builtinId="8" hidden="1"/>
    <cellStyle name="Hyperlink" xfId="6903" builtinId="8" hidden="1"/>
    <cellStyle name="Hyperlink" xfId="6905" builtinId="8" hidden="1"/>
    <cellStyle name="Hyperlink" xfId="6907" builtinId="8" hidden="1"/>
    <cellStyle name="Hyperlink" xfId="6909" builtinId="8" hidden="1"/>
    <cellStyle name="Hyperlink" xfId="6911" builtinId="8" hidden="1"/>
    <cellStyle name="Hyperlink" xfId="6913" builtinId="8" hidden="1"/>
    <cellStyle name="Hyperlink" xfId="6915" builtinId="8" hidden="1"/>
    <cellStyle name="Hyperlink" xfId="6917" builtinId="8" hidden="1"/>
    <cellStyle name="Hyperlink" xfId="6919" builtinId="8" hidden="1"/>
    <cellStyle name="Hyperlink" xfId="6921" builtinId="8" hidden="1"/>
    <cellStyle name="Hyperlink" xfId="6923" builtinId="8" hidden="1"/>
    <cellStyle name="Hyperlink" xfId="6925" builtinId="8" hidden="1"/>
    <cellStyle name="Hyperlink" xfId="6927" builtinId="8" hidden="1"/>
    <cellStyle name="Hyperlink" xfId="6929" builtinId="8" hidden="1"/>
    <cellStyle name="Hyperlink" xfId="6931" builtinId="8" hidden="1"/>
    <cellStyle name="Hyperlink" xfId="6933" builtinId="8" hidden="1"/>
    <cellStyle name="Hyperlink" xfId="6935" builtinId="8" hidden="1"/>
    <cellStyle name="Hyperlink" xfId="6937" builtinId="8" hidden="1"/>
    <cellStyle name="Hyperlink" xfId="6939" builtinId="8" hidden="1"/>
    <cellStyle name="Hyperlink" xfId="6941" builtinId="8" hidden="1"/>
    <cellStyle name="Hyperlink" xfId="6943" builtinId="8" hidden="1"/>
    <cellStyle name="Hyperlink" xfId="6945" builtinId="8" hidden="1"/>
    <cellStyle name="Hyperlink" xfId="6947" builtinId="8" hidden="1"/>
    <cellStyle name="Hyperlink" xfId="6949" builtinId="8" hidden="1"/>
    <cellStyle name="Hyperlink" xfId="6951" builtinId="8" hidden="1"/>
    <cellStyle name="Hyperlink" xfId="6953" builtinId="8" hidden="1"/>
    <cellStyle name="Hyperlink" xfId="6955" builtinId="8" hidden="1"/>
    <cellStyle name="Hyperlink" xfId="6957" builtinId="8" hidden="1"/>
    <cellStyle name="Hyperlink" xfId="6959" builtinId="8" hidden="1"/>
    <cellStyle name="Hyperlink" xfId="6961" builtinId="8" hidden="1"/>
    <cellStyle name="Hyperlink" xfId="6963" builtinId="8" hidden="1"/>
    <cellStyle name="Hyperlink" xfId="6965" builtinId="8" hidden="1"/>
    <cellStyle name="Hyperlink" xfId="6967" builtinId="8" hidden="1"/>
    <cellStyle name="Hyperlink" xfId="6969" builtinId="8" hidden="1"/>
    <cellStyle name="Hyperlink" xfId="6971" builtinId="8" hidden="1"/>
    <cellStyle name="Hyperlink" xfId="6973" builtinId="8" hidden="1"/>
    <cellStyle name="Hyperlink" xfId="6975" builtinId="8" hidden="1"/>
    <cellStyle name="Hyperlink" xfId="6977" builtinId="8" hidden="1"/>
    <cellStyle name="Hyperlink" xfId="6979" builtinId="8" hidden="1"/>
    <cellStyle name="Hyperlink" xfId="6981" builtinId="8" hidden="1"/>
    <cellStyle name="Hyperlink" xfId="6983" builtinId="8" hidden="1"/>
    <cellStyle name="Hyperlink" xfId="6985" builtinId="8" hidden="1"/>
    <cellStyle name="Hyperlink" xfId="6987" builtinId="8" hidden="1"/>
    <cellStyle name="Hyperlink" xfId="6989" builtinId="8" hidden="1"/>
    <cellStyle name="Hyperlink" xfId="6991" builtinId="8" hidden="1"/>
    <cellStyle name="Hyperlink" xfId="6993" builtinId="8" hidden="1"/>
    <cellStyle name="Hyperlink" xfId="6995" builtinId="8" hidden="1"/>
    <cellStyle name="Hyperlink" xfId="6997" builtinId="8" hidden="1"/>
    <cellStyle name="Hyperlink" xfId="6999" builtinId="8" hidden="1"/>
    <cellStyle name="Hyperlink" xfId="7001" builtinId="8" hidden="1"/>
    <cellStyle name="Hyperlink" xfId="7003" builtinId="8" hidden="1"/>
    <cellStyle name="Hyperlink" xfId="7005" builtinId="8" hidden="1"/>
    <cellStyle name="Hyperlink" xfId="7007" builtinId="8" hidden="1"/>
    <cellStyle name="Hyperlink" xfId="7009" builtinId="8" hidden="1"/>
    <cellStyle name="Hyperlink" xfId="7011" builtinId="8" hidden="1"/>
    <cellStyle name="Hyperlink" xfId="7013" builtinId="8" hidden="1"/>
    <cellStyle name="Hyperlink" xfId="7015" builtinId="8" hidden="1"/>
    <cellStyle name="Hyperlink" xfId="7017" builtinId="8" hidden="1"/>
    <cellStyle name="Hyperlink" xfId="7019" builtinId="8" hidden="1"/>
    <cellStyle name="Hyperlink" xfId="7021" builtinId="8" hidden="1"/>
    <cellStyle name="Hyperlink" xfId="7023" builtinId="8" hidden="1"/>
    <cellStyle name="Hyperlink" xfId="7025" builtinId="8" hidden="1"/>
    <cellStyle name="Hyperlink" xfId="7027" builtinId="8" hidden="1"/>
    <cellStyle name="Hyperlink" xfId="7029" builtinId="8" hidden="1"/>
    <cellStyle name="Hyperlink" xfId="7031" builtinId="8" hidden="1"/>
    <cellStyle name="Hyperlink" xfId="7033" builtinId="8" hidden="1"/>
    <cellStyle name="Hyperlink" xfId="7035" builtinId="8" hidden="1"/>
    <cellStyle name="Hyperlink" xfId="7037" builtinId="8" hidden="1"/>
    <cellStyle name="Hyperlink" xfId="7039" builtinId="8" hidden="1"/>
    <cellStyle name="Hyperlink" xfId="7041" builtinId="8" hidden="1"/>
    <cellStyle name="Hyperlink" xfId="7043" builtinId="8" hidden="1"/>
    <cellStyle name="Hyperlink" xfId="7045" builtinId="8" hidden="1"/>
    <cellStyle name="Hyperlink" xfId="7047" builtinId="8" hidden="1"/>
    <cellStyle name="Hyperlink" xfId="7049" builtinId="8" hidden="1"/>
    <cellStyle name="Hyperlink" xfId="7051" builtinId="8" hidden="1"/>
    <cellStyle name="Hyperlink" xfId="7053" builtinId="8" hidden="1"/>
    <cellStyle name="Hyperlink" xfId="7055" builtinId="8" hidden="1"/>
    <cellStyle name="Hyperlink" xfId="7057" builtinId="8" hidden="1"/>
    <cellStyle name="Hyperlink" xfId="7059" builtinId="8" hidden="1"/>
    <cellStyle name="Hyperlink" xfId="7061" builtinId="8" hidden="1"/>
    <cellStyle name="Hyperlink" xfId="7063" builtinId="8" hidden="1"/>
    <cellStyle name="Hyperlink" xfId="7065" builtinId="8" hidden="1"/>
    <cellStyle name="Hyperlink" xfId="7067" builtinId="8" hidden="1"/>
    <cellStyle name="Hyperlink" xfId="7069" builtinId="8" hidden="1"/>
    <cellStyle name="Hyperlink" xfId="7071" builtinId="8" hidden="1"/>
    <cellStyle name="Hyperlink" xfId="7073" builtinId="8" hidden="1"/>
    <cellStyle name="Hyperlink" xfId="7075" builtinId="8" hidden="1"/>
    <cellStyle name="Hyperlink" xfId="7077" builtinId="8" hidden="1"/>
    <cellStyle name="Hyperlink" xfId="7079" builtinId="8" hidden="1"/>
    <cellStyle name="Hyperlink" xfId="7081" builtinId="8" hidden="1"/>
    <cellStyle name="Hyperlink" xfId="7083" builtinId="8" hidden="1"/>
    <cellStyle name="Hyperlink" xfId="7085" builtinId="8" hidden="1"/>
    <cellStyle name="Hyperlink" xfId="7087" builtinId="8" hidden="1"/>
    <cellStyle name="Hyperlink" xfId="7089" builtinId="8" hidden="1"/>
    <cellStyle name="Hyperlink" xfId="7091" builtinId="8" hidden="1"/>
    <cellStyle name="Hyperlink" xfId="7093" builtinId="8" hidden="1"/>
    <cellStyle name="Hyperlink" xfId="7095" builtinId="8" hidden="1"/>
    <cellStyle name="Hyperlink" xfId="7097" builtinId="8" hidden="1"/>
    <cellStyle name="Hyperlink" xfId="7099" builtinId="8" hidden="1"/>
    <cellStyle name="Hyperlink" xfId="7101" builtinId="8" hidden="1"/>
    <cellStyle name="Hyperlink" xfId="7103" builtinId="8" hidden="1"/>
    <cellStyle name="Hyperlink" xfId="7105" builtinId="8" hidden="1"/>
    <cellStyle name="Hyperlink" xfId="7107" builtinId="8" hidden="1"/>
    <cellStyle name="Hyperlink" xfId="7109" builtinId="8" hidden="1"/>
    <cellStyle name="Hyperlink" xfId="7111" builtinId="8" hidden="1"/>
    <cellStyle name="Hyperlink" xfId="7113" builtinId="8" hidden="1"/>
    <cellStyle name="Hyperlink" xfId="7115" builtinId="8" hidden="1"/>
    <cellStyle name="Hyperlink" xfId="7117" builtinId="8" hidden="1"/>
    <cellStyle name="Hyperlink" xfId="7119" builtinId="8" hidden="1"/>
    <cellStyle name="Hyperlink" xfId="7121" builtinId="8" hidden="1"/>
    <cellStyle name="Hyperlink" xfId="7123" builtinId="8" hidden="1"/>
    <cellStyle name="Hyperlink" xfId="7125" builtinId="8" hidden="1"/>
    <cellStyle name="Hyperlink" xfId="7127" builtinId="8" hidden="1"/>
    <cellStyle name="Hyperlink" xfId="7129" builtinId="8" hidden="1"/>
    <cellStyle name="Hyperlink" xfId="7131" builtinId="8" hidden="1"/>
    <cellStyle name="Hyperlink" xfId="7133" builtinId="8" hidden="1"/>
    <cellStyle name="Hyperlink" xfId="7135" builtinId="8" hidden="1"/>
    <cellStyle name="Hyperlink" xfId="7137" builtinId="8" hidden="1"/>
    <cellStyle name="Hyperlink" xfId="7139" builtinId="8" hidden="1"/>
    <cellStyle name="Hyperlink" xfId="7141" builtinId="8" hidden="1"/>
    <cellStyle name="Hyperlink" xfId="7143" builtinId="8" hidden="1"/>
    <cellStyle name="Hyperlink" xfId="7145" builtinId="8" hidden="1"/>
    <cellStyle name="Hyperlink" xfId="7147" builtinId="8" hidden="1"/>
    <cellStyle name="Hyperlink" xfId="7149" builtinId="8" hidden="1"/>
    <cellStyle name="Hyperlink" xfId="7151" builtinId="8" hidden="1"/>
    <cellStyle name="Hyperlink" xfId="7153" builtinId="8" hidden="1"/>
    <cellStyle name="Hyperlink" xfId="7155" builtinId="8" hidden="1"/>
    <cellStyle name="Hyperlink" xfId="7157" builtinId="8" hidden="1"/>
    <cellStyle name="Hyperlink" xfId="7159" builtinId="8" hidden="1"/>
    <cellStyle name="Hyperlink" xfId="7161" builtinId="8" hidden="1"/>
    <cellStyle name="Hyperlink" xfId="7163" builtinId="8" hidden="1"/>
    <cellStyle name="Hyperlink" xfId="7165" builtinId="8" hidden="1"/>
    <cellStyle name="Hyperlink" xfId="7167" builtinId="8" hidden="1"/>
    <cellStyle name="Hyperlink" xfId="7169" builtinId="8" hidden="1"/>
    <cellStyle name="Hyperlink" xfId="7171" builtinId="8" hidden="1"/>
    <cellStyle name="Hyperlink" xfId="7173" builtinId="8" hidden="1"/>
    <cellStyle name="Hyperlink" xfId="7175" builtinId="8" hidden="1"/>
    <cellStyle name="Hyperlink" xfId="7177" builtinId="8" hidden="1"/>
    <cellStyle name="Hyperlink" xfId="7179" builtinId="8" hidden="1"/>
    <cellStyle name="Hyperlink" xfId="7181" builtinId="8" hidden="1"/>
    <cellStyle name="Hyperlink" xfId="7183" builtinId="8" hidden="1"/>
    <cellStyle name="Hyperlink" xfId="7185" builtinId="8" hidden="1"/>
    <cellStyle name="Hyperlink" xfId="7187" builtinId="8" hidden="1"/>
    <cellStyle name="Hyperlink" xfId="7189" builtinId="8" hidden="1"/>
    <cellStyle name="Hyperlink" xfId="7191" builtinId="8" hidden="1"/>
    <cellStyle name="Hyperlink" xfId="7193" builtinId="8" hidden="1"/>
    <cellStyle name="Hyperlink" xfId="7195" builtinId="8" hidden="1"/>
    <cellStyle name="Hyperlink" xfId="7197" builtinId="8" hidden="1"/>
    <cellStyle name="Hyperlink" xfId="7199" builtinId="8" hidden="1"/>
    <cellStyle name="Hyperlink" xfId="7201" builtinId="8" hidden="1"/>
    <cellStyle name="Hyperlink" xfId="7203" builtinId="8" hidden="1"/>
    <cellStyle name="Hyperlink" xfId="7205" builtinId="8" hidden="1"/>
    <cellStyle name="Hyperlink" xfId="7207" builtinId="8" hidden="1"/>
    <cellStyle name="Hyperlink" xfId="7209" builtinId="8" hidden="1"/>
    <cellStyle name="Hyperlink" xfId="7211" builtinId="8" hidden="1"/>
    <cellStyle name="Hyperlink" xfId="7213" builtinId="8" hidden="1"/>
    <cellStyle name="Hyperlink" xfId="7215" builtinId="8" hidden="1"/>
    <cellStyle name="Hyperlink" xfId="7217" builtinId="8" hidden="1"/>
    <cellStyle name="Hyperlink" xfId="7219" builtinId="8" hidden="1"/>
    <cellStyle name="Hyperlink" xfId="7221" builtinId="8" hidden="1"/>
    <cellStyle name="Hyperlink" xfId="7223" builtinId="8" hidden="1"/>
    <cellStyle name="Hyperlink" xfId="7225" builtinId="8" hidden="1"/>
    <cellStyle name="Hyperlink" xfId="7227" builtinId="8" hidden="1"/>
    <cellStyle name="Hyperlink" xfId="7229" builtinId="8" hidden="1"/>
    <cellStyle name="Hyperlink" xfId="7231" builtinId="8" hidden="1"/>
    <cellStyle name="Hyperlink" xfId="7233" builtinId="8" hidden="1"/>
    <cellStyle name="Hyperlink" xfId="7235" builtinId="8" hidden="1"/>
    <cellStyle name="Hyperlink" xfId="7237" builtinId="8" hidden="1"/>
    <cellStyle name="Hyperlink" xfId="7239" builtinId="8" hidden="1"/>
    <cellStyle name="Hyperlink" xfId="7241" builtinId="8" hidden="1"/>
    <cellStyle name="Hyperlink" xfId="7243" builtinId="8" hidden="1"/>
    <cellStyle name="Hyperlink" xfId="7245" builtinId="8" hidden="1"/>
    <cellStyle name="Hyperlink" xfId="7247" builtinId="8" hidden="1"/>
    <cellStyle name="Hyperlink" xfId="7249" builtinId="8" hidden="1"/>
    <cellStyle name="Hyperlink" xfId="7251" builtinId="8" hidden="1"/>
    <cellStyle name="Hyperlink" xfId="7253" builtinId="8" hidden="1"/>
    <cellStyle name="Hyperlink" xfId="7255" builtinId="8" hidden="1"/>
    <cellStyle name="Hyperlink" xfId="7257" builtinId="8" hidden="1"/>
    <cellStyle name="Hyperlink" xfId="7259" builtinId="8" hidden="1"/>
    <cellStyle name="Hyperlink" xfId="7261" builtinId="8" hidden="1"/>
    <cellStyle name="Hyperlink" xfId="7263" builtinId="8" hidden="1"/>
    <cellStyle name="Hyperlink" xfId="7265" builtinId="8" hidden="1"/>
    <cellStyle name="Hyperlink" xfId="7267" builtinId="8" hidden="1"/>
    <cellStyle name="Hyperlink" xfId="7269" builtinId="8" hidden="1"/>
    <cellStyle name="Hyperlink" xfId="7271" builtinId="8" hidden="1"/>
    <cellStyle name="Hyperlink" xfId="7273" builtinId="8" hidden="1"/>
    <cellStyle name="Hyperlink" xfId="7275" builtinId="8" hidden="1"/>
    <cellStyle name="Hyperlink" xfId="7277" builtinId="8" hidden="1"/>
    <cellStyle name="Hyperlink" xfId="7279" builtinId="8" hidden="1"/>
    <cellStyle name="Hyperlink" xfId="7281" builtinId="8" hidden="1"/>
    <cellStyle name="Hyperlink" xfId="7283" builtinId="8" hidden="1"/>
    <cellStyle name="Hyperlink" xfId="7285" builtinId="8" hidden="1"/>
    <cellStyle name="Hyperlink" xfId="7287" builtinId="8" hidden="1"/>
    <cellStyle name="Hyperlink" xfId="7289" builtinId="8" hidden="1"/>
    <cellStyle name="Hyperlink" xfId="7291" builtinId="8" hidden="1"/>
    <cellStyle name="Hyperlink" xfId="7293" builtinId="8" hidden="1"/>
    <cellStyle name="Hyperlink" xfId="7295" builtinId="8" hidden="1"/>
    <cellStyle name="Hyperlink" xfId="7297" builtinId="8" hidden="1"/>
    <cellStyle name="Hyperlink" xfId="7299" builtinId="8" hidden="1"/>
    <cellStyle name="Hyperlink" xfId="7301" builtinId="8" hidden="1"/>
    <cellStyle name="Hyperlink" xfId="7303" builtinId="8" hidden="1"/>
    <cellStyle name="Hyperlink" xfId="7305" builtinId="8" hidden="1"/>
    <cellStyle name="Hyperlink" xfId="7307" builtinId="8" hidden="1"/>
    <cellStyle name="Hyperlink" xfId="7309" builtinId="8" hidden="1"/>
    <cellStyle name="Hyperlink" xfId="7311" builtinId="8" hidden="1"/>
    <cellStyle name="Hyperlink" xfId="7313" builtinId="8" hidden="1"/>
    <cellStyle name="Hyperlink" xfId="7315" builtinId="8" hidden="1"/>
    <cellStyle name="Hyperlink" xfId="7317" builtinId="8" hidden="1"/>
    <cellStyle name="Hyperlink" xfId="7319" builtinId="8" hidden="1"/>
    <cellStyle name="Hyperlink" xfId="7321" builtinId="8" hidden="1"/>
    <cellStyle name="Hyperlink" xfId="7323" builtinId="8" hidden="1"/>
    <cellStyle name="Hyperlink" xfId="7325" builtinId="8" hidden="1"/>
    <cellStyle name="Hyperlink" xfId="7327" builtinId="8" hidden="1"/>
    <cellStyle name="Hyperlink" xfId="7329" builtinId="8" hidden="1"/>
    <cellStyle name="Hyperlink" xfId="7331" builtinId="8" hidden="1"/>
    <cellStyle name="Hyperlink" xfId="7333" builtinId="8" hidden="1"/>
    <cellStyle name="Hyperlink" xfId="7335" builtinId="8" hidden="1"/>
    <cellStyle name="Hyperlink" xfId="7337" builtinId="8" hidden="1"/>
    <cellStyle name="Hyperlink" xfId="7339" builtinId="8" hidden="1"/>
    <cellStyle name="Hyperlink" xfId="7341" builtinId="8" hidden="1"/>
    <cellStyle name="Hyperlink" xfId="7343" builtinId="8" hidden="1"/>
    <cellStyle name="Hyperlink" xfId="7345" builtinId="8" hidden="1"/>
    <cellStyle name="Hyperlink" xfId="7347" builtinId="8" hidden="1"/>
    <cellStyle name="Hyperlink" xfId="7349" builtinId="8" hidden="1"/>
    <cellStyle name="Hyperlink" xfId="7351" builtinId="8" hidden="1"/>
    <cellStyle name="Hyperlink" xfId="7353" builtinId="8" hidden="1"/>
    <cellStyle name="Hyperlink" xfId="7355" builtinId="8" hidden="1"/>
    <cellStyle name="Hyperlink" xfId="7357" builtinId="8" hidden="1"/>
    <cellStyle name="Hyperlink" xfId="7359" builtinId="8" hidden="1"/>
    <cellStyle name="Hyperlink" xfId="7361" builtinId="8" hidden="1"/>
    <cellStyle name="Hyperlink" xfId="7363" builtinId="8" hidden="1"/>
    <cellStyle name="Hyperlink" xfId="7365" builtinId="8" hidden="1"/>
    <cellStyle name="Hyperlink" xfId="7367" builtinId="8" hidden="1"/>
    <cellStyle name="Hyperlink" xfId="7369" builtinId="8" hidden="1"/>
    <cellStyle name="Hyperlink" xfId="7371" builtinId="8" hidden="1"/>
    <cellStyle name="Hyperlink" xfId="7373" builtinId="8" hidden="1"/>
    <cellStyle name="Hyperlink" xfId="7375" builtinId="8" hidden="1"/>
    <cellStyle name="Hyperlink" xfId="7377" builtinId="8" hidden="1"/>
    <cellStyle name="Hyperlink" xfId="7379" builtinId="8" hidden="1"/>
    <cellStyle name="Hyperlink" xfId="7381" builtinId="8" hidden="1"/>
    <cellStyle name="Hyperlink" xfId="7383" builtinId="8" hidden="1"/>
    <cellStyle name="Hyperlink" xfId="7385" builtinId="8" hidden="1"/>
    <cellStyle name="Hyperlink" xfId="7387" builtinId="8" hidden="1"/>
    <cellStyle name="Hyperlink" xfId="7389" builtinId="8" hidden="1"/>
    <cellStyle name="Hyperlink" xfId="7391" builtinId="8" hidden="1"/>
    <cellStyle name="Hyperlink" xfId="7393" builtinId="8" hidden="1"/>
    <cellStyle name="Hyperlink" xfId="7395" builtinId="8" hidden="1"/>
    <cellStyle name="Hyperlink" xfId="7397" builtinId="8" hidden="1"/>
    <cellStyle name="Hyperlink" xfId="7399" builtinId="8" hidden="1"/>
    <cellStyle name="Hyperlink" xfId="7401" builtinId="8" hidden="1"/>
    <cellStyle name="Hyperlink" xfId="7403" builtinId="8" hidden="1"/>
    <cellStyle name="Hyperlink" xfId="7405" builtinId="8" hidden="1"/>
    <cellStyle name="Hyperlink" xfId="7407" builtinId="8" hidden="1"/>
    <cellStyle name="Hyperlink" xfId="7409" builtinId="8" hidden="1"/>
    <cellStyle name="Hyperlink" xfId="7411" builtinId="8" hidden="1"/>
    <cellStyle name="Hyperlink" xfId="7413" builtinId="8" hidden="1"/>
    <cellStyle name="Hyperlink" xfId="7415" builtinId="8" hidden="1"/>
    <cellStyle name="Hyperlink" xfId="7417" builtinId="8" hidden="1"/>
    <cellStyle name="Hyperlink" xfId="7419" builtinId="8" hidden="1"/>
    <cellStyle name="Hyperlink" xfId="7421" builtinId="8" hidden="1"/>
    <cellStyle name="Hyperlink" xfId="7423" builtinId="8" hidden="1"/>
    <cellStyle name="Hyperlink" xfId="7425" builtinId="8" hidden="1"/>
    <cellStyle name="Hyperlink" xfId="7427" builtinId="8" hidden="1"/>
    <cellStyle name="Hyperlink" xfId="7429" builtinId="8" hidden="1"/>
    <cellStyle name="Hyperlink" xfId="7431" builtinId="8" hidden="1"/>
    <cellStyle name="Hyperlink" xfId="7433" builtinId="8" hidden="1"/>
    <cellStyle name="Hyperlink" xfId="7435" builtinId="8" hidden="1"/>
    <cellStyle name="Hyperlink" xfId="7437" builtinId="8" hidden="1"/>
    <cellStyle name="Hyperlink" xfId="7439" builtinId="8" hidden="1"/>
    <cellStyle name="Hyperlink" xfId="7441" builtinId="8" hidden="1"/>
    <cellStyle name="Hyperlink" xfId="7443" builtinId="8" hidden="1"/>
    <cellStyle name="Hyperlink" xfId="7445" builtinId="8" hidden="1"/>
    <cellStyle name="Hyperlink" xfId="7447" builtinId="8" hidden="1"/>
    <cellStyle name="Hyperlink" xfId="7449" builtinId="8" hidden="1"/>
    <cellStyle name="Hyperlink" xfId="7451" builtinId="8" hidden="1"/>
    <cellStyle name="Hyperlink" xfId="7453" builtinId="8" hidden="1"/>
    <cellStyle name="Hyperlink" xfId="7455" builtinId="8" hidden="1"/>
    <cellStyle name="Hyperlink" xfId="7457" builtinId="8" hidden="1"/>
    <cellStyle name="Hyperlink" xfId="7459" builtinId="8" hidden="1"/>
    <cellStyle name="Hyperlink" xfId="7461" builtinId="8" hidden="1"/>
    <cellStyle name="Hyperlink" xfId="7463" builtinId="8" hidden="1"/>
    <cellStyle name="Hyperlink" xfId="7465" builtinId="8" hidden="1"/>
    <cellStyle name="Hyperlink" xfId="7467" builtinId="8" hidden="1"/>
    <cellStyle name="Hyperlink" xfId="7469" builtinId="8" hidden="1"/>
    <cellStyle name="Hyperlink" xfId="7471" builtinId="8" hidden="1"/>
    <cellStyle name="Hyperlink" xfId="7473" builtinId="8" hidden="1"/>
    <cellStyle name="Hyperlink" xfId="7475" builtinId="8" hidden="1"/>
    <cellStyle name="Hyperlink" xfId="7477" builtinId="8" hidden="1"/>
    <cellStyle name="Hyperlink" xfId="7479" builtinId="8" hidden="1"/>
    <cellStyle name="Hyperlink" xfId="7481" builtinId="8" hidden="1"/>
    <cellStyle name="Hyperlink" xfId="7483" builtinId="8" hidden="1"/>
    <cellStyle name="Hyperlink" xfId="7485" builtinId="8" hidden="1"/>
    <cellStyle name="Hyperlink" xfId="7487" builtinId="8" hidden="1"/>
    <cellStyle name="Hyperlink" xfId="7489" builtinId="8" hidden="1"/>
    <cellStyle name="Hyperlink" xfId="7491" builtinId="8" hidden="1"/>
    <cellStyle name="Hyperlink" xfId="7493" builtinId="8" hidden="1"/>
    <cellStyle name="Hyperlink" xfId="7495" builtinId="8" hidden="1"/>
    <cellStyle name="Hyperlink" xfId="7497" builtinId="8" hidden="1"/>
    <cellStyle name="Hyperlink" xfId="7499" builtinId="8" hidden="1"/>
    <cellStyle name="Hyperlink" xfId="7501" builtinId="8" hidden="1"/>
    <cellStyle name="Hyperlink" xfId="7503" builtinId="8" hidden="1"/>
    <cellStyle name="Hyperlink" xfId="7505" builtinId="8" hidden="1"/>
    <cellStyle name="Hyperlink" xfId="7507" builtinId="8" hidden="1"/>
    <cellStyle name="Hyperlink" xfId="7509" builtinId="8" hidden="1"/>
    <cellStyle name="Hyperlink" xfId="7511" builtinId="8" hidden="1"/>
    <cellStyle name="Hyperlink" xfId="7513" builtinId="8" hidden="1"/>
    <cellStyle name="Hyperlink" xfId="7515" builtinId="8" hidden="1"/>
    <cellStyle name="Hyperlink" xfId="7517" builtinId="8" hidden="1"/>
    <cellStyle name="Hyperlink" xfId="7519" builtinId="8" hidden="1"/>
    <cellStyle name="Hyperlink" xfId="7521" builtinId="8" hidden="1"/>
    <cellStyle name="Hyperlink" xfId="7523" builtinId="8" hidden="1"/>
    <cellStyle name="Hyperlink" xfId="7525" builtinId="8" hidden="1"/>
    <cellStyle name="Hyperlink" xfId="7527" builtinId="8" hidden="1"/>
    <cellStyle name="Hyperlink" xfId="7529" builtinId="8" hidden="1"/>
    <cellStyle name="Hyperlink" xfId="7531" builtinId="8" hidden="1"/>
    <cellStyle name="Hyperlink" xfId="7533" builtinId="8" hidden="1"/>
    <cellStyle name="Hyperlink" xfId="7535" builtinId="8" hidden="1"/>
    <cellStyle name="Hyperlink" xfId="7537" builtinId="8" hidden="1"/>
    <cellStyle name="Hyperlink" xfId="7539" builtinId="8" hidden="1"/>
    <cellStyle name="Hyperlink" xfId="7541" builtinId="8" hidden="1"/>
    <cellStyle name="Hyperlink" xfId="7543" builtinId="8" hidden="1"/>
    <cellStyle name="Hyperlink" xfId="7545" builtinId="8" hidden="1"/>
    <cellStyle name="Hyperlink" xfId="7547" builtinId="8" hidden="1"/>
    <cellStyle name="Hyperlink" xfId="7549" builtinId="8" hidden="1"/>
    <cellStyle name="Hyperlink" xfId="7551" builtinId="8" hidden="1"/>
    <cellStyle name="Hyperlink" xfId="7553" builtinId="8" hidden="1"/>
    <cellStyle name="Hyperlink" xfId="7555" builtinId="8" hidden="1"/>
    <cellStyle name="Hyperlink" xfId="7557" builtinId="8" hidden="1"/>
    <cellStyle name="Hyperlink" xfId="7559" builtinId="8" hidden="1"/>
    <cellStyle name="Hyperlink" xfId="7561" builtinId="8" hidden="1"/>
    <cellStyle name="Hyperlink" xfId="7563" builtinId="8" hidden="1"/>
    <cellStyle name="Hyperlink" xfId="7565" builtinId="8" hidden="1"/>
    <cellStyle name="Hyperlink" xfId="7567" builtinId="8" hidden="1"/>
    <cellStyle name="Hyperlink" xfId="7569" builtinId="8" hidden="1"/>
    <cellStyle name="Hyperlink" xfId="7571" builtinId="8" hidden="1"/>
    <cellStyle name="Hyperlink" xfId="7573" builtinId="8" hidden="1"/>
    <cellStyle name="Hyperlink" xfId="7575" builtinId="8" hidden="1"/>
    <cellStyle name="Hyperlink" xfId="7577" builtinId="8" hidden="1"/>
    <cellStyle name="Hyperlink" xfId="7579" builtinId="8" hidden="1"/>
    <cellStyle name="Hyperlink" xfId="7581" builtinId="8" hidden="1"/>
    <cellStyle name="Hyperlink" xfId="7583" builtinId="8" hidden="1"/>
    <cellStyle name="Hyperlink" xfId="7585" builtinId="8" hidden="1"/>
    <cellStyle name="Hyperlink" xfId="7587" builtinId="8" hidden="1"/>
    <cellStyle name="Hyperlink" xfId="7589" builtinId="8" hidden="1"/>
    <cellStyle name="Hyperlink" xfId="7591" builtinId="8" hidden="1"/>
    <cellStyle name="Hyperlink" xfId="7593" builtinId="8" hidden="1"/>
    <cellStyle name="Hyperlink" xfId="7595" builtinId="8" hidden="1"/>
    <cellStyle name="Hyperlink" xfId="7597" builtinId="8" hidden="1"/>
    <cellStyle name="Hyperlink" xfId="7599" builtinId="8" hidden="1"/>
    <cellStyle name="Hyperlink" xfId="7601" builtinId="8" hidden="1"/>
    <cellStyle name="Hyperlink" xfId="7603" builtinId="8" hidden="1"/>
    <cellStyle name="Hyperlink" xfId="7605" builtinId="8" hidden="1"/>
    <cellStyle name="Hyperlink" xfId="7607" builtinId="8" hidden="1"/>
    <cellStyle name="Hyperlink" xfId="7609" builtinId="8" hidden="1"/>
    <cellStyle name="Hyperlink" xfId="7611" builtinId="8" hidden="1"/>
    <cellStyle name="Hyperlink" xfId="7613" builtinId="8" hidden="1"/>
    <cellStyle name="Hyperlink" xfId="7615" builtinId="8" hidden="1"/>
    <cellStyle name="Hyperlink" xfId="7617" builtinId="8" hidden="1"/>
    <cellStyle name="Hyperlink" xfId="7619" builtinId="8" hidden="1"/>
    <cellStyle name="Hyperlink" xfId="7621" builtinId="8" hidden="1"/>
    <cellStyle name="Hyperlink" xfId="7623" builtinId="8" hidden="1"/>
    <cellStyle name="Hyperlink" xfId="7625" builtinId="8" hidden="1"/>
    <cellStyle name="Hyperlink" xfId="7627" builtinId="8" hidden="1"/>
    <cellStyle name="Hyperlink" xfId="7629" builtinId="8" hidden="1"/>
    <cellStyle name="Hyperlink" xfId="7631" builtinId="8" hidden="1"/>
    <cellStyle name="Hyperlink" xfId="7633" builtinId="8" hidden="1"/>
    <cellStyle name="Hyperlink" xfId="7635" builtinId="8" hidden="1"/>
    <cellStyle name="Hyperlink" xfId="7637" builtinId="8" hidden="1"/>
    <cellStyle name="Hyperlink" xfId="7639" builtinId="8" hidden="1"/>
    <cellStyle name="Hyperlink" xfId="7641" builtinId="8" hidden="1"/>
    <cellStyle name="Hyperlink" xfId="7643" builtinId="8" hidden="1"/>
    <cellStyle name="Hyperlink" xfId="7645" builtinId="8" hidden="1"/>
    <cellStyle name="Hyperlink" xfId="7647" builtinId="8" hidden="1"/>
    <cellStyle name="Hyperlink" xfId="7649" builtinId="8" hidden="1"/>
    <cellStyle name="Hyperlink" xfId="7651" builtinId="8" hidden="1"/>
    <cellStyle name="Hyperlink" xfId="7653" builtinId="8" hidden="1"/>
    <cellStyle name="Hyperlink" xfId="7655" builtinId="8" hidden="1"/>
    <cellStyle name="Hyperlink" xfId="7657" builtinId="8" hidden="1"/>
    <cellStyle name="Hyperlink" xfId="7659" builtinId="8" hidden="1"/>
    <cellStyle name="Hyperlink" xfId="7661" builtinId="8" hidden="1"/>
    <cellStyle name="Hyperlink" xfId="7663" builtinId="8" hidden="1"/>
    <cellStyle name="Hyperlink" xfId="7665" builtinId="8" hidden="1"/>
    <cellStyle name="Hyperlink" xfId="7667" builtinId="8" hidden="1"/>
    <cellStyle name="Hyperlink" xfId="7669" builtinId="8" hidden="1"/>
    <cellStyle name="Hyperlink" xfId="7671" builtinId="8" hidden="1"/>
    <cellStyle name="Hyperlink" xfId="7673" builtinId="8" hidden="1"/>
    <cellStyle name="Hyperlink" xfId="7675" builtinId="8" hidden="1"/>
    <cellStyle name="Hyperlink" xfId="7677" builtinId="8" hidden="1"/>
    <cellStyle name="Hyperlink" xfId="7679" builtinId="8" hidden="1"/>
    <cellStyle name="Hyperlink" xfId="7681" builtinId="8" hidden="1"/>
    <cellStyle name="Hyperlink" xfId="7683" builtinId="8" hidden="1"/>
    <cellStyle name="Hyperlink" xfId="7685" builtinId="8" hidden="1"/>
    <cellStyle name="Hyperlink" xfId="7687" builtinId="8" hidden="1"/>
    <cellStyle name="Hyperlink" xfId="7689" builtinId="8" hidden="1"/>
    <cellStyle name="Hyperlink" xfId="7691" builtinId="8" hidden="1"/>
    <cellStyle name="Hyperlink" xfId="7693" builtinId="8" hidden="1"/>
    <cellStyle name="Hyperlink" xfId="7695" builtinId="8" hidden="1"/>
    <cellStyle name="Hyperlink" xfId="7697" builtinId="8" hidden="1"/>
    <cellStyle name="Hyperlink" xfId="7699" builtinId="8" hidden="1"/>
    <cellStyle name="Hyperlink" xfId="7701" builtinId="8" hidden="1"/>
    <cellStyle name="Hyperlink" xfId="7703" builtinId="8" hidden="1"/>
    <cellStyle name="Hyperlink" xfId="7705" builtinId="8" hidden="1"/>
    <cellStyle name="Hyperlink" xfId="7707" builtinId="8" hidden="1"/>
    <cellStyle name="Hyperlink" xfId="7709" builtinId="8" hidden="1"/>
    <cellStyle name="Hyperlink" xfId="7711" builtinId="8" hidden="1"/>
    <cellStyle name="Hyperlink" xfId="7713" builtinId="8" hidden="1"/>
    <cellStyle name="Hyperlink" xfId="7715" builtinId="8" hidden="1"/>
    <cellStyle name="Hyperlink" xfId="7717" builtinId="8" hidden="1"/>
    <cellStyle name="Hyperlink" xfId="7719" builtinId="8" hidden="1"/>
    <cellStyle name="Hyperlink" xfId="7721" builtinId="8" hidden="1"/>
    <cellStyle name="Hyperlink" xfId="7723" builtinId="8" hidden="1"/>
    <cellStyle name="Hyperlink" xfId="7725" builtinId="8" hidden="1"/>
    <cellStyle name="Hyperlink" xfId="7727" builtinId="8" hidden="1"/>
    <cellStyle name="Hyperlink" xfId="7729" builtinId="8" hidden="1"/>
    <cellStyle name="Hyperlink" xfId="7731" builtinId="8" hidden="1"/>
    <cellStyle name="Hyperlink" xfId="7733" builtinId="8" hidden="1"/>
    <cellStyle name="Hyperlink" xfId="7735" builtinId="8" hidden="1"/>
    <cellStyle name="Hyperlink" xfId="7737" builtinId="8" hidden="1"/>
    <cellStyle name="Hyperlink" xfId="7739" builtinId="8" hidden="1"/>
    <cellStyle name="Hyperlink" xfId="7741" builtinId="8" hidden="1"/>
    <cellStyle name="Hyperlink" xfId="7743" builtinId="8" hidden="1"/>
    <cellStyle name="Hyperlink" xfId="7745" builtinId="8" hidden="1"/>
    <cellStyle name="Hyperlink" xfId="7747" builtinId="8" hidden="1"/>
    <cellStyle name="Hyperlink" xfId="7749" builtinId="8" hidden="1"/>
    <cellStyle name="Hyperlink" xfId="7751" builtinId="8" hidden="1"/>
    <cellStyle name="Hyperlink" xfId="7753" builtinId="8" hidden="1"/>
    <cellStyle name="Hyperlink" xfId="7755" builtinId="8" hidden="1"/>
    <cellStyle name="Hyperlink" xfId="7757" builtinId="8" hidden="1"/>
    <cellStyle name="Hyperlink" xfId="7759" builtinId="8" hidden="1"/>
    <cellStyle name="Hyperlink" xfId="7761" builtinId="8" hidden="1"/>
    <cellStyle name="Hyperlink" xfId="7763" builtinId="8" hidden="1"/>
    <cellStyle name="Hyperlink" xfId="7765" builtinId="8" hidden="1"/>
    <cellStyle name="Hyperlink" xfId="7767" builtinId="8" hidden="1"/>
    <cellStyle name="Hyperlink" xfId="7769" builtinId="8" hidden="1"/>
    <cellStyle name="Hyperlink" xfId="7771" builtinId="8" hidden="1"/>
    <cellStyle name="Hyperlink" xfId="7773" builtinId="8" hidden="1"/>
    <cellStyle name="Hyperlink" xfId="7775" builtinId="8" hidden="1"/>
    <cellStyle name="Hyperlink" xfId="7777" builtinId="8" hidden="1"/>
    <cellStyle name="Hyperlink" xfId="7779" builtinId="8" hidden="1"/>
    <cellStyle name="Hyperlink" xfId="7781" builtinId="8" hidden="1"/>
    <cellStyle name="Hyperlink" xfId="7783" builtinId="8" hidden="1"/>
    <cellStyle name="Hyperlink" xfId="7785" builtinId="8" hidden="1"/>
    <cellStyle name="Hyperlink" xfId="7787" builtinId="8" hidden="1"/>
    <cellStyle name="Hyperlink" xfId="7789" builtinId="8" hidden="1"/>
    <cellStyle name="Hyperlink" xfId="7791" builtinId="8" hidden="1"/>
    <cellStyle name="Hyperlink" xfId="7793" builtinId="8" hidden="1"/>
    <cellStyle name="Hyperlink" xfId="7795" builtinId="8" hidden="1"/>
    <cellStyle name="Hyperlink" xfId="7797" builtinId="8" hidden="1"/>
    <cellStyle name="Hyperlink" xfId="7799" builtinId="8" hidden="1"/>
    <cellStyle name="Hyperlink" xfId="7801" builtinId="8" hidden="1"/>
    <cellStyle name="Hyperlink" xfId="7803" builtinId="8" hidden="1"/>
    <cellStyle name="Hyperlink" xfId="7805" builtinId="8" hidden="1"/>
    <cellStyle name="Hyperlink" xfId="7807" builtinId="8" hidden="1"/>
    <cellStyle name="Hyperlink" xfId="7809" builtinId="8" hidden="1"/>
    <cellStyle name="Hyperlink" xfId="7811" builtinId="8" hidden="1"/>
    <cellStyle name="Hyperlink" xfId="7813" builtinId="8" hidden="1"/>
    <cellStyle name="Hyperlink" xfId="7815" builtinId="8" hidden="1"/>
    <cellStyle name="Hyperlink" xfId="7817" builtinId="8" hidden="1"/>
    <cellStyle name="Hyperlink" xfId="7819" builtinId="8" hidden="1"/>
    <cellStyle name="Hyperlink" xfId="7821" builtinId="8" hidden="1"/>
    <cellStyle name="Hyperlink" xfId="7823" builtinId="8" hidden="1"/>
    <cellStyle name="Hyperlink" xfId="7825" builtinId="8" hidden="1"/>
    <cellStyle name="Hyperlink" xfId="7827" builtinId="8" hidden="1"/>
    <cellStyle name="Hyperlink" xfId="7829" builtinId="8" hidden="1"/>
    <cellStyle name="Hyperlink" xfId="7831" builtinId="8" hidden="1"/>
    <cellStyle name="Hyperlink" xfId="7833" builtinId="8" hidden="1"/>
    <cellStyle name="Hyperlink" xfId="7835" builtinId="8" hidden="1"/>
    <cellStyle name="Hyperlink" xfId="7837" builtinId="8" hidden="1"/>
    <cellStyle name="Hyperlink" xfId="7839" builtinId="8" hidden="1"/>
    <cellStyle name="Hyperlink" xfId="7841" builtinId="8" hidden="1"/>
    <cellStyle name="Hyperlink" xfId="7843" builtinId="8" hidden="1"/>
    <cellStyle name="Hyperlink" xfId="7845" builtinId="8" hidden="1"/>
    <cellStyle name="Hyperlink" xfId="7847" builtinId="8" hidden="1"/>
    <cellStyle name="Hyperlink" xfId="7849" builtinId="8" hidden="1"/>
    <cellStyle name="Hyperlink" xfId="7851" builtinId="8" hidden="1"/>
    <cellStyle name="Hyperlink" xfId="7853" builtinId="8" hidden="1"/>
    <cellStyle name="Hyperlink" xfId="7855" builtinId="8" hidden="1"/>
    <cellStyle name="Hyperlink" xfId="7857" builtinId="8" hidden="1"/>
    <cellStyle name="Hyperlink" xfId="7859" builtinId="8" hidden="1"/>
    <cellStyle name="Hyperlink" xfId="7861" builtinId="8" hidden="1"/>
    <cellStyle name="Hyperlink" xfId="7863" builtinId="8" hidden="1"/>
    <cellStyle name="Hyperlink" xfId="7865" builtinId="8" hidden="1"/>
    <cellStyle name="Hyperlink" xfId="7867" builtinId="8" hidden="1"/>
    <cellStyle name="Hyperlink" xfId="7869" builtinId="8" hidden="1"/>
    <cellStyle name="Hyperlink" xfId="7871" builtinId="8" hidden="1"/>
    <cellStyle name="Hyperlink" xfId="7873" builtinId="8" hidden="1"/>
    <cellStyle name="Hyperlink" xfId="7875" builtinId="8" hidden="1"/>
    <cellStyle name="Hyperlink" xfId="7877" builtinId="8" hidden="1"/>
    <cellStyle name="Hyperlink" xfId="7879" builtinId="8" hidden="1"/>
    <cellStyle name="Hyperlink" xfId="7881" builtinId="8" hidden="1"/>
    <cellStyle name="Hyperlink" xfId="7883" builtinId="8" hidden="1"/>
    <cellStyle name="Hyperlink" xfId="7885" builtinId="8" hidden="1"/>
    <cellStyle name="Hyperlink" xfId="7887" builtinId="8" hidden="1"/>
    <cellStyle name="Hyperlink" xfId="7889" builtinId="8" hidden="1"/>
    <cellStyle name="Hyperlink" xfId="7891" builtinId="8" hidden="1"/>
    <cellStyle name="Hyperlink" xfId="7893" builtinId="8" hidden="1"/>
    <cellStyle name="Hyperlink" xfId="7895" builtinId="8" hidden="1"/>
    <cellStyle name="Hyperlink" xfId="7897" builtinId="8" hidden="1"/>
    <cellStyle name="Hyperlink" xfId="7899" builtinId="8" hidden="1"/>
    <cellStyle name="Hyperlink" xfId="7901" builtinId="8" hidden="1"/>
    <cellStyle name="Hyperlink" xfId="7903" builtinId="8" hidden="1"/>
    <cellStyle name="Hyperlink" xfId="7905" builtinId="8" hidden="1"/>
    <cellStyle name="Hyperlink" xfId="7907" builtinId="8" hidden="1"/>
    <cellStyle name="Hyperlink" xfId="7909" builtinId="8" hidden="1"/>
    <cellStyle name="Hyperlink" xfId="7911" builtinId="8" hidden="1"/>
    <cellStyle name="Hyperlink" xfId="7913" builtinId="8" hidden="1"/>
    <cellStyle name="Hyperlink" xfId="7915" builtinId="8" hidden="1"/>
    <cellStyle name="Hyperlink" xfId="7917" builtinId="8" hidden="1"/>
    <cellStyle name="Hyperlink" xfId="7919" builtinId="8" hidden="1"/>
    <cellStyle name="Hyperlink" xfId="7921" builtinId="8" hidden="1"/>
    <cellStyle name="Hyperlink" xfId="7923" builtinId="8" hidden="1"/>
    <cellStyle name="Hyperlink" xfId="7925" builtinId="8" hidden="1"/>
    <cellStyle name="Hyperlink" xfId="7927" builtinId="8" hidden="1"/>
    <cellStyle name="Hyperlink" xfId="7929" builtinId="8" hidden="1"/>
    <cellStyle name="Hyperlink" xfId="7931" builtinId="8" hidden="1"/>
    <cellStyle name="Hyperlink" xfId="7933" builtinId="8" hidden="1"/>
    <cellStyle name="Hyperlink" xfId="7935" builtinId="8" hidden="1"/>
    <cellStyle name="Hyperlink" xfId="7937" builtinId="8" hidden="1"/>
    <cellStyle name="Hyperlink" xfId="7939" builtinId="8" hidden="1"/>
    <cellStyle name="Hyperlink" xfId="7941" builtinId="8" hidden="1"/>
    <cellStyle name="Hyperlink" xfId="7943" builtinId="8" hidden="1"/>
    <cellStyle name="Hyperlink" xfId="7945" builtinId="8" hidden="1"/>
    <cellStyle name="Hyperlink" xfId="7947" builtinId="8" hidden="1"/>
    <cellStyle name="Hyperlink" xfId="7949" builtinId="8" hidden="1"/>
    <cellStyle name="Hyperlink" xfId="7951" builtinId="8" hidden="1"/>
    <cellStyle name="Hyperlink" xfId="7953" builtinId="8" hidden="1"/>
    <cellStyle name="Hyperlink" xfId="7955" builtinId="8" hidden="1"/>
    <cellStyle name="Hyperlink" xfId="7957" builtinId="8" hidden="1"/>
    <cellStyle name="Hyperlink" xfId="7959" builtinId="8" hidden="1"/>
    <cellStyle name="Hyperlink" xfId="7961" builtinId="8" hidden="1"/>
    <cellStyle name="Hyperlink" xfId="7963" builtinId="8" hidden="1"/>
    <cellStyle name="Hyperlink" xfId="7965" builtinId="8" hidden="1"/>
    <cellStyle name="Hyperlink" xfId="7967" builtinId="8" hidden="1"/>
    <cellStyle name="Hyperlink" xfId="7969" builtinId="8" hidden="1"/>
    <cellStyle name="Hyperlink" xfId="7971" builtinId="8" hidden="1"/>
    <cellStyle name="Hyperlink" xfId="7973" builtinId="8" hidden="1"/>
    <cellStyle name="Hyperlink" xfId="7975" builtinId="8" hidden="1"/>
    <cellStyle name="Hyperlink" xfId="7977" builtinId="8" hidden="1"/>
    <cellStyle name="Hyperlink" xfId="7979" builtinId="8" hidden="1"/>
    <cellStyle name="Hyperlink" xfId="7981" builtinId="8" hidden="1"/>
    <cellStyle name="Hyperlink" xfId="7983" builtinId="8" hidden="1"/>
    <cellStyle name="Hyperlink" xfId="7985" builtinId="8" hidden="1"/>
    <cellStyle name="Hyperlink" xfId="7987" builtinId="8" hidden="1"/>
    <cellStyle name="Hyperlink" xfId="7989" builtinId="8" hidden="1"/>
    <cellStyle name="Hyperlink" xfId="7991" builtinId="8" hidden="1"/>
    <cellStyle name="Hyperlink" xfId="7993" builtinId="8" hidden="1"/>
    <cellStyle name="Hyperlink" xfId="7995" builtinId="8" hidden="1"/>
    <cellStyle name="Hyperlink" xfId="7997" builtinId="8" hidden="1"/>
    <cellStyle name="Hyperlink" xfId="7999" builtinId="8" hidden="1"/>
    <cellStyle name="Hyperlink" xfId="8001" builtinId="8" hidden="1"/>
    <cellStyle name="Hyperlink" xfId="8003" builtinId="8" hidden="1"/>
    <cellStyle name="Hyperlink" xfId="8005" builtinId="8" hidden="1"/>
    <cellStyle name="Hyperlink" xfId="8007" builtinId="8" hidden="1"/>
    <cellStyle name="Hyperlink" xfId="8009" builtinId="8" hidden="1"/>
    <cellStyle name="Hyperlink" xfId="8011" builtinId="8" hidden="1"/>
    <cellStyle name="Hyperlink" xfId="8013" builtinId="8" hidden="1"/>
    <cellStyle name="Hyperlink" xfId="8015" builtinId="8" hidden="1"/>
    <cellStyle name="Hyperlink" xfId="8017" builtinId="8" hidden="1"/>
    <cellStyle name="Hyperlink" xfId="8019" builtinId="8" hidden="1"/>
    <cellStyle name="Hyperlink" xfId="8021" builtinId="8" hidden="1"/>
    <cellStyle name="Hyperlink" xfId="8023" builtinId="8" hidden="1"/>
    <cellStyle name="Hyperlink" xfId="8025" builtinId="8" hidden="1"/>
    <cellStyle name="Hyperlink" xfId="8027" builtinId="8" hidden="1"/>
    <cellStyle name="Hyperlink" xfId="8029" builtinId="8" hidden="1"/>
    <cellStyle name="Hyperlink" xfId="8031" builtinId="8" hidden="1"/>
    <cellStyle name="Hyperlink" xfId="8033" builtinId="8" hidden="1"/>
    <cellStyle name="Hyperlink" xfId="8035" builtinId="8" hidden="1"/>
    <cellStyle name="Hyperlink" xfId="8037" builtinId="8" hidden="1"/>
    <cellStyle name="Hyperlink" xfId="8039" builtinId="8" hidden="1"/>
    <cellStyle name="Hyperlink" xfId="8041" builtinId="8" hidden="1"/>
    <cellStyle name="Hyperlink" xfId="8043" builtinId="8" hidden="1"/>
    <cellStyle name="Hyperlink" xfId="8045" builtinId="8" hidden="1"/>
    <cellStyle name="Hyperlink" xfId="8047" builtinId="8" hidden="1"/>
    <cellStyle name="Hyperlink" xfId="8049" builtinId="8" hidden="1"/>
    <cellStyle name="Hyperlink" xfId="8051" builtinId="8" hidden="1"/>
    <cellStyle name="Hyperlink" xfId="8053" builtinId="8" hidden="1"/>
    <cellStyle name="Hyperlink" xfId="8055" builtinId="8" hidden="1"/>
    <cellStyle name="Hyperlink" xfId="8057" builtinId="8" hidden="1"/>
    <cellStyle name="Hyperlink" xfId="8059" builtinId="8" hidden="1"/>
    <cellStyle name="Hyperlink" xfId="8061" builtinId="8" hidden="1"/>
    <cellStyle name="Hyperlink" xfId="8063" builtinId="8" hidden="1"/>
    <cellStyle name="Hyperlink" xfId="8065" builtinId="8" hidden="1"/>
    <cellStyle name="Hyperlink" xfId="8067" builtinId="8" hidden="1"/>
    <cellStyle name="Hyperlink" xfId="8069" builtinId="8" hidden="1"/>
    <cellStyle name="Hyperlink" xfId="8071" builtinId="8" hidden="1"/>
    <cellStyle name="Hyperlink" xfId="8073" builtinId="8" hidden="1"/>
    <cellStyle name="Hyperlink" xfId="8075" builtinId="8" hidden="1"/>
    <cellStyle name="Hyperlink" xfId="8077" builtinId="8" hidden="1"/>
    <cellStyle name="Hyperlink" xfId="8079" builtinId="8" hidden="1"/>
    <cellStyle name="Hyperlink" xfId="8081" builtinId="8" hidden="1"/>
    <cellStyle name="Hyperlink" xfId="8083" builtinId="8" hidden="1"/>
    <cellStyle name="Hyperlink" xfId="8085" builtinId="8" hidden="1"/>
    <cellStyle name="Hyperlink" xfId="8087" builtinId="8" hidden="1"/>
    <cellStyle name="Hyperlink" xfId="8089" builtinId="8" hidden="1"/>
    <cellStyle name="Hyperlink" xfId="8091" builtinId="8" hidden="1"/>
    <cellStyle name="Hyperlink" xfId="8093" builtinId="8" hidden="1"/>
    <cellStyle name="Hyperlink" xfId="8095" builtinId="8" hidden="1"/>
    <cellStyle name="Hyperlink" xfId="8097" builtinId="8" hidden="1"/>
    <cellStyle name="Hyperlink" xfId="8099" builtinId="8" hidden="1"/>
    <cellStyle name="Hyperlink" xfId="8101" builtinId="8" hidden="1"/>
    <cellStyle name="Hyperlink" xfId="8103" builtinId="8" hidden="1"/>
    <cellStyle name="Hyperlink" xfId="8105" builtinId="8" hidden="1"/>
    <cellStyle name="Hyperlink" xfId="8107" builtinId="8" hidden="1"/>
    <cellStyle name="Hyperlink" xfId="8109" builtinId="8" hidden="1"/>
    <cellStyle name="Hyperlink" xfId="8111" builtinId="8" hidden="1"/>
    <cellStyle name="Hyperlink" xfId="8113" builtinId="8" hidden="1"/>
    <cellStyle name="Hyperlink" xfId="8115" builtinId="8" hidden="1"/>
    <cellStyle name="Hyperlink" xfId="8117" builtinId="8" hidden="1"/>
    <cellStyle name="Hyperlink" xfId="8119" builtinId="8" hidden="1"/>
    <cellStyle name="Hyperlink" xfId="8121" builtinId="8" hidden="1"/>
    <cellStyle name="Hyperlink" xfId="8123" builtinId="8" hidden="1"/>
    <cellStyle name="Hyperlink" xfId="8125" builtinId="8" hidden="1"/>
    <cellStyle name="Hyperlink" xfId="8127" builtinId="8" hidden="1"/>
    <cellStyle name="Hyperlink" xfId="8129" builtinId="8" hidden="1"/>
    <cellStyle name="Hyperlink" xfId="8131" builtinId="8" hidden="1"/>
    <cellStyle name="Hyperlink" xfId="8133" builtinId="8" hidden="1"/>
    <cellStyle name="Hyperlink" xfId="8135" builtinId="8" hidden="1"/>
    <cellStyle name="Hyperlink" xfId="8137" builtinId="8" hidden="1"/>
    <cellStyle name="Hyperlink" xfId="8139" builtinId="8" hidden="1"/>
    <cellStyle name="Hyperlink" xfId="8141" builtinId="8" hidden="1"/>
    <cellStyle name="Hyperlink" xfId="8143" builtinId="8" hidden="1"/>
    <cellStyle name="Hyperlink" xfId="8145" builtinId="8" hidden="1"/>
    <cellStyle name="Hyperlink" xfId="8147" builtinId="8" hidden="1"/>
    <cellStyle name="Hyperlink" xfId="8149" builtinId="8" hidden="1"/>
    <cellStyle name="Hyperlink" xfId="8151" builtinId="8" hidden="1"/>
    <cellStyle name="Hyperlink" xfId="8153" builtinId="8" hidden="1"/>
    <cellStyle name="Hyperlink" xfId="8155" builtinId="8" hidden="1"/>
    <cellStyle name="Hyperlink" xfId="8157" builtinId="8" hidden="1"/>
    <cellStyle name="Hyperlink" xfId="8159" builtinId="8" hidden="1"/>
    <cellStyle name="Hyperlink" xfId="8161" builtinId="8" hidden="1"/>
    <cellStyle name="Hyperlink" xfId="8163" builtinId="8" hidden="1"/>
    <cellStyle name="Hyperlink" xfId="8165" builtinId="8" hidden="1"/>
    <cellStyle name="Hyperlink" xfId="8167" builtinId="8" hidden="1"/>
    <cellStyle name="Hyperlink" xfId="8169" builtinId="8" hidden="1"/>
    <cellStyle name="Hyperlink" xfId="8171" builtinId="8" hidden="1"/>
    <cellStyle name="Hyperlink" xfId="8173" builtinId="8" hidden="1"/>
    <cellStyle name="Hyperlink" xfId="8175" builtinId="8" hidden="1"/>
    <cellStyle name="Hyperlink" xfId="8177" builtinId="8" hidden="1"/>
    <cellStyle name="Hyperlink" xfId="8179" builtinId="8" hidden="1"/>
    <cellStyle name="Hyperlink" xfId="8181" builtinId="8" hidden="1"/>
    <cellStyle name="Hyperlink" xfId="8183" builtinId="8" hidden="1"/>
    <cellStyle name="Hyperlink" xfId="8185" builtinId="8" hidden="1"/>
    <cellStyle name="Hyperlink" xfId="8187" builtinId="8" hidden="1"/>
    <cellStyle name="Hyperlink" xfId="8189" builtinId="8" hidden="1"/>
    <cellStyle name="Hyperlink" xfId="8191" builtinId="8" hidden="1"/>
    <cellStyle name="Hyperlink" xfId="8193" builtinId="8" hidden="1"/>
    <cellStyle name="Hyperlink" xfId="8195" builtinId="8" hidden="1"/>
    <cellStyle name="Hyperlink" xfId="8197" builtinId="8" hidden="1"/>
    <cellStyle name="Hyperlink" xfId="8199" builtinId="8" hidden="1"/>
    <cellStyle name="Hyperlink" xfId="8201" builtinId="8" hidden="1"/>
    <cellStyle name="Hyperlink" xfId="8203" builtinId="8" hidden="1"/>
    <cellStyle name="Hyperlink" xfId="8205" builtinId="8" hidden="1"/>
    <cellStyle name="Hyperlink" xfId="8207" builtinId="8" hidden="1"/>
    <cellStyle name="Hyperlink" xfId="8209" builtinId="8" hidden="1"/>
    <cellStyle name="Hyperlink" xfId="8211" builtinId="8" hidden="1"/>
    <cellStyle name="Hyperlink" xfId="8213" builtinId="8" hidden="1"/>
    <cellStyle name="Hyperlink" xfId="8215" builtinId="8" hidden="1"/>
    <cellStyle name="Hyperlink" xfId="8217" builtinId="8" hidden="1"/>
    <cellStyle name="Hyperlink" xfId="8219" builtinId="8" hidden="1"/>
    <cellStyle name="Hyperlink" xfId="8221" builtinId="8" hidden="1"/>
    <cellStyle name="Hyperlink" xfId="8223" builtinId="8" hidden="1"/>
    <cellStyle name="Hyperlink" xfId="8225" builtinId="8" hidden="1"/>
    <cellStyle name="Hyperlink" xfId="8227" builtinId="8" hidden="1"/>
    <cellStyle name="Hyperlink" xfId="8229" builtinId="8" hidden="1"/>
    <cellStyle name="Hyperlink" xfId="8231" builtinId="8" hidden="1"/>
    <cellStyle name="Hyperlink" xfId="8233" builtinId="8" hidden="1"/>
    <cellStyle name="Hyperlink" xfId="8235" builtinId="8" hidden="1"/>
    <cellStyle name="Hyperlink" xfId="8237" builtinId="8" hidden="1"/>
    <cellStyle name="Hyperlink" xfId="8239" builtinId="8" hidden="1"/>
    <cellStyle name="Hyperlink" xfId="8241" builtinId="8" hidden="1"/>
    <cellStyle name="Hyperlink" xfId="8243" builtinId="8" hidden="1"/>
    <cellStyle name="Hyperlink" xfId="8245" builtinId="8" hidden="1"/>
    <cellStyle name="Hyperlink" xfId="8247" builtinId="8" hidden="1"/>
    <cellStyle name="Hyperlink" xfId="8249" builtinId="8" hidden="1"/>
    <cellStyle name="Hyperlink" xfId="8251" builtinId="8" hidden="1"/>
    <cellStyle name="Hyperlink" xfId="8253" builtinId="8" hidden="1"/>
    <cellStyle name="Hyperlink" xfId="8255" builtinId="8" hidden="1"/>
    <cellStyle name="Hyperlink" xfId="8257" builtinId="8" hidden="1"/>
    <cellStyle name="Hyperlink" xfId="8259" builtinId="8" hidden="1"/>
    <cellStyle name="Hyperlink" xfId="8261" builtinId="8" hidden="1"/>
    <cellStyle name="Hyperlink" xfId="8263" builtinId="8" hidden="1"/>
    <cellStyle name="Hyperlink" xfId="8265" builtinId="8" hidden="1"/>
    <cellStyle name="Hyperlink" xfId="8267" builtinId="8" hidden="1"/>
    <cellStyle name="Hyperlink" xfId="8269" builtinId="8" hidden="1"/>
    <cellStyle name="Hyperlink" xfId="8271" builtinId="8" hidden="1"/>
    <cellStyle name="Hyperlink" xfId="8273" builtinId="8" hidden="1"/>
    <cellStyle name="Hyperlink" xfId="8275" builtinId="8" hidden="1"/>
    <cellStyle name="Hyperlink" xfId="8277" builtinId="8" hidden="1"/>
    <cellStyle name="Hyperlink" xfId="8279" builtinId="8" hidden="1"/>
    <cellStyle name="Hyperlink" xfId="8281" builtinId="8" hidden="1"/>
    <cellStyle name="Hyperlink" xfId="8283" builtinId="8" hidden="1"/>
    <cellStyle name="Hyperlink" xfId="8285" builtinId="8" hidden="1"/>
    <cellStyle name="Hyperlink" xfId="8287" builtinId="8" hidden="1"/>
    <cellStyle name="Hyperlink" xfId="8289" builtinId="8" hidden="1"/>
    <cellStyle name="Hyperlink" xfId="8291" builtinId="8" hidden="1"/>
    <cellStyle name="Hyperlink" xfId="8293" builtinId="8" hidden="1"/>
    <cellStyle name="Hyperlink" xfId="8295" builtinId="8" hidden="1"/>
    <cellStyle name="Hyperlink" xfId="8297" builtinId="8" hidden="1"/>
    <cellStyle name="Hyperlink" xfId="8299" builtinId="8" hidden="1"/>
    <cellStyle name="Hyperlink" xfId="8301" builtinId="8" hidden="1"/>
    <cellStyle name="Hyperlink" xfId="8303" builtinId="8" hidden="1"/>
    <cellStyle name="Hyperlink" xfId="8305" builtinId="8" hidden="1"/>
    <cellStyle name="Hyperlink" xfId="8307" builtinId="8" hidden="1"/>
    <cellStyle name="Hyperlink" xfId="8309" builtinId="8" hidden="1"/>
    <cellStyle name="Hyperlink" xfId="8311" builtinId="8" hidden="1"/>
    <cellStyle name="Hyperlink" xfId="8313" builtinId="8" hidden="1"/>
    <cellStyle name="Hyperlink" xfId="8315" builtinId="8" hidden="1"/>
    <cellStyle name="Hyperlink" xfId="8317" builtinId="8" hidden="1"/>
    <cellStyle name="Hyperlink" xfId="8319" builtinId="8" hidden="1"/>
    <cellStyle name="Hyperlink" xfId="8321" builtinId="8" hidden="1"/>
    <cellStyle name="Hyperlink" xfId="8323" builtinId="8" hidden="1"/>
    <cellStyle name="Hyperlink" xfId="8325" builtinId="8" hidden="1"/>
    <cellStyle name="Hyperlink" xfId="8327" builtinId="8" hidden="1"/>
    <cellStyle name="Hyperlink" xfId="8329" builtinId="8" hidden="1"/>
    <cellStyle name="Hyperlink" xfId="8331" builtinId="8" hidden="1"/>
    <cellStyle name="Hyperlink" xfId="8333" builtinId="8" hidden="1"/>
    <cellStyle name="Hyperlink" xfId="8335" builtinId="8" hidden="1"/>
    <cellStyle name="Hyperlink" xfId="8337" builtinId="8" hidden="1"/>
    <cellStyle name="Hyperlink" xfId="8339" builtinId="8" hidden="1"/>
    <cellStyle name="Hyperlink" xfId="8341" builtinId="8" hidden="1"/>
    <cellStyle name="Hyperlink" xfId="8343" builtinId="8" hidden="1"/>
    <cellStyle name="Hyperlink" xfId="8345" builtinId="8" hidden="1"/>
    <cellStyle name="Hyperlink" xfId="8347" builtinId="8" hidden="1"/>
    <cellStyle name="Hyperlink" xfId="8349" builtinId="8" hidden="1"/>
    <cellStyle name="Hyperlink" xfId="8351" builtinId="8" hidden="1"/>
    <cellStyle name="Hyperlink" xfId="8353" builtinId="8" hidden="1"/>
    <cellStyle name="Hyperlink" xfId="8355" builtinId="8" hidden="1"/>
    <cellStyle name="Hyperlink" xfId="8357" builtinId="8" hidden="1"/>
    <cellStyle name="Hyperlink" xfId="8359" builtinId="8" hidden="1"/>
    <cellStyle name="Hyperlink" xfId="8361" builtinId="8" hidden="1"/>
    <cellStyle name="Hyperlink" xfId="8363" builtinId="8" hidden="1"/>
    <cellStyle name="Hyperlink" xfId="8365" builtinId="8" hidden="1"/>
    <cellStyle name="Hyperlink" xfId="8367" builtinId="8" hidden="1"/>
    <cellStyle name="Hyperlink" xfId="8369" builtinId="8" hidden="1"/>
    <cellStyle name="Hyperlink" xfId="8371" builtinId="8" hidden="1"/>
    <cellStyle name="Hyperlink" xfId="8373" builtinId="8" hidden="1"/>
    <cellStyle name="Hyperlink" xfId="8375" builtinId="8" hidden="1"/>
    <cellStyle name="Hyperlink" xfId="8377" builtinId="8" hidden="1"/>
    <cellStyle name="Hyperlink" xfId="8379" builtinId="8" hidden="1"/>
    <cellStyle name="Hyperlink" xfId="8381" builtinId="8" hidden="1"/>
    <cellStyle name="Hyperlink" xfId="8383" builtinId="8" hidden="1"/>
    <cellStyle name="Hyperlink" xfId="8385" builtinId="8" hidden="1"/>
    <cellStyle name="Hyperlink" xfId="8387" builtinId="8" hidden="1"/>
    <cellStyle name="Hyperlink" xfId="8389" builtinId="8" hidden="1"/>
    <cellStyle name="Hyperlink" xfId="8391" builtinId="8" hidden="1"/>
    <cellStyle name="Hyperlink" xfId="8393" builtinId="8" hidden="1"/>
    <cellStyle name="Hyperlink" xfId="8395" builtinId="8" hidden="1"/>
    <cellStyle name="Hyperlink" xfId="8397" builtinId="8" hidden="1"/>
    <cellStyle name="Hyperlink" xfId="8399" builtinId="8" hidden="1"/>
    <cellStyle name="Hyperlink" xfId="8401" builtinId="8" hidden="1"/>
    <cellStyle name="Hyperlink" xfId="8403" builtinId="8" hidden="1"/>
    <cellStyle name="Hyperlink" xfId="8405" builtinId="8" hidden="1"/>
    <cellStyle name="Hyperlink" xfId="8407" builtinId="8" hidden="1"/>
    <cellStyle name="Hyperlink" xfId="8409" builtinId="8" hidden="1"/>
    <cellStyle name="Hyperlink" xfId="8411" builtinId="8" hidden="1"/>
    <cellStyle name="Hyperlink" xfId="8413" builtinId="8" hidden="1"/>
    <cellStyle name="Hyperlink" xfId="8415" builtinId="8" hidden="1"/>
    <cellStyle name="Hyperlink" xfId="8417" builtinId="8" hidden="1"/>
    <cellStyle name="Hyperlink" xfId="8419" builtinId="8" hidden="1"/>
    <cellStyle name="Hyperlink" xfId="8421" builtinId="8" hidden="1"/>
    <cellStyle name="Hyperlink" xfId="8423" builtinId="8" hidden="1"/>
    <cellStyle name="Hyperlink" xfId="8425" builtinId="8" hidden="1"/>
    <cellStyle name="Hyperlink" xfId="8427" builtinId="8" hidden="1"/>
    <cellStyle name="Hyperlink" xfId="8429" builtinId="8" hidden="1"/>
    <cellStyle name="Hyperlink" xfId="8431" builtinId="8" hidden="1"/>
    <cellStyle name="Hyperlink" xfId="8433" builtinId="8" hidden="1"/>
    <cellStyle name="Hyperlink" xfId="8435" builtinId="8" hidden="1"/>
    <cellStyle name="Hyperlink" xfId="8437" builtinId="8" hidden="1"/>
    <cellStyle name="Hyperlink" xfId="8439" builtinId="8" hidden="1"/>
    <cellStyle name="Hyperlink" xfId="8441" builtinId="8" hidden="1"/>
    <cellStyle name="Hyperlink" xfId="8443" builtinId="8" hidden="1"/>
    <cellStyle name="Hyperlink" xfId="8445" builtinId="8" hidden="1"/>
    <cellStyle name="Hyperlink" xfId="8447" builtinId="8" hidden="1"/>
    <cellStyle name="Hyperlink" xfId="8449" builtinId="8" hidden="1"/>
    <cellStyle name="Hyperlink" xfId="8451" builtinId="8" hidden="1"/>
    <cellStyle name="Hyperlink" xfId="8453" builtinId="8" hidden="1"/>
    <cellStyle name="Hyperlink" xfId="8455" builtinId="8" hidden="1"/>
    <cellStyle name="Hyperlink" xfId="8457" builtinId="8" hidden="1"/>
    <cellStyle name="Hyperlink" xfId="8459" builtinId="8" hidden="1"/>
    <cellStyle name="Hyperlink" xfId="8461" builtinId="8" hidden="1"/>
    <cellStyle name="Hyperlink" xfId="8463" builtinId="8" hidden="1"/>
    <cellStyle name="Hyperlink" xfId="8465" builtinId="8" hidden="1"/>
    <cellStyle name="Hyperlink" xfId="8467" builtinId="8" hidden="1"/>
    <cellStyle name="Hyperlink" xfId="8469" builtinId="8" hidden="1"/>
    <cellStyle name="Hyperlink" xfId="8471" builtinId="8" hidden="1"/>
    <cellStyle name="Hyperlink" xfId="8473" builtinId="8" hidden="1"/>
    <cellStyle name="Hyperlink" xfId="8475" builtinId="8" hidden="1"/>
    <cellStyle name="Hyperlink" xfId="8477" builtinId="8" hidden="1"/>
    <cellStyle name="Hyperlink" xfId="8479" builtinId="8" hidden="1"/>
    <cellStyle name="Hyperlink" xfId="8481" builtinId="8" hidden="1"/>
    <cellStyle name="Hyperlink" xfId="8483" builtinId="8" hidden="1"/>
    <cellStyle name="Hyperlink" xfId="8485" builtinId="8" hidden="1"/>
    <cellStyle name="Hyperlink" xfId="8487" builtinId="8" hidden="1"/>
    <cellStyle name="Hyperlink" xfId="8489" builtinId="8" hidden="1"/>
    <cellStyle name="Hyperlink" xfId="8491" builtinId="8" hidden="1"/>
    <cellStyle name="Hyperlink" xfId="8493" builtinId="8" hidden="1"/>
    <cellStyle name="Hyperlink" xfId="8495" builtinId="8" hidden="1"/>
    <cellStyle name="Hyperlink" xfId="8497" builtinId="8" hidden="1"/>
    <cellStyle name="Hyperlink" xfId="8499" builtinId="8" hidden="1"/>
    <cellStyle name="Hyperlink" xfId="8501" builtinId="8" hidden="1"/>
    <cellStyle name="Hyperlink" xfId="8503" builtinId="8" hidden="1"/>
    <cellStyle name="Hyperlink" xfId="8505" builtinId="8" hidden="1"/>
    <cellStyle name="Hyperlink" xfId="8507" builtinId="8" hidden="1"/>
    <cellStyle name="Hyperlink" xfId="8509" builtinId="8" hidden="1"/>
    <cellStyle name="Hyperlink" xfId="8511" builtinId="8" hidden="1"/>
    <cellStyle name="Hyperlink" xfId="8513" builtinId="8" hidden="1"/>
    <cellStyle name="Hyperlink" xfId="8515" builtinId="8" hidden="1"/>
    <cellStyle name="Hyperlink" xfId="8517" builtinId="8" hidden="1"/>
    <cellStyle name="Hyperlink" xfId="8519" builtinId="8" hidden="1"/>
    <cellStyle name="Hyperlink" xfId="8521" builtinId="8" hidden="1"/>
    <cellStyle name="Hyperlink" xfId="8523" builtinId="8" hidden="1"/>
    <cellStyle name="Hyperlink" xfId="8525" builtinId="8" hidden="1"/>
    <cellStyle name="Hyperlink" xfId="8527" builtinId="8" hidden="1"/>
    <cellStyle name="Hyperlink" xfId="8529" builtinId="8" hidden="1"/>
    <cellStyle name="Hyperlink" xfId="8531" builtinId="8" hidden="1"/>
    <cellStyle name="Hyperlink" xfId="8533" builtinId="8" hidden="1"/>
    <cellStyle name="Hyperlink" xfId="8535" builtinId="8" hidden="1"/>
    <cellStyle name="Hyperlink" xfId="8537" builtinId="8" hidden="1"/>
    <cellStyle name="Hyperlink" xfId="8539" builtinId="8" hidden="1"/>
    <cellStyle name="Hyperlink" xfId="8541" builtinId="8" hidden="1"/>
    <cellStyle name="Hyperlink" xfId="8543" builtinId="8" hidden="1"/>
    <cellStyle name="Hyperlink" xfId="8545" builtinId="8" hidden="1"/>
    <cellStyle name="Hyperlink" xfId="8547" builtinId="8" hidden="1"/>
    <cellStyle name="Hyperlink" xfId="8549" builtinId="8" hidden="1"/>
    <cellStyle name="Hyperlink" xfId="8551" builtinId="8" hidden="1"/>
    <cellStyle name="Hyperlink" xfId="8553" builtinId="8" hidden="1"/>
    <cellStyle name="Hyperlink" xfId="8555" builtinId="8" hidden="1"/>
    <cellStyle name="Hyperlink" xfId="8557" builtinId="8" hidden="1"/>
    <cellStyle name="Hyperlink" xfId="8559" builtinId="8" hidden="1"/>
    <cellStyle name="Hyperlink" xfId="8561" builtinId="8" hidden="1"/>
    <cellStyle name="Hyperlink" xfId="8563" builtinId="8" hidden="1"/>
    <cellStyle name="Hyperlink" xfId="8565" builtinId="8" hidden="1"/>
    <cellStyle name="Hyperlink" xfId="8567" builtinId="8" hidden="1"/>
    <cellStyle name="Hyperlink" xfId="8569" builtinId="8" hidden="1"/>
    <cellStyle name="Hyperlink" xfId="8571" builtinId="8" hidden="1"/>
    <cellStyle name="Hyperlink" xfId="8573" builtinId="8" hidden="1"/>
    <cellStyle name="Hyperlink" xfId="8575" builtinId="8" hidden="1"/>
    <cellStyle name="Hyperlink" xfId="8577" builtinId="8" hidden="1"/>
    <cellStyle name="Hyperlink" xfId="8579" builtinId="8" hidden="1"/>
    <cellStyle name="Hyperlink" xfId="8581" builtinId="8" hidden="1"/>
    <cellStyle name="Hyperlink" xfId="8583" builtinId="8" hidden="1"/>
    <cellStyle name="Hyperlink" xfId="8585" builtinId="8" hidden="1"/>
    <cellStyle name="Hyperlink" xfId="8587" builtinId="8" hidden="1"/>
    <cellStyle name="Hyperlink" xfId="8589" builtinId="8" hidden="1"/>
    <cellStyle name="Hyperlink" xfId="8591" builtinId="8" hidden="1"/>
    <cellStyle name="Hyperlink" xfId="8593" builtinId="8" hidden="1"/>
    <cellStyle name="Hyperlink" xfId="8595" builtinId="8" hidden="1"/>
    <cellStyle name="Hyperlink" xfId="8597" builtinId="8" hidden="1"/>
    <cellStyle name="Hyperlink" xfId="8599" builtinId="8" hidden="1"/>
    <cellStyle name="Hyperlink" xfId="8601" builtinId="8" hidden="1"/>
    <cellStyle name="Hyperlink" xfId="8603" builtinId="8" hidden="1"/>
    <cellStyle name="Hyperlink" xfId="8605" builtinId="8" hidden="1"/>
    <cellStyle name="Hyperlink" xfId="8607" builtinId="8" hidden="1"/>
    <cellStyle name="Hyperlink" xfId="8609" builtinId="8" hidden="1"/>
    <cellStyle name="Hyperlink" xfId="8611" builtinId="8" hidden="1"/>
    <cellStyle name="Hyperlink" xfId="8613" builtinId="8" hidden="1"/>
    <cellStyle name="Hyperlink" xfId="8615" builtinId="8" hidden="1"/>
    <cellStyle name="Hyperlink" xfId="8617" builtinId="8" hidden="1"/>
    <cellStyle name="Hyperlink" xfId="8619" builtinId="8" hidden="1"/>
    <cellStyle name="Hyperlink" xfId="8621" builtinId="8" hidden="1"/>
    <cellStyle name="Hyperlink" xfId="8623" builtinId="8" hidden="1"/>
    <cellStyle name="Hyperlink" xfId="8625" builtinId="8" hidden="1"/>
    <cellStyle name="Hyperlink" xfId="8627" builtinId="8" hidden="1"/>
    <cellStyle name="Hyperlink" xfId="8629" builtinId="8" hidden="1"/>
    <cellStyle name="Hyperlink" xfId="8631" builtinId="8" hidden="1"/>
    <cellStyle name="Hyperlink" xfId="8633" builtinId="8" hidden="1"/>
    <cellStyle name="Hyperlink" xfId="8635" builtinId="8" hidden="1"/>
    <cellStyle name="Hyperlink" xfId="8637" builtinId="8" hidden="1"/>
    <cellStyle name="Hyperlink" xfId="8639" builtinId="8" hidden="1"/>
    <cellStyle name="Hyperlink" xfId="8641" builtinId="8" hidden="1"/>
    <cellStyle name="Hyperlink" xfId="8643" builtinId="8" hidden="1"/>
    <cellStyle name="Hyperlink" xfId="8645" builtinId="8" hidden="1"/>
    <cellStyle name="Hyperlink" xfId="8647" builtinId="8" hidden="1"/>
    <cellStyle name="Hyperlink" xfId="8649" builtinId="8" hidden="1"/>
    <cellStyle name="Hyperlink" xfId="8651" builtinId="8" hidden="1"/>
    <cellStyle name="Hyperlink" xfId="8653" builtinId="8" hidden="1"/>
    <cellStyle name="Hyperlink" xfId="8655" builtinId="8" hidden="1"/>
    <cellStyle name="Hyperlink" xfId="8657" builtinId="8" hidden="1"/>
    <cellStyle name="Hyperlink" xfId="8659" builtinId="8" hidden="1"/>
    <cellStyle name="Hyperlink" xfId="8661" builtinId="8" hidden="1"/>
    <cellStyle name="Hyperlink" xfId="8663" builtinId="8" hidden="1"/>
    <cellStyle name="Hyperlink" xfId="8665" builtinId="8" hidden="1"/>
    <cellStyle name="Hyperlink" xfId="8667" builtinId="8" hidden="1"/>
    <cellStyle name="Hyperlink" xfId="8669" builtinId="8" hidden="1"/>
    <cellStyle name="Hyperlink" xfId="8671" builtinId="8" hidden="1"/>
    <cellStyle name="Hyperlink" xfId="8673" builtinId="8" hidden="1"/>
    <cellStyle name="Hyperlink" xfId="8675" builtinId="8" hidden="1"/>
    <cellStyle name="Hyperlink" xfId="8677" builtinId="8" hidden="1"/>
    <cellStyle name="Hyperlink" xfId="8679" builtinId="8" hidden="1"/>
    <cellStyle name="Hyperlink" xfId="8681" builtinId="8" hidden="1"/>
    <cellStyle name="Hyperlink" xfId="8683" builtinId="8" hidden="1"/>
    <cellStyle name="Hyperlink" xfId="8685" builtinId="8" hidden="1"/>
    <cellStyle name="Hyperlink" xfId="8687" builtinId="8" hidden="1"/>
    <cellStyle name="Hyperlink" xfId="8689" builtinId="8" hidden="1"/>
    <cellStyle name="Hyperlink" xfId="8691" builtinId="8" hidden="1"/>
    <cellStyle name="Hyperlink" xfId="8693" builtinId="8" hidden="1"/>
    <cellStyle name="Hyperlink" xfId="8695" builtinId="8" hidden="1"/>
    <cellStyle name="Hyperlink" xfId="8697" builtinId="8" hidden="1"/>
    <cellStyle name="Hyperlink" xfId="8699" builtinId="8" hidden="1"/>
    <cellStyle name="Hyperlink" xfId="8701" builtinId="8" hidden="1"/>
    <cellStyle name="Hyperlink" xfId="8703" builtinId="8" hidden="1"/>
    <cellStyle name="Hyperlink" xfId="8705" builtinId="8" hidden="1"/>
    <cellStyle name="Hyperlink" xfId="8707" builtinId="8" hidden="1"/>
    <cellStyle name="Hyperlink" xfId="8709" builtinId="8" hidden="1"/>
    <cellStyle name="Hyperlink" xfId="8711" builtinId="8" hidden="1"/>
    <cellStyle name="Hyperlink" xfId="8713" builtinId="8" hidden="1"/>
    <cellStyle name="Hyperlink" xfId="8715" builtinId="8" hidden="1"/>
    <cellStyle name="Hyperlink" xfId="8717" builtinId="8" hidden="1"/>
    <cellStyle name="Hyperlink" xfId="8719" builtinId="8" hidden="1"/>
    <cellStyle name="Hyperlink" xfId="8721" builtinId="8" hidden="1"/>
    <cellStyle name="Hyperlink" xfId="8723" builtinId="8" hidden="1"/>
    <cellStyle name="Hyperlink" xfId="8725" builtinId="8" hidden="1"/>
    <cellStyle name="Hyperlink" xfId="8727" builtinId="8" hidden="1"/>
    <cellStyle name="Hyperlink" xfId="8729" builtinId="8" hidden="1"/>
    <cellStyle name="Hyperlink" xfId="8731" builtinId="8" hidden="1"/>
    <cellStyle name="Hyperlink" xfId="8733" builtinId="8" hidden="1"/>
    <cellStyle name="Hyperlink" xfId="8735" builtinId="8" hidden="1"/>
    <cellStyle name="Hyperlink" xfId="8737" builtinId="8" hidden="1"/>
    <cellStyle name="Hyperlink" xfId="8739" builtinId="8" hidden="1"/>
    <cellStyle name="Hyperlink" xfId="8741" builtinId="8" hidden="1"/>
    <cellStyle name="Hyperlink" xfId="8743" builtinId="8" hidden="1"/>
    <cellStyle name="Hyperlink" xfId="8745" builtinId="8" hidden="1"/>
    <cellStyle name="Hyperlink" xfId="8747" builtinId="8" hidden="1"/>
    <cellStyle name="Hyperlink" xfId="8749" builtinId="8" hidden="1"/>
    <cellStyle name="Hyperlink" xfId="8751" builtinId="8" hidden="1"/>
    <cellStyle name="Hyperlink" xfId="8753" builtinId="8" hidden="1"/>
    <cellStyle name="Hyperlink" xfId="8755" builtinId="8" hidden="1"/>
    <cellStyle name="Hyperlink" xfId="8757" builtinId="8" hidden="1"/>
    <cellStyle name="Hyperlink" xfId="8759" builtinId="8" hidden="1"/>
    <cellStyle name="Hyperlink" xfId="8761" builtinId="8" hidden="1"/>
    <cellStyle name="Hyperlink" xfId="8763" builtinId="8" hidden="1"/>
    <cellStyle name="Hyperlink" xfId="8765" builtinId="8" hidden="1"/>
    <cellStyle name="Hyperlink" xfId="8767" builtinId="8" hidden="1"/>
    <cellStyle name="Hyperlink" xfId="8769" builtinId="8" hidden="1"/>
    <cellStyle name="Hyperlink" xfId="8771" builtinId="8" hidden="1"/>
    <cellStyle name="Hyperlink" xfId="8773" builtinId="8" hidden="1"/>
    <cellStyle name="Hyperlink" xfId="8775" builtinId="8" hidden="1"/>
    <cellStyle name="Hyperlink" xfId="8777" builtinId="8" hidden="1"/>
    <cellStyle name="Hyperlink" xfId="8779" builtinId="8" hidden="1"/>
    <cellStyle name="Hyperlink" xfId="8781" builtinId="8" hidden="1"/>
    <cellStyle name="Hyperlink" xfId="8783" builtinId="8" hidden="1"/>
    <cellStyle name="Hyperlink" xfId="8785" builtinId="8" hidden="1"/>
    <cellStyle name="Hyperlink" xfId="8787" builtinId="8" hidden="1"/>
    <cellStyle name="Hyperlink" xfId="8789" builtinId="8" hidden="1"/>
    <cellStyle name="Hyperlink" xfId="8791" builtinId="8" hidden="1"/>
    <cellStyle name="Hyperlink" xfId="8793" builtinId="8" hidden="1"/>
    <cellStyle name="Hyperlink" xfId="8795" builtinId="8" hidden="1"/>
    <cellStyle name="Hyperlink" xfId="8797" builtinId="8" hidden="1"/>
    <cellStyle name="Hyperlink" xfId="8799" builtinId="8" hidden="1"/>
    <cellStyle name="Hyperlink" xfId="8801" builtinId="8" hidden="1"/>
    <cellStyle name="Hyperlink" xfId="8803" builtinId="8" hidden="1"/>
    <cellStyle name="Hyperlink" xfId="8805" builtinId="8" hidden="1"/>
    <cellStyle name="Hyperlink" xfId="8807" builtinId="8" hidden="1"/>
    <cellStyle name="Hyperlink" xfId="8809" builtinId="8" hidden="1"/>
    <cellStyle name="Hyperlink" xfId="8811" builtinId="8" hidden="1"/>
    <cellStyle name="Hyperlink" xfId="8813" builtinId="8" hidden="1"/>
    <cellStyle name="Hyperlink" xfId="8815" builtinId="8" hidden="1"/>
    <cellStyle name="Hyperlink" xfId="8817" builtinId="8" hidden="1"/>
    <cellStyle name="Hyperlink" xfId="8819" builtinId="8" hidden="1"/>
    <cellStyle name="Hyperlink" xfId="8821" builtinId="8" hidden="1"/>
    <cellStyle name="Hyperlink" xfId="8823" builtinId="8" hidden="1"/>
    <cellStyle name="Hyperlink" xfId="8825" builtinId="8" hidden="1"/>
    <cellStyle name="Hyperlink" xfId="8827" builtinId="8" hidden="1"/>
    <cellStyle name="Hyperlink" xfId="8829" builtinId="8" hidden="1"/>
    <cellStyle name="Hyperlink" xfId="8831" builtinId="8" hidden="1"/>
    <cellStyle name="Hyperlink" xfId="8833" builtinId="8" hidden="1"/>
    <cellStyle name="Hyperlink" xfId="8835" builtinId="8" hidden="1"/>
    <cellStyle name="Hyperlink" xfId="8837" builtinId="8" hidden="1"/>
    <cellStyle name="Hyperlink" xfId="8839" builtinId="8" hidden="1"/>
    <cellStyle name="Hyperlink" xfId="8841" builtinId="8" hidden="1"/>
    <cellStyle name="Hyperlink" xfId="8843" builtinId="8" hidden="1"/>
    <cellStyle name="Hyperlink" xfId="8845" builtinId="8" hidden="1"/>
    <cellStyle name="Hyperlink" xfId="8847" builtinId="8" hidden="1"/>
    <cellStyle name="Hyperlink" xfId="8849" builtinId="8" hidden="1"/>
    <cellStyle name="Hyperlink" xfId="8851" builtinId="8" hidden="1"/>
    <cellStyle name="Hyperlink" xfId="8853" builtinId="8" hidden="1"/>
    <cellStyle name="Hyperlink" xfId="8855" builtinId="8" hidden="1"/>
    <cellStyle name="Hyperlink" xfId="8857" builtinId="8" hidden="1"/>
    <cellStyle name="Hyperlink" xfId="8859" builtinId="8" hidden="1"/>
    <cellStyle name="Hyperlink" xfId="8861" builtinId="8" hidden="1"/>
    <cellStyle name="Hyperlink" xfId="8863" builtinId="8" hidden="1"/>
    <cellStyle name="Hyperlink" xfId="8865" builtinId="8" hidden="1"/>
    <cellStyle name="Hyperlink" xfId="8867" builtinId="8" hidden="1"/>
    <cellStyle name="Hyperlink" xfId="8869" builtinId="8" hidden="1"/>
    <cellStyle name="Hyperlink" xfId="8871" builtinId="8" hidden="1"/>
    <cellStyle name="Hyperlink" xfId="8873" builtinId="8" hidden="1"/>
    <cellStyle name="Hyperlink" xfId="8875" builtinId="8" hidden="1"/>
    <cellStyle name="Hyperlink" xfId="8877" builtinId="8" hidden="1"/>
    <cellStyle name="Hyperlink" xfId="8879" builtinId="8" hidden="1"/>
    <cellStyle name="Hyperlink" xfId="8881" builtinId="8" hidden="1"/>
    <cellStyle name="Hyperlink" xfId="8883" builtinId="8" hidden="1"/>
    <cellStyle name="Hyperlink" xfId="8885" builtinId="8" hidden="1"/>
    <cellStyle name="Hyperlink" xfId="8887" builtinId="8" hidden="1"/>
    <cellStyle name="Hyperlink" xfId="8889" builtinId="8" hidden="1"/>
    <cellStyle name="Hyperlink" xfId="8891" builtinId="8" hidden="1"/>
    <cellStyle name="Hyperlink" xfId="8893" builtinId="8" hidden="1"/>
    <cellStyle name="Hyperlink" xfId="8895" builtinId="8" hidden="1"/>
    <cellStyle name="Hyperlink" xfId="8897" builtinId="8" hidden="1"/>
    <cellStyle name="Hyperlink" xfId="8899" builtinId="8" hidden="1"/>
    <cellStyle name="Hyperlink" xfId="8901" builtinId="8" hidden="1"/>
    <cellStyle name="Hyperlink" xfId="8903" builtinId="8" hidden="1"/>
    <cellStyle name="Hyperlink" xfId="8905" builtinId="8" hidden="1"/>
    <cellStyle name="Hyperlink" xfId="8907" builtinId="8" hidden="1"/>
    <cellStyle name="Hyperlink" xfId="8909" builtinId="8" hidden="1"/>
    <cellStyle name="Hyperlink" xfId="8911" builtinId="8" hidden="1"/>
    <cellStyle name="Hyperlink" xfId="8913" builtinId="8" hidden="1"/>
    <cellStyle name="Hyperlink" xfId="8915" builtinId="8" hidden="1"/>
    <cellStyle name="Hyperlink" xfId="8917" builtinId="8" hidden="1"/>
    <cellStyle name="Hyperlink" xfId="8919" builtinId="8" hidden="1"/>
    <cellStyle name="Hyperlink" xfId="8921" builtinId="8" hidden="1"/>
    <cellStyle name="Hyperlink" xfId="8923" builtinId="8" hidden="1"/>
    <cellStyle name="Hyperlink" xfId="8925" builtinId="8" hidden="1"/>
    <cellStyle name="Hyperlink" xfId="8927" builtinId="8" hidden="1"/>
    <cellStyle name="Hyperlink" xfId="8929" builtinId="8" hidden="1"/>
    <cellStyle name="Hyperlink" xfId="8931" builtinId="8" hidden="1"/>
    <cellStyle name="Hyperlink" xfId="8933" builtinId="8" hidden="1"/>
    <cellStyle name="Hyperlink" xfId="8935" builtinId="8" hidden="1"/>
    <cellStyle name="Hyperlink" xfId="8937" builtinId="8" hidden="1"/>
    <cellStyle name="Hyperlink" xfId="8939" builtinId="8" hidden="1"/>
    <cellStyle name="Hyperlink" xfId="8941" builtinId="8" hidden="1"/>
    <cellStyle name="Hyperlink" xfId="8943" builtinId="8" hidden="1"/>
    <cellStyle name="Hyperlink" xfId="8945" builtinId="8" hidden="1"/>
    <cellStyle name="Hyperlink" xfId="8947" builtinId="8" hidden="1"/>
    <cellStyle name="Hyperlink" xfId="8949" builtinId="8" hidden="1"/>
    <cellStyle name="Hyperlink" xfId="8951" builtinId="8" hidden="1"/>
    <cellStyle name="Hyperlink" xfId="8953" builtinId="8" hidden="1"/>
    <cellStyle name="Hyperlink" xfId="8955" builtinId="8" hidden="1"/>
    <cellStyle name="Hyperlink" xfId="8957" builtinId="8" hidden="1"/>
    <cellStyle name="Hyperlink" xfId="8959" builtinId="8" hidden="1"/>
    <cellStyle name="Hyperlink" xfId="8961" builtinId="8" hidden="1"/>
    <cellStyle name="Hyperlink" xfId="8963" builtinId="8" hidden="1"/>
    <cellStyle name="Hyperlink" xfId="8965" builtinId="8" hidden="1"/>
    <cellStyle name="Hyperlink" xfId="8967" builtinId="8" hidden="1"/>
    <cellStyle name="Hyperlink" xfId="8969" builtinId="8" hidden="1"/>
    <cellStyle name="Hyperlink" xfId="8971" builtinId="8" hidden="1"/>
    <cellStyle name="Hyperlink" xfId="8973" builtinId="8" hidden="1"/>
    <cellStyle name="Hyperlink" xfId="8975" builtinId="8" hidden="1"/>
    <cellStyle name="Hyperlink" xfId="8977" builtinId="8" hidden="1"/>
    <cellStyle name="Hyperlink" xfId="8979" builtinId="8" hidden="1"/>
    <cellStyle name="Hyperlink" xfId="8981" builtinId="8" hidden="1"/>
    <cellStyle name="Hyperlink" xfId="8983" builtinId="8" hidden="1"/>
    <cellStyle name="Hyperlink" xfId="8985" builtinId="8" hidden="1"/>
    <cellStyle name="Hyperlink" xfId="8987" builtinId="8" hidden="1"/>
    <cellStyle name="Hyperlink" xfId="8989" builtinId="8" hidden="1"/>
    <cellStyle name="Hyperlink" xfId="8991" builtinId="8" hidden="1"/>
    <cellStyle name="Hyperlink" xfId="8993" builtinId="8" hidden="1"/>
    <cellStyle name="Hyperlink" xfId="8995" builtinId="8" hidden="1"/>
    <cellStyle name="Hyperlink" xfId="8997" builtinId="8" hidden="1"/>
    <cellStyle name="Hyperlink" xfId="8999" builtinId="8" hidden="1"/>
    <cellStyle name="Hyperlink" xfId="9001" builtinId="8" hidden="1"/>
    <cellStyle name="Hyperlink" xfId="9003" builtinId="8" hidden="1"/>
    <cellStyle name="Hyperlink" xfId="9005" builtinId="8" hidden="1"/>
    <cellStyle name="Hyperlink" xfId="9007" builtinId="8" hidden="1"/>
    <cellStyle name="Hyperlink" xfId="9009" builtinId="8" hidden="1"/>
    <cellStyle name="Hyperlink" xfId="9011" builtinId="8" hidden="1"/>
    <cellStyle name="Hyperlink" xfId="9013" builtinId="8" hidden="1"/>
    <cellStyle name="Hyperlink" xfId="9015" builtinId="8" hidden="1"/>
    <cellStyle name="Hyperlink" xfId="9017" builtinId="8" hidden="1"/>
    <cellStyle name="Hyperlink" xfId="9019" builtinId="8" hidden="1"/>
    <cellStyle name="Hyperlink" xfId="9021" builtinId="8" hidden="1"/>
    <cellStyle name="Hyperlink" xfId="9023" builtinId="8" hidden="1"/>
    <cellStyle name="Hyperlink" xfId="9025" builtinId="8" hidden="1"/>
    <cellStyle name="Hyperlink" xfId="9027" builtinId="8" hidden="1"/>
    <cellStyle name="Hyperlink" xfId="9029" builtinId="8" hidden="1"/>
    <cellStyle name="Hyperlink" xfId="9031" builtinId="8" hidden="1"/>
    <cellStyle name="Hyperlink" xfId="9033" builtinId="8" hidden="1"/>
    <cellStyle name="Hyperlink" xfId="9035" builtinId="8" hidden="1"/>
    <cellStyle name="Hyperlink" xfId="9037" builtinId="8" hidden="1"/>
    <cellStyle name="Hyperlink" xfId="9039" builtinId="8" hidden="1"/>
    <cellStyle name="Hyperlink" xfId="9041" builtinId="8" hidden="1"/>
    <cellStyle name="Hyperlink" xfId="9043" builtinId="8" hidden="1"/>
    <cellStyle name="Hyperlink" xfId="9045" builtinId="8" hidden="1"/>
    <cellStyle name="Hyperlink" xfId="9047" builtinId="8" hidden="1"/>
    <cellStyle name="Hyperlink" xfId="9049" builtinId="8" hidden="1"/>
    <cellStyle name="Hyperlink" xfId="9051" builtinId="8" hidden="1"/>
    <cellStyle name="Hyperlink" xfId="9053" builtinId="8" hidden="1"/>
    <cellStyle name="Hyperlink" xfId="9055" builtinId="8" hidden="1"/>
    <cellStyle name="Hyperlink" xfId="9057" builtinId="8" hidden="1"/>
    <cellStyle name="Hyperlink" xfId="9059" builtinId="8" hidden="1"/>
    <cellStyle name="Hyperlink" xfId="9061" builtinId="8" hidden="1"/>
    <cellStyle name="Hyperlink" xfId="9063" builtinId="8" hidden="1"/>
    <cellStyle name="Hyperlink" xfId="9065" builtinId="8" hidden="1"/>
    <cellStyle name="Hyperlink" xfId="9067" builtinId="8" hidden="1"/>
    <cellStyle name="Hyperlink" xfId="9069" builtinId="8" hidden="1"/>
    <cellStyle name="Hyperlink" xfId="9071" builtinId="8" hidden="1"/>
    <cellStyle name="Hyperlink" xfId="9073" builtinId="8" hidden="1"/>
    <cellStyle name="Hyperlink" xfId="9075" builtinId="8" hidden="1"/>
    <cellStyle name="Hyperlink" xfId="9077" builtinId="8" hidden="1"/>
    <cellStyle name="Hyperlink" xfId="9079" builtinId="8" hidden="1"/>
    <cellStyle name="Hyperlink" xfId="9081" builtinId="8" hidden="1"/>
    <cellStyle name="Hyperlink" xfId="9083" builtinId="8" hidden="1"/>
    <cellStyle name="Hyperlink" xfId="9085" builtinId="8" hidden="1"/>
    <cellStyle name="Hyperlink" xfId="9087" builtinId="8" hidden="1"/>
    <cellStyle name="Hyperlink" xfId="9089" builtinId="8" hidden="1"/>
    <cellStyle name="Hyperlink" xfId="9091" builtinId="8" hidden="1"/>
    <cellStyle name="Hyperlink" xfId="9093" builtinId="8" hidden="1"/>
    <cellStyle name="Hyperlink" xfId="9095" builtinId="8" hidden="1"/>
    <cellStyle name="Hyperlink" xfId="9097" builtinId="8" hidden="1"/>
    <cellStyle name="Hyperlink" xfId="9099" builtinId="8" hidden="1"/>
    <cellStyle name="Hyperlink" xfId="9101" builtinId="8" hidden="1"/>
    <cellStyle name="Hyperlink" xfId="9103" builtinId="8" hidden="1"/>
    <cellStyle name="Hyperlink" xfId="9105" builtinId="8" hidden="1"/>
    <cellStyle name="Hyperlink" xfId="9107" builtinId="8" hidden="1"/>
    <cellStyle name="Hyperlink" xfId="9109" builtinId="8" hidden="1"/>
    <cellStyle name="Hyperlink" xfId="9111" builtinId="8" hidden="1"/>
    <cellStyle name="Hyperlink" xfId="9113" builtinId="8" hidden="1"/>
    <cellStyle name="Hyperlink" xfId="9115" builtinId="8" hidden="1"/>
    <cellStyle name="Hyperlink" xfId="9117" builtinId="8" hidden="1"/>
    <cellStyle name="Hyperlink" xfId="9119" builtinId="8" hidden="1"/>
    <cellStyle name="Hyperlink" xfId="9121" builtinId="8" hidden="1"/>
    <cellStyle name="Hyperlink" xfId="9123" builtinId="8" hidden="1"/>
    <cellStyle name="Hyperlink" xfId="9125" builtinId="8" hidden="1"/>
    <cellStyle name="Hyperlink" xfId="9127" builtinId="8" hidden="1"/>
    <cellStyle name="Hyperlink" xfId="9129" builtinId="8" hidden="1"/>
    <cellStyle name="Hyperlink" xfId="9131" builtinId="8" hidden="1"/>
    <cellStyle name="Hyperlink" xfId="9133" builtinId="8" hidden="1"/>
    <cellStyle name="Hyperlink" xfId="9135" builtinId="8" hidden="1"/>
    <cellStyle name="Hyperlink" xfId="9137" builtinId="8" hidden="1"/>
    <cellStyle name="Hyperlink" xfId="9139" builtinId="8" hidden="1"/>
    <cellStyle name="Hyperlink" xfId="9141" builtinId="8" hidden="1"/>
    <cellStyle name="Hyperlink" xfId="9143" builtinId="8" hidden="1"/>
    <cellStyle name="Hyperlink" xfId="9145" builtinId="8" hidden="1"/>
    <cellStyle name="Hyperlink" xfId="9147" builtinId="8" hidden="1"/>
    <cellStyle name="Hyperlink" xfId="9149" builtinId="8" hidden="1"/>
    <cellStyle name="Hyperlink" xfId="9151" builtinId="8" hidden="1"/>
    <cellStyle name="Hyperlink" xfId="9153" builtinId="8" hidden="1"/>
    <cellStyle name="Hyperlink" xfId="9155" builtinId="8" hidden="1"/>
    <cellStyle name="Hyperlink" xfId="9157" builtinId="8" hidden="1"/>
    <cellStyle name="Hyperlink" xfId="9159" builtinId="8" hidden="1"/>
    <cellStyle name="Hyperlink" xfId="9161" builtinId="8" hidden="1"/>
    <cellStyle name="Hyperlink" xfId="9163" builtinId="8" hidden="1"/>
    <cellStyle name="Hyperlink" xfId="9165" builtinId="8" hidden="1"/>
    <cellStyle name="Hyperlink" xfId="9167" builtinId="8" hidden="1"/>
    <cellStyle name="Hyperlink" xfId="9169" builtinId="8" hidden="1"/>
    <cellStyle name="Hyperlink" xfId="9171" builtinId="8" hidden="1"/>
    <cellStyle name="Hyperlink" xfId="9173" builtinId="8" hidden="1"/>
    <cellStyle name="Hyperlink" xfId="9175" builtinId="8" hidden="1"/>
    <cellStyle name="Hyperlink" xfId="9177" builtinId="8" hidden="1"/>
    <cellStyle name="Hyperlink" xfId="9179" builtinId="8" hidden="1"/>
    <cellStyle name="Hyperlink" xfId="9181" builtinId="8" hidden="1"/>
    <cellStyle name="Hyperlink" xfId="9183" builtinId="8" hidden="1"/>
    <cellStyle name="Hyperlink" xfId="9185" builtinId="8" hidden="1"/>
    <cellStyle name="Hyperlink" xfId="9187" builtinId="8" hidden="1"/>
    <cellStyle name="Hyperlink" xfId="9189" builtinId="8" hidden="1"/>
    <cellStyle name="Hyperlink" xfId="9191" builtinId="8" hidden="1"/>
    <cellStyle name="Hyperlink" xfId="9193" builtinId="8" hidden="1"/>
    <cellStyle name="Hyperlink" xfId="9195" builtinId="8" hidden="1"/>
    <cellStyle name="Hyperlink" xfId="9197" builtinId="8" hidden="1"/>
    <cellStyle name="Hyperlink" xfId="9199" builtinId="8" hidden="1"/>
    <cellStyle name="Hyperlink" xfId="9201" builtinId="8" hidden="1"/>
    <cellStyle name="Hyperlink" xfId="9203" builtinId="8" hidden="1"/>
    <cellStyle name="Hyperlink" xfId="9205" builtinId="8" hidden="1"/>
    <cellStyle name="Hyperlink" xfId="9207" builtinId="8" hidden="1"/>
    <cellStyle name="Hyperlink" xfId="9209" builtinId="8" hidden="1"/>
    <cellStyle name="Hyperlink" xfId="9211" builtinId="8" hidden="1"/>
    <cellStyle name="Hyperlink" xfId="9213" builtinId="8" hidden="1"/>
    <cellStyle name="Hyperlink" xfId="9215" builtinId="8" hidden="1"/>
    <cellStyle name="Hyperlink" xfId="9217" builtinId="8" hidden="1"/>
    <cellStyle name="Hyperlink" xfId="9219" builtinId="8" hidden="1"/>
    <cellStyle name="Hyperlink" xfId="9221" builtinId="8" hidden="1"/>
    <cellStyle name="Hyperlink" xfId="9223" builtinId="8" hidden="1"/>
    <cellStyle name="Hyperlink" xfId="9225" builtinId="8" hidden="1"/>
    <cellStyle name="Hyperlink" xfId="9227" builtinId="8" hidden="1"/>
    <cellStyle name="Hyperlink" xfId="9229" builtinId="8" hidden="1"/>
    <cellStyle name="Hyperlink" xfId="9231" builtinId="8" hidden="1"/>
    <cellStyle name="Hyperlink" xfId="9233" builtinId="8" hidden="1"/>
    <cellStyle name="Hyperlink" xfId="9235" builtinId="8" hidden="1"/>
    <cellStyle name="Hyperlink" xfId="9237" builtinId="8" hidden="1"/>
    <cellStyle name="Hyperlink" xfId="9239" builtinId="8" hidden="1"/>
    <cellStyle name="Hyperlink" xfId="9241" builtinId="8" hidden="1"/>
    <cellStyle name="Hyperlink" xfId="9243" builtinId="8" hidden="1"/>
    <cellStyle name="Hyperlink" xfId="9245" builtinId="8" hidden="1"/>
    <cellStyle name="Hyperlink" xfId="9247" builtinId="8" hidden="1"/>
    <cellStyle name="Hyperlink" xfId="9249" builtinId="8" hidden="1"/>
    <cellStyle name="Hyperlink" xfId="9251" builtinId="8" hidden="1"/>
    <cellStyle name="Hyperlink" xfId="9253" builtinId="8" hidden="1"/>
    <cellStyle name="Hyperlink" xfId="9255" builtinId="8" hidden="1"/>
    <cellStyle name="Hyperlink" xfId="9257" builtinId="8" hidden="1"/>
    <cellStyle name="Hyperlink" xfId="9259" builtinId="8" hidden="1"/>
    <cellStyle name="Hyperlink" xfId="9261" builtinId="8" hidden="1"/>
    <cellStyle name="Hyperlink" xfId="9263" builtinId="8" hidden="1"/>
    <cellStyle name="Hyperlink" xfId="9265" builtinId="8" hidden="1"/>
    <cellStyle name="Hyperlink" xfId="9267" builtinId="8" hidden="1"/>
    <cellStyle name="Hyperlink" xfId="9269" builtinId="8" hidden="1"/>
    <cellStyle name="Hyperlink" xfId="9271" builtinId="8" hidden="1"/>
    <cellStyle name="Hyperlink" xfId="9273" builtinId="8" hidden="1"/>
    <cellStyle name="Hyperlink" xfId="9275" builtinId="8" hidden="1"/>
    <cellStyle name="Hyperlink" xfId="9277" builtinId="8" hidden="1"/>
    <cellStyle name="Hyperlink" xfId="9279" builtinId="8" hidden="1"/>
    <cellStyle name="Hyperlink" xfId="9281" builtinId="8" hidden="1"/>
    <cellStyle name="Hyperlink" xfId="9283" builtinId="8" hidden="1"/>
    <cellStyle name="Hyperlink" xfId="9285" builtinId="8" hidden="1"/>
    <cellStyle name="Hyperlink" xfId="9287" builtinId="8" hidden="1"/>
    <cellStyle name="Hyperlink" xfId="9289" builtinId="8" hidden="1"/>
    <cellStyle name="Hyperlink" xfId="9291" builtinId="8" hidden="1"/>
    <cellStyle name="Hyperlink" xfId="9293" builtinId="8" hidden="1"/>
    <cellStyle name="Hyperlink" xfId="9295" builtinId="8" hidden="1"/>
    <cellStyle name="Hyperlink" xfId="9297" builtinId="8" hidden="1"/>
    <cellStyle name="Hyperlink" xfId="9299" builtinId="8" hidden="1"/>
    <cellStyle name="Hyperlink" xfId="9301" builtinId="8" hidden="1"/>
    <cellStyle name="Hyperlink" xfId="9303" builtinId="8" hidden="1"/>
    <cellStyle name="Hyperlink" xfId="9305" builtinId="8" hidden="1"/>
    <cellStyle name="Hyperlink" xfId="9307" builtinId="8" hidden="1"/>
    <cellStyle name="Hyperlink" xfId="9309" builtinId="8" hidden="1"/>
    <cellStyle name="Hyperlink" xfId="9311" builtinId="8" hidden="1"/>
    <cellStyle name="Hyperlink" xfId="9313" builtinId="8" hidden="1"/>
    <cellStyle name="Hyperlink" xfId="9315" builtinId="8" hidden="1"/>
    <cellStyle name="Hyperlink" xfId="9317" builtinId="8" hidden="1"/>
    <cellStyle name="Hyperlink" xfId="9319" builtinId="8" hidden="1"/>
    <cellStyle name="Hyperlink" xfId="9321" builtinId="8" hidden="1"/>
    <cellStyle name="Hyperlink" xfId="9323" builtinId="8" hidden="1"/>
    <cellStyle name="Hyperlink" xfId="9325" builtinId="8" hidden="1"/>
    <cellStyle name="Hyperlink" xfId="9327" builtinId="8" hidden="1"/>
    <cellStyle name="Hyperlink" xfId="9329" builtinId="8" hidden="1"/>
    <cellStyle name="Hyperlink" xfId="9331" builtinId="8" hidden="1"/>
    <cellStyle name="Hyperlink" xfId="9333" builtinId="8" hidden="1"/>
    <cellStyle name="Hyperlink" xfId="9335" builtinId="8" hidden="1"/>
    <cellStyle name="Hyperlink" xfId="9337" builtinId="8" hidden="1"/>
    <cellStyle name="Hyperlink" xfId="9339" builtinId="8" hidden="1"/>
    <cellStyle name="Hyperlink" xfId="9341" builtinId="8" hidden="1"/>
    <cellStyle name="Hyperlink" xfId="9343" builtinId="8" hidden="1"/>
    <cellStyle name="Hyperlink" xfId="9345" builtinId="8" hidden="1"/>
    <cellStyle name="Hyperlink" xfId="9347" builtinId="8" hidden="1"/>
    <cellStyle name="Hyperlink" xfId="9349" builtinId="8" hidden="1"/>
    <cellStyle name="Hyperlink" xfId="9351" builtinId="8" hidden="1"/>
    <cellStyle name="Hyperlink" xfId="9353" builtinId="8" hidden="1"/>
    <cellStyle name="Hyperlink" xfId="9355" builtinId="8" hidden="1"/>
    <cellStyle name="Hyperlink" xfId="9357" builtinId="8" hidden="1"/>
    <cellStyle name="Hyperlink" xfId="9359" builtinId="8" hidden="1"/>
    <cellStyle name="Hyperlink" xfId="9361" builtinId="8" hidden="1"/>
    <cellStyle name="Hyperlink" xfId="9363" builtinId="8" hidden="1"/>
    <cellStyle name="Hyperlink" xfId="9365" builtinId="8" hidden="1"/>
    <cellStyle name="Hyperlink" xfId="9367" builtinId="8" hidden="1"/>
    <cellStyle name="Hyperlink" xfId="9369" builtinId="8" hidden="1"/>
    <cellStyle name="Hyperlink" xfId="9371" builtinId="8" hidden="1"/>
    <cellStyle name="Hyperlink" xfId="9373" builtinId="8" hidden="1"/>
    <cellStyle name="Hyperlink" xfId="9375" builtinId="8" hidden="1"/>
    <cellStyle name="Hyperlink" xfId="9377" builtinId="8" hidden="1"/>
    <cellStyle name="Hyperlink" xfId="9379" builtinId="8" hidden="1"/>
    <cellStyle name="Hyperlink" xfId="9381" builtinId="8" hidden="1"/>
    <cellStyle name="Hyperlink" xfId="9383" builtinId="8" hidden="1"/>
    <cellStyle name="Hyperlink" xfId="9385" builtinId="8" hidden="1"/>
    <cellStyle name="Hyperlink" xfId="9387" builtinId="8" hidden="1"/>
    <cellStyle name="Hyperlink" xfId="9389" builtinId="8" hidden="1"/>
    <cellStyle name="Hyperlink" xfId="9391" builtinId="8" hidden="1"/>
    <cellStyle name="Hyperlink" xfId="9393" builtinId="8" hidden="1"/>
    <cellStyle name="Hyperlink" xfId="9395" builtinId="8" hidden="1"/>
    <cellStyle name="Hyperlink" xfId="9397" builtinId="8" hidden="1"/>
    <cellStyle name="Hyperlink" xfId="9399" builtinId="8" hidden="1"/>
    <cellStyle name="Hyperlink" xfId="9401" builtinId="8" hidden="1"/>
    <cellStyle name="Hyperlink" xfId="9403" builtinId="8" hidden="1"/>
    <cellStyle name="Hyperlink" xfId="9405" builtinId="8" hidden="1"/>
    <cellStyle name="Hyperlink" xfId="9407" builtinId="8" hidden="1"/>
    <cellStyle name="Hyperlink" xfId="9409" builtinId="8" hidden="1"/>
    <cellStyle name="Hyperlink" xfId="9411" builtinId="8" hidden="1"/>
    <cellStyle name="Hyperlink" xfId="9413" builtinId="8" hidden="1"/>
    <cellStyle name="Hyperlink" xfId="9415" builtinId="8" hidden="1"/>
    <cellStyle name="Hyperlink" xfId="9417" builtinId="8" hidden="1"/>
    <cellStyle name="Hyperlink" xfId="9419" builtinId="8" hidden="1"/>
    <cellStyle name="Hyperlink" xfId="9421" builtinId="8" hidden="1"/>
    <cellStyle name="Hyperlink" xfId="9423" builtinId="8" hidden="1"/>
    <cellStyle name="Hyperlink" xfId="9425" builtinId="8" hidden="1"/>
    <cellStyle name="Hyperlink" xfId="9427" builtinId="8" hidden="1"/>
    <cellStyle name="Hyperlink" xfId="9429" builtinId="8" hidden="1"/>
    <cellStyle name="Hyperlink" xfId="9431" builtinId="8" hidden="1"/>
    <cellStyle name="Hyperlink" xfId="9433" builtinId="8" hidden="1"/>
    <cellStyle name="Hyperlink" xfId="9435" builtinId="8" hidden="1"/>
    <cellStyle name="Hyperlink" xfId="9437" builtinId="8" hidden="1"/>
    <cellStyle name="Hyperlink" xfId="9439" builtinId="8" hidden="1"/>
    <cellStyle name="Hyperlink" xfId="9441" builtinId="8" hidden="1"/>
    <cellStyle name="Hyperlink" xfId="9443" builtinId="8" hidden="1"/>
    <cellStyle name="Hyperlink" xfId="9445" builtinId="8" hidden="1"/>
    <cellStyle name="Hyperlink" xfId="9447" builtinId="8" hidden="1"/>
    <cellStyle name="Hyperlink" xfId="9449" builtinId="8" hidden="1"/>
    <cellStyle name="Hyperlink" xfId="9451" builtinId="8" hidden="1"/>
    <cellStyle name="Hyperlink" xfId="9453" builtinId="8" hidden="1"/>
    <cellStyle name="Hyperlink" xfId="9455" builtinId="8" hidden="1"/>
    <cellStyle name="Hyperlink" xfId="9457" builtinId="8" hidden="1"/>
    <cellStyle name="Hyperlink" xfId="9459" builtinId="8" hidden="1"/>
    <cellStyle name="Hyperlink" xfId="9461" builtinId="8" hidden="1"/>
    <cellStyle name="Hyperlink" xfId="9463" builtinId="8" hidden="1"/>
    <cellStyle name="Hyperlink" xfId="9465" builtinId="8" hidden="1"/>
    <cellStyle name="Hyperlink" xfId="9467" builtinId="8" hidden="1"/>
    <cellStyle name="Hyperlink" xfId="9469" builtinId="8" hidden="1"/>
    <cellStyle name="Hyperlink" xfId="9471" builtinId="8" hidden="1"/>
    <cellStyle name="Hyperlink" xfId="9473" builtinId="8" hidden="1"/>
    <cellStyle name="Hyperlink" xfId="9475" builtinId="8" hidden="1"/>
    <cellStyle name="Hyperlink" xfId="9477" builtinId="8" hidden="1"/>
    <cellStyle name="Hyperlink" xfId="9479" builtinId="8" hidden="1"/>
    <cellStyle name="Hyperlink" xfId="9481" builtinId="8" hidden="1"/>
    <cellStyle name="Hyperlink" xfId="9483" builtinId="8" hidden="1"/>
    <cellStyle name="Hyperlink" xfId="9485" builtinId="8" hidden="1"/>
    <cellStyle name="Hyperlink" xfId="9487" builtinId="8" hidden="1"/>
    <cellStyle name="Hyperlink" xfId="9489" builtinId="8" hidden="1"/>
    <cellStyle name="Hyperlink" xfId="9491" builtinId="8" hidden="1"/>
    <cellStyle name="Hyperlink" xfId="9493" builtinId="8" hidden="1"/>
    <cellStyle name="Hyperlink" xfId="9495" builtinId="8" hidden="1"/>
    <cellStyle name="Hyperlink" xfId="9497" builtinId="8" hidden="1"/>
    <cellStyle name="Hyperlink" xfId="9499" builtinId="8" hidden="1"/>
    <cellStyle name="Hyperlink" xfId="9501" builtinId="8" hidden="1"/>
    <cellStyle name="Hyperlink" xfId="9503" builtinId="8" hidden="1"/>
    <cellStyle name="Hyperlink" xfId="9505" builtinId="8" hidden="1"/>
    <cellStyle name="Hyperlink" xfId="9507" builtinId="8" hidden="1"/>
    <cellStyle name="Hyperlink" xfId="9509" builtinId="8" hidden="1"/>
    <cellStyle name="Hyperlink" xfId="9511" builtinId="8" hidden="1"/>
    <cellStyle name="Hyperlink" xfId="9513" builtinId="8" hidden="1"/>
    <cellStyle name="Hyperlink" xfId="9515" builtinId="8" hidden="1"/>
    <cellStyle name="Hyperlink" xfId="9517" builtinId="8" hidden="1"/>
    <cellStyle name="Hyperlink" xfId="9519" builtinId="8" hidden="1"/>
    <cellStyle name="Hyperlink" xfId="9521" builtinId="8" hidden="1"/>
    <cellStyle name="Hyperlink" xfId="9523" builtinId="8" hidden="1"/>
    <cellStyle name="Hyperlink" xfId="9525" builtinId="8" hidden="1"/>
    <cellStyle name="Hyperlink" xfId="9527" builtinId="8" hidden="1"/>
    <cellStyle name="Hyperlink" xfId="9529" builtinId="8" hidden="1"/>
    <cellStyle name="Hyperlink" xfId="9531" builtinId="8" hidden="1"/>
    <cellStyle name="Hyperlink" xfId="9533" builtinId="8" hidden="1"/>
    <cellStyle name="Hyperlink" xfId="9535" builtinId="8" hidden="1"/>
    <cellStyle name="Hyperlink" xfId="9537" builtinId="8" hidden="1"/>
    <cellStyle name="Hyperlink" xfId="9539" builtinId="8" hidden="1"/>
    <cellStyle name="Hyperlink" xfId="9541" builtinId="8" hidden="1"/>
    <cellStyle name="Hyperlink" xfId="9543" builtinId="8" hidden="1"/>
    <cellStyle name="Hyperlink" xfId="9545" builtinId="8" hidden="1"/>
    <cellStyle name="Hyperlink" xfId="9547" builtinId="8" hidden="1"/>
    <cellStyle name="Hyperlink" xfId="9549" builtinId="8" hidden="1"/>
    <cellStyle name="Hyperlink" xfId="9551" builtinId="8" hidden="1"/>
    <cellStyle name="Hyperlink" xfId="9553" builtinId="8" hidden="1"/>
    <cellStyle name="Hyperlink" xfId="9555" builtinId="8" hidden="1"/>
    <cellStyle name="Hyperlink" xfId="9557" builtinId="8" hidden="1"/>
    <cellStyle name="Hyperlink" xfId="9559" builtinId="8" hidden="1"/>
    <cellStyle name="Hyperlink" xfId="9561" builtinId="8" hidden="1"/>
    <cellStyle name="Hyperlink" xfId="9563" builtinId="8" hidden="1"/>
    <cellStyle name="Hyperlink" xfId="9565" builtinId="8" hidden="1"/>
    <cellStyle name="Hyperlink" xfId="9567" builtinId="8" hidden="1"/>
    <cellStyle name="Hyperlink" xfId="9569" builtinId="8" hidden="1"/>
    <cellStyle name="Hyperlink" xfId="9571" builtinId="8" hidden="1"/>
    <cellStyle name="Hyperlink" xfId="9573" builtinId="8" hidden="1"/>
    <cellStyle name="Hyperlink" xfId="9575" builtinId="8" hidden="1"/>
    <cellStyle name="Hyperlink" xfId="9577" builtinId="8" hidden="1"/>
    <cellStyle name="Hyperlink" xfId="9579" builtinId="8" hidden="1"/>
    <cellStyle name="Hyperlink" xfId="9581" builtinId="8" hidden="1"/>
    <cellStyle name="Hyperlink" xfId="9583" builtinId="8" hidden="1"/>
    <cellStyle name="Hyperlink" xfId="9585" builtinId="8" hidden="1"/>
    <cellStyle name="Hyperlink" xfId="9587" builtinId="8" hidden="1"/>
    <cellStyle name="Hyperlink" xfId="9589" builtinId="8" hidden="1"/>
    <cellStyle name="Hyperlink" xfId="9591" builtinId="8" hidden="1"/>
    <cellStyle name="Hyperlink" xfId="9593" builtinId="8" hidden="1"/>
    <cellStyle name="Hyperlink" xfId="9595" builtinId="8" hidden="1"/>
    <cellStyle name="Hyperlink" xfId="9597" builtinId="8" hidden="1"/>
    <cellStyle name="Hyperlink" xfId="9599" builtinId="8" hidden="1"/>
    <cellStyle name="Hyperlink" xfId="9601" builtinId="8" hidden="1"/>
    <cellStyle name="Hyperlink" xfId="9603" builtinId="8" hidden="1"/>
    <cellStyle name="Hyperlink" xfId="9605" builtinId="8" hidden="1"/>
    <cellStyle name="Hyperlink" xfId="9607" builtinId="8" hidden="1"/>
    <cellStyle name="Hyperlink" xfId="9609" builtinId="8" hidden="1"/>
    <cellStyle name="Hyperlink" xfId="9611" builtinId="8" hidden="1"/>
    <cellStyle name="Hyperlink" xfId="9613" builtinId="8" hidden="1"/>
    <cellStyle name="Hyperlink" xfId="9615" builtinId="8" hidden="1"/>
    <cellStyle name="Hyperlink" xfId="9617" builtinId="8" hidden="1"/>
    <cellStyle name="Hyperlink" xfId="9619" builtinId="8" hidden="1"/>
    <cellStyle name="Hyperlink" xfId="9621" builtinId="8" hidden="1"/>
    <cellStyle name="Hyperlink" xfId="9623" builtinId="8" hidden="1"/>
    <cellStyle name="Hyperlink" xfId="9625" builtinId="8" hidden="1"/>
    <cellStyle name="Hyperlink" xfId="9627" builtinId="8" hidden="1"/>
    <cellStyle name="Hyperlink" xfId="9629" builtinId="8" hidden="1"/>
    <cellStyle name="Hyperlink" xfId="9631" builtinId="8" hidden="1"/>
    <cellStyle name="Hyperlink" xfId="9633" builtinId="8" hidden="1"/>
    <cellStyle name="Hyperlink" xfId="9635" builtinId="8" hidden="1"/>
    <cellStyle name="Hyperlink" xfId="9637" builtinId="8" hidden="1"/>
    <cellStyle name="Hyperlink" xfId="9639" builtinId="8" hidden="1"/>
    <cellStyle name="Hyperlink" xfId="9641" builtinId="8" hidden="1"/>
    <cellStyle name="Hyperlink" xfId="9643" builtinId="8" hidden="1"/>
    <cellStyle name="Hyperlink" xfId="9645" builtinId="8" hidden="1"/>
    <cellStyle name="Hyperlink" xfId="9647" builtinId="8" hidden="1"/>
    <cellStyle name="Hyperlink" xfId="9649" builtinId="8" hidden="1"/>
    <cellStyle name="Hyperlink" xfId="9651" builtinId="8" hidden="1"/>
    <cellStyle name="Hyperlink" xfId="9653" builtinId="8" hidden="1"/>
    <cellStyle name="Hyperlink" xfId="9655" builtinId="8" hidden="1"/>
    <cellStyle name="Hyperlink" xfId="9657" builtinId="8" hidden="1"/>
    <cellStyle name="Hyperlink" xfId="9659" builtinId="8" hidden="1"/>
    <cellStyle name="Hyperlink" xfId="9661" builtinId="8" hidden="1"/>
    <cellStyle name="Hyperlink" xfId="9663" builtinId="8" hidden="1"/>
    <cellStyle name="Hyperlink" xfId="9665" builtinId="8" hidden="1"/>
    <cellStyle name="Hyperlink" xfId="9667" builtinId="8" hidden="1"/>
    <cellStyle name="Hyperlink" xfId="9669" builtinId="8" hidden="1"/>
    <cellStyle name="Hyperlink" xfId="9671" builtinId="8" hidden="1"/>
    <cellStyle name="Hyperlink" xfId="9673" builtinId="8" hidden="1"/>
    <cellStyle name="Hyperlink" xfId="9675" builtinId="8" hidden="1"/>
    <cellStyle name="Hyperlink" xfId="9677" builtinId="8" hidden="1"/>
    <cellStyle name="Hyperlink" xfId="9679" builtinId="8" hidden="1"/>
    <cellStyle name="Hyperlink" xfId="9681" builtinId="8" hidden="1"/>
    <cellStyle name="Hyperlink" xfId="9683" builtinId="8" hidden="1"/>
    <cellStyle name="Hyperlink" xfId="9685" builtinId="8" hidden="1"/>
    <cellStyle name="Hyperlink" xfId="9687" builtinId="8" hidden="1"/>
    <cellStyle name="Hyperlink" xfId="9689" builtinId="8" hidden="1"/>
    <cellStyle name="Hyperlink" xfId="9691" builtinId="8" hidden="1"/>
    <cellStyle name="Hyperlink" xfId="9693" builtinId="8" hidden="1"/>
    <cellStyle name="Hyperlink" xfId="9695" builtinId="8" hidden="1"/>
    <cellStyle name="Hyperlink" xfId="9697" builtinId="8" hidden="1"/>
    <cellStyle name="Hyperlink" xfId="9699" builtinId="8" hidden="1"/>
    <cellStyle name="Hyperlink" xfId="9701" builtinId="8" hidden="1"/>
    <cellStyle name="Hyperlink" xfId="9703" builtinId="8" hidden="1"/>
    <cellStyle name="Hyperlink" xfId="9705" builtinId="8" hidden="1"/>
    <cellStyle name="Hyperlink" xfId="9707" builtinId="8" hidden="1"/>
    <cellStyle name="Hyperlink" xfId="9709" builtinId="8" hidden="1"/>
    <cellStyle name="Hyperlink" xfId="9711" builtinId="8" hidden="1"/>
    <cellStyle name="Hyperlink" xfId="9713" builtinId="8" hidden="1"/>
    <cellStyle name="Hyperlink" xfId="9715" builtinId="8" hidden="1"/>
    <cellStyle name="Hyperlink" xfId="9717" builtinId="8" hidden="1"/>
    <cellStyle name="Hyperlink" xfId="9719" builtinId="8" hidden="1"/>
    <cellStyle name="Hyperlink" xfId="9721" builtinId="8" hidden="1"/>
    <cellStyle name="Hyperlink" xfId="9723" builtinId="8" hidden="1"/>
    <cellStyle name="Hyperlink" xfId="9725" builtinId="8" hidden="1"/>
    <cellStyle name="Hyperlink" xfId="9727" builtinId="8" hidden="1"/>
    <cellStyle name="Hyperlink" xfId="9729" builtinId="8" hidden="1"/>
    <cellStyle name="Hyperlink" xfId="9731" builtinId="8" hidden="1"/>
    <cellStyle name="Hyperlink" xfId="9733" builtinId="8" hidden="1"/>
    <cellStyle name="Hyperlink" xfId="9735" builtinId="8" hidden="1"/>
    <cellStyle name="Hyperlink" xfId="9737" builtinId="8" hidden="1"/>
    <cellStyle name="Hyperlink" xfId="9739" builtinId="8" hidden="1"/>
    <cellStyle name="Hyperlink" xfId="9741" builtinId="8" hidden="1"/>
    <cellStyle name="Hyperlink" xfId="9743" builtinId="8" hidden="1"/>
    <cellStyle name="Hyperlink" xfId="9745" builtinId="8" hidden="1"/>
    <cellStyle name="Hyperlink" xfId="9747" builtinId="8" hidden="1"/>
    <cellStyle name="Hyperlink" xfId="9749" builtinId="8" hidden="1"/>
    <cellStyle name="Hyperlink" xfId="9751" builtinId="8" hidden="1"/>
    <cellStyle name="Hyperlink" xfId="9753" builtinId="8" hidden="1"/>
    <cellStyle name="Hyperlink" xfId="9755" builtinId="8" hidden="1"/>
    <cellStyle name="Hyperlink" xfId="9757" builtinId="8" hidden="1"/>
    <cellStyle name="Hyperlink" xfId="9759" builtinId="8" hidden="1"/>
    <cellStyle name="Hyperlink" xfId="9761" builtinId="8" hidden="1"/>
    <cellStyle name="Hyperlink" xfId="9763" builtinId="8" hidden="1"/>
    <cellStyle name="Hyperlink" xfId="9765" builtinId="8" hidden="1"/>
    <cellStyle name="Hyperlink" xfId="9767" builtinId="8" hidden="1"/>
    <cellStyle name="Hyperlink" xfId="9769" builtinId="8" hidden="1"/>
    <cellStyle name="Hyperlink" xfId="9771" builtinId="8" hidden="1"/>
    <cellStyle name="Hyperlink" xfId="9773" builtinId="8" hidden="1"/>
    <cellStyle name="Hyperlink" xfId="9775" builtinId="8" hidden="1"/>
    <cellStyle name="Hyperlink" xfId="9777" builtinId="8" hidden="1"/>
    <cellStyle name="Hyperlink" xfId="9779" builtinId="8" hidden="1"/>
    <cellStyle name="Hyperlink" xfId="9781" builtinId="8" hidden="1"/>
    <cellStyle name="Hyperlink" xfId="9783" builtinId="8" hidden="1"/>
    <cellStyle name="Hyperlink" xfId="9785" builtinId="8" hidden="1"/>
    <cellStyle name="Hyperlink" xfId="9787" builtinId="8" hidden="1"/>
    <cellStyle name="Hyperlink" xfId="9789" builtinId="8" hidden="1"/>
    <cellStyle name="Hyperlink" xfId="9791" builtinId="8" hidden="1"/>
    <cellStyle name="Hyperlink" xfId="9793" builtinId="8" hidden="1"/>
    <cellStyle name="Hyperlink" xfId="9795" builtinId="8" hidden="1"/>
    <cellStyle name="Hyperlink" xfId="9797" builtinId="8" hidden="1"/>
    <cellStyle name="Hyperlink" xfId="9799" builtinId="8" hidden="1"/>
    <cellStyle name="Hyperlink" xfId="9801" builtinId="8" hidden="1"/>
    <cellStyle name="Hyperlink" xfId="9803" builtinId="8" hidden="1"/>
    <cellStyle name="Hyperlink" xfId="9805" builtinId="8" hidden="1"/>
    <cellStyle name="Hyperlink" xfId="9807" builtinId="8" hidden="1"/>
    <cellStyle name="Hyperlink" xfId="9809" builtinId="8" hidden="1"/>
    <cellStyle name="Hyperlink" xfId="9811" builtinId="8" hidden="1"/>
    <cellStyle name="Hyperlink" xfId="9813" builtinId="8" hidden="1"/>
    <cellStyle name="Hyperlink" xfId="9815" builtinId="8" hidden="1"/>
    <cellStyle name="Hyperlink" xfId="9817" builtinId="8" hidden="1"/>
    <cellStyle name="Hyperlink" xfId="9819" builtinId="8" hidden="1"/>
    <cellStyle name="Hyperlink" xfId="9821" builtinId="8" hidden="1"/>
    <cellStyle name="Hyperlink" xfId="9823" builtinId="8" hidden="1"/>
    <cellStyle name="Hyperlink" xfId="9825" builtinId="8" hidden="1"/>
    <cellStyle name="Hyperlink" xfId="9827" builtinId="8" hidden="1"/>
    <cellStyle name="Hyperlink" xfId="9829" builtinId="8" hidden="1"/>
    <cellStyle name="Hyperlink" xfId="9831" builtinId="8" hidden="1"/>
    <cellStyle name="Hyperlink" xfId="9833" builtinId="8" hidden="1"/>
    <cellStyle name="Hyperlink" xfId="9835" builtinId="8" hidden="1"/>
    <cellStyle name="Hyperlink" xfId="9837" builtinId="8" hidden="1"/>
    <cellStyle name="Hyperlink" xfId="9839" builtinId="8" hidden="1"/>
    <cellStyle name="Hyperlink" xfId="9841" builtinId="8" hidden="1"/>
    <cellStyle name="Hyperlink" xfId="9843" builtinId="8" hidden="1"/>
    <cellStyle name="Hyperlink" xfId="9845" builtinId="8" hidden="1"/>
    <cellStyle name="Hyperlink" xfId="9847" builtinId="8" hidden="1"/>
    <cellStyle name="Hyperlink" xfId="9849" builtinId="8" hidden="1"/>
    <cellStyle name="Hyperlink" xfId="9851" builtinId="8" hidden="1"/>
    <cellStyle name="Hyperlink" xfId="9853" builtinId="8" hidden="1"/>
    <cellStyle name="Hyperlink" xfId="9855" builtinId="8" hidden="1"/>
    <cellStyle name="Hyperlink" xfId="9857" builtinId="8" hidden="1"/>
    <cellStyle name="Hyperlink" xfId="9859" builtinId="8" hidden="1"/>
    <cellStyle name="Hyperlink" xfId="9861" builtinId="8" hidden="1"/>
    <cellStyle name="Hyperlink" xfId="9863" builtinId="8" hidden="1"/>
    <cellStyle name="Hyperlink" xfId="9865" builtinId="8" hidden="1"/>
    <cellStyle name="Hyperlink" xfId="9867" builtinId="8" hidden="1"/>
    <cellStyle name="Hyperlink" xfId="9869" builtinId="8" hidden="1"/>
    <cellStyle name="Hyperlink" xfId="9871" builtinId="8" hidden="1"/>
    <cellStyle name="Hyperlink" xfId="9873" builtinId="8" hidden="1"/>
    <cellStyle name="Hyperlink" xfId="9875" builtinId="8" hidden="1"/>
    <cellStyle name="Hyperlink" xfId="9877" builtinId="8" hidden="1"/>
    <cellStyle name="Hyperlink" xfId="9879" builtinId="8" hidden="1"/>
    <cellStyle name="Hyperlink" xfId="9881" builtinId="8" hidden="1"/>
    <cellStyle name="Hyperlink" xfId="9883" builtinId="8" hidden="1"/>
    <cellStyle name="Hyperlink" xfId="9885" builtinId="8" hidden="1"/>
    <cellStyle name="Hyperlink" xfId="9887" builtinId="8" hidden="1"/>
    <cellStyle name="Hyperlink" xfId="9889" builtinId="8" hidden="1"/>
    <cellStyle name="Hyperlink" xfId="9891" builtinId="8" hidden="1"/>
    <cellStyle name="Hyperlink" xfId="9893" builtinId="8" hidden="1"/>
    <cellStyle name="Hyperlink" xfId="9895" builtinId="8" hidden="1"/>
    <cellStyle name="Hyperlink" xfId="9897" builtinId="8" hidden="1"/>
    <cellStyle name="Hyperlink" xfId="9899" builtinId="8" hidden="1"/>
    <cellStyle name="Hyperlink" xfId="9901" builtinId="8" hidden="1"/>
    <cellStyle name="Hyperlink" xfId="9903" builtinId="8" hidden="1"/>
    <cellStyle name="Hyperlink" xfId="9905" builtinId="8" hidden="1"/>
    <cellStyle name="Hyperlink" xfId="9907" builtinId="8" hidden="1"/>
    <cellStyle name="Hyperlink" xfId="9909" builtinId="8" hidden="1"/>
    <cellStyle name="Hyperlink" xfId="9911" builtinId="8" hidden="1"/>
    <cellStyle name="Hyperlink" xfId="9913" builtinId="8" hidden="1"/>
    <cellStyle name="Hyperlink" xfId="9915" builtinId="8" hidden="1"/>
    <cellStyle name="Hyperlink" xfId="9917" builtinId="8" hidden="1"/>
    <cellStyle name="Hyperlink" xfId="9919" builtinId="8" hidden="1"/>
    <cellStyle name="Hyperlink" xfId="9921" builtinId="8" hidden="1"/>
    <cellStyle name="Hyperlink" xfId="9923" builtinId="8" hidden="1"/>
    <cellStyle name="Hyperlink" xfId="9925" builtinId="8" hidden="1"/>
    <cellStyle name="Hyperlink" xfId="9927" builtinId="8" hidden="1"/>
    <cellStyle name="Hyperlink" xfId="9929" builtinId="8" hidden="1"/>
    <cellStyle name="Hyperlink" xfId="9931" builtinId="8" hidden="1"/>
    <cellStyle name="Hyperlink" xfId="9933" builtinId="8" hidden="1"/>
    <cellStyle name="Hyperlink" xfId="9935" builtinId="8" hidden="1"/>
    <cellStyle name="Hyperlink" xfId="9937" builtinId="8" hidden="1"/>
    <cellStyle name="Hyperlink" xfId="9939" builtinId="8" hidden="1"/>
    <cellStyle name="Hyperlink" xfId="9941" builtinId="8" hidden="1"/>
    <cellStyle name="Hyperlink" xfId="9943" builtinId="8" hidden="1"/>
    <cellStyle name="Hyperlink" xfId="9945" builtinId="8" hidden="1"/>
    <cellStyle name="Hyperlink" xfId="9947" builtinId="8" hidden="1"/>
    <cellStyle name="Hyperlink" xfId="9949" builtinId="8" hidden="1"/>
    <cellStyle name="Hyperlink" xfId="9951" builtinId="8" hidden="1"/>
    <cellStyle name="Hyperlink" xfId="9953" builtinId="8" hidden="1"/>
    <cellStyle name="Hyperlink" xfId="9955" builtinId="8" hidden="1"/>
    <cellStyle name="Hyperlink" xfId="9957" builtinId="8" hidden="1"/>
    <cellStyle name="Hyperlink" xfId="9959" builtinId="8" hidden="1"/>
    <cellStyle name="Hyperlink" xfId="9961" builtinId="8" hidden="1"/>
    <cellStyle name="Hyperlink" xfId="9963" builtinId="8" hidden="1"/>
    <cellStyle name="Hyperlink" xfId="9965" builtinId="8" hidden="1"/>
    <cellStyle name="Hyperlink" xfId="9967" builtinId="8" hidden="1"/>
    <cellStyle name="Hyperlink" xfId="9969" builtinId="8" hidden="1"/>
    <cellStyle name="Hyperlink" xfId="9971" builtinId="8" hidden="1"/>
    <cellStyle name="Hyperlink" xfId="9973" builtinId="8" hidden="1"/>
    <cellStyle name="Hyperlink" xfId="9975" builtinId="8" hidden="1"/>
    <cellStyle name="Hyperlink" xfId="9977" builtinId="8" hidden="1"/>
    <cellStyle name="Hyperlink" xfId="9979" builtinId="8" hidden="1"/>
    <cellStyle name="Hyperlink" xfId="9981" builtinId="8" hidden="1"/>
    <cellStyle name="Hyperlink" xfId="9983" builtinId="8" hidden="1"/>
    <cellStyle name="Hyperlink" xfId="9985" builtinId="8" hidden="1"/>
    <cellStyle name="Hyperlink" xfId="9987" builtinId="8" hidden="1"/>
    <cellStyle name="Hyperlink" xfId="9989" builtinId="8" hidden="1"/>
    <cellStyle name="Hyperlink" xfId="9991" builtinId="8" hidden="1"/>
    <cellStyle name="Hyperlink" xfId="9993" builtinId="8" hidden="1"/>
    <cellStyle name="Hyperlink" xfId="9995" builtinId="8" hidden="1"/>
    <cellStyle name="Hyperlink" xfId="9997" builtinId="8" hidden="1"/>
    <cellStyle name="Hyperlink" xfId="9999" builtinId="8" hidden="1"/>
    <cellStyle name="Hyperlink" xfId="10001" builtinId="8" hidden="1"/>
    <cellStyle name="Hyperlink" xfId="10003" builtinId="8" hidden="1"/>
    <cellStyle name="Hyperlink" xfId="10005" builtinId="8" hidden="1"/>
    <cellStyle name="Hyperlink" xfId="10007" builtinId="8" hidden="1"/>
    <cellStyle name="Hyperlink" xfId="10009" builtinId="8" hidden="1"/>
    <cellStyle name="Hyperlink" xfId="10011" builtinId="8" hidden="1"/>
    <cellStyle name="Hyperlink" xfId="10013" builtinId="8" hidden="1"/>
    <cellStyle name="Hyperlink" xfId="10015" builtinId="8" hidden="1"/>
    <cellStyle name="Hyperlink" xfId="10017" builtinId="8" hidden="1"/>
    <cellStyle name="Hyperlink" xfId="10019" builtinId="8" hidden="1"/>
    <cellStyle name="Hyperlink" xfId="10021" builtinId="8" hidden="1"/>
    <cellStyle name="Hyperlink" xfId="10023" builtinId="8" hidden="1"/>
    <cellStyle name="Hyperlink" xfId="10025" builtinId="8" hidden="1"/>
    <cellStyle name="Hyperlink" xfId="10027" builtinId="8" hidden="1"/>
    <cellStyle name="Hyperlink" xfId="10029" builtinId="8" hidden="1"/>
    <cellStyle name="Hyperlink" xfId="10031" builtinId="8" hidden="1"/>
    <cellStyle name="Hyperlink" xfId="10033" builtinId="8" hidden="1"/>
    <cellStyle name="Hyperlink" xfId="10035" builtinId="8" hidden="1"/>
    <cellStyle name="Hyperlink" xfId="10037" builtinId="8" hidden="1"/>
    <cellStyle name="Hyperlink" xfId="10039" builtinId="8" hidden="1"/>
    <cellStyle name="Hyperlink" xfId="10041" builtinId="8" hidden="1"/>
    <cellStyle name="Hyperlink" xfId="10043" builtinId="8" hidden="1"/>
    <cellStyle name="Hyperlink" xfId="10045" builtinId="8" hidden="1"/>
    <cellStyle name="Hyperlink" xfId="10047" builtinId="8" hidden="1"/>
    <cellStyle name="Hyperlink" xfId="10049" builtinId="8" hidden="1"/>
    <cellStyle name="Hyperlink" xfId="10051" builtinId="8" hidden="1"/>
    <cellStyle name="Hyperlink" xfId="10053" builtinId="8" hidden="1"/>
    <cellStyle name="Hyperlink" xfId="10055" builtinId="8" hidden="1"/>
    <cellStyle name="Hyperlink" xfId="10057" builtinId="8" hidden="1"/>
    <cellStyle name="Hyperlink" xfId="10059" builtinId="8" hidden="1"/>
    <cellStyle name="Hyperlink" xfId="10061" builtinId="8" hidden="1"/>
    <cellStyle name="Hyperlink" xfId="10063" builtinId="8" hidden="1"/>
    <cellStyle name="Hyperlink" xfId="10065" builtinId="8" hidden="1"/>
    <cellStyle name="Hyperlink" xfId="10067" builtinId="8" hidden="1"/>
    <cellStyle name="Hyperlink" xfId="10069" builtinId="8" hidden="1"/>
    <cellStyle name="Hyperlink" xfId="10071" builtinId="8" hidden="1"/>
    <cellStyle name="Hyperlink" xfId="10073" builtinId="8" hidden="1"/>
    <cellStyle name="Hyperlink" xfId="10075" builtinId="8" hidden="1"/>
    <cellStyle name="Hyperlink" xfId="10077" builtinId="8" hidden="1"/>
    <cellStyle name="Hyperlink" xfId="10079" builtinId="8" hidden="1"/>
    <cellStyle name="Hyperlink" xfId="10081" builtinId="8" hidden="1"/>
    <cellStyle name="Hyperlink" xfId="10083" builtinId="8" hidden="1"/>
    <cellStyle name="Hyperlink" xfId="10085" builtinId="8" hidden="1"/>
    <cellStyle name="Hyperlink" xfId="10087" builtinId="8" hidden="1"/>
    <cellStyle name="Hyperlink" xfId="10089" builtinId="8" hidden="1"/>
    <cellStyle name="Hyperlink" xfId="10091" builtinId="8" hidden="1"/>
    <cellStyle name="Hyperlink" xfId="10093" builtinId="8" hidden="1"/>
    <cellStyle name="Hyperlink" xfId="10095" builtinId="8" hidden="1"/>
    <cellStyle name="Hyperlink" xfId="10097" builtinId="8" hidden="1"/>
    <cellStyle name="Hyperlink" xfId="10099" builtinId="8" hidden="1"/>
    <cellStyle name="Hyperlink" xfId="10101" builtinId="8" hidden="1"/>
    <cellStyle name="Hyperlink" xfId="10103" builtinId="8" hidden="1"/>
    <cellStyle name="Hyperlink" xfId="10105" builtinId="8" hidden="1"/>
    <cellStyle name="Hyperlink" xfId="10107" builtinId="8" hidden="1"/>
    <cellStyle name="Hyperlink" xfId="10109" builtinId="8" hidden="1"/>
    <cellStyle name="Hyperlink" xfId="10111" builtinId="8" hidden="1"/>
    <cellStyle name="Hyperlink" xfId="10113" builtinId="8" hidden="1"/>
    <cellStyle name="Hyperlink" xfId="10115" builtinId="8" hidden="1"/>
    <cellStyle name="Hyperlink" xfId="10117" builtinId="8" hidden="1"/>
    <cellStyle name="Hyperlink" xfId="10119" builtinId="8" hidden="1"/>
    <cellStyle name="Hyperlink" xfId="10121" builtinId="8" hidden="1"/>
    <cellStyle name="Hyperlink" xfId="10123" builtinId="8" hidden="1"/>
    <cellStyle name="Hyperlink" xfId="10125" builtinId="8" hidden="1"/>
    <cellStyle name="Hyperlink" xfId="10127" builtinId="8" hidden="1"/>
    <cellStyle name="Hyperlink" xfId="10129" builtinId="8" hidden="1"/>
    <cellStyle name="Hyperlink" xfId="10131" builtinId="8" hidden="1"/>
    <cellStyle name="Hyperlink" xfId="10133" builtinId="8" hidden="1"/>
    <cellStyle name="Hyperlink" xfId="10135" builtinId="8" hidden="1"/>
    <cellStyle name="Hyperlink" xfId="10137" builtinId="8" hidden="1"/>
    <cellStyle name="Hyperlink" xfId="10139" builtinId="8" hidden="1"/>
    <cellStyle name="Hyperlink" xfId="10141" builtinId="8" hidden="1"/>
    <cellStyle name="Hyperlink" xfId="10143" builtinId="8" hidden="1"/>
    <cellStyle name="Hyperlink" xfId="10145" builtinId="8" hidden="1"/>
    <cellStyle name="Hyperlink" xfId="10147" builtinId="8" hidden="1"/>
    <cellStyle name="Hyperlink" xfId="10149" builtinId="8" hidden="1"/>
    <cellStyle name="Hyperlink" xfId="10151" builtinId="8" hidden="1"/>
    <cellStyle name="Hyperlink" xfId="10153" builtinId="8" hidden="1"/>
    <cellStyle name="Hyperlink" xfId="10155" builtinId="8" hidden="1"/>
    <cellStyle name="Hyperlink" xfId="10157" builtinId="8" hidden="1"/>
    <cellStyle name="Hyperlink" xfId="10159" builtinId="8" hidden="1"/>
    <cellStyle name="Hyperlink" xfId="10161" builtinId="8" hidden="1"/>
    <cellStyle name="Hyperlink" xfId="10163" builtinId="8" hidden="1"/>
    <cellStyle name="Hyperlink" xfId="10165" builtinId="8" hidden="1"/>
    <cellStyle name="Hyperlink" xfId="10167" builtinId="8" hidden="1"/>
    <cellStyle name="Hyperlink" xfId="10169" builtinId="8" hidden="1"/>
    <cellStyle name="Hyperlink" xfId="10171" builtinId="8" hidden="1"/>
    <cellStyle name="Hyperlink" xfId="10173" builtinId="8" hidden="1"/>
    <cellStyle name="Hyperlink" xfId="10175" builtinId="8" hidden="1"/>
    <cellStyle name="Hyperlink" xfId="10177" builtinId="8" hidden="1"/>
    <cellStyle name="Hyperlink" xfId="10179" builtinId="8" hidden="1"/>
    <cellStyle name="Hyperlink" xfId="10181" builtinId="8" hidden="1"/>
    <cellStyle name="Hyperlink" xfId="10183" builtinId="8" hidden="1"/>
    <cellStyle name="Hyperlink" xfId="10185" builtinId="8" hidden="1"/>
    <cellStyle name="Hyperlink" xfId="10187" builtinId="8" hidden="1"/>
    <cellStyle name="Hyperlink" xfId="10189" builtinId="8" hidden="1"/>
    <cellStyle name="Hyperlink" xfId="10191" builtinId="8" hidden="1"/>
    <cellStyle name="Hyperlink" xfId="10193" builtinId="8" hidden="1"/>
    <cellStyle name="Hyperlink" xfId="10195" builtinId="8" hidden="1"/>
    <cellStyle name="Hyperlink" xfId="10197" builtinId="8" hidden="1"/>
    <cellStyle name="Hyperlink" xfId="10199" builtinId="8" hidden="1"/>
    <cellStyle name="Hyperlink" xfId="10201" builtinId="8" hidden="1"/>
    <cellStyle name="Hyperlink" xfId="10203" builtinId="8" hidden="1"/>
    <cellStyle name="Hyperlink" xfId="10205" builtinId="8" hidden="1"/>
    <cellStyle name="Hyperlink" xfId="10207" builtinId="8" hidden="1"/>
    <cellStyle name="Hyperlink" xfId="10209" builtinId="8" hidden="1"/>
    <cellStyle name="Hyperlink" xfId="10211" builtinId="8" hidden="1"/>
    <cellStyle name="Hyperlink" xfId="10213" builtinId="8" hidden="1"/>
    <cellStyle name="Hyperlink" xfId="10215" builtinId="8" hidden="1"/>
    <cellStyle name="Hyperlink" xfId="10217" builtinId="8" hidden="1"/>
    <cellStyle name="Hyperlink" xfId="10219" builtinId="8" hidden="1"/>
    <cellStyle name="Hyperlink" xfId="10221" builtinId="8" hidden="1"/>
    <cellStyle name="Hyperlink" xfId="10223" builtinId="8" hidden="1"/>
    <cellStyle name="Hyperlink" xfId="10225" builtinId="8" hidden="1"/>
    <cellStyle name="Hyperlink" xfId="10227" builtinId="8" hidden="1"/>
    <cellStyle name="Hyperlink" xfId="10229" builtinId="8" hidden="1"/>
    <cellStyle name="Hyperlink" xfId="10231" builtinId="8" hidden="1"/>
    <cellStyle name="Hyperlink" xfId="10233" builtinId="8" hidden="1"/>
    <cellStyle name="Hyperlink" xfId="10235" builtinId="8" hidden="1"/>
    <cellStyle name="Hyperlink" xfId="10237" builtinId="8" hidden="1"/>
    <cellStyle name="Hyperlink" xfId="10239" builtinId="8" hidden="1"/>
    <cellStyle name="Hyperlink" xfId="10241" builtinId="8" hidden="1"/>
    <cellStyle name="Hyperlink" xfId="10243" builtinId="8" hidden="1"/>
    <cellStyle name="Hyperlink" xfId="10245" builtinId="8" hidden="1"/>
    <cellStyle name="Hyperlink" xfId="10247" builtinId="8" hidden="1"/>
    <cellStyle name="Hyperlink" xfId="10249" builtinId="8" hidden="1"/>
    <cellStyle name="Hyperlink" xfId="10251" builtinId="8" hidden="1"/>
    <cellStyle name="Hyperlink" xfId="10253" builtinId="8" hidden="1"/>
    <cellStyle name="Hyperlink" xfId="10255" builtinId="8" hidden="1"/>
    <cellStyle name="Hyperlink" xfId="10257" builtinId="8" hidden="1"/>
    <cellStyle name="Hyperlink" xfId="10259" builtinId="8" hidden="1"/>
    <cellStyle name="Hyperlink" xfId="10261" builtinId="8" hidden="1"/>
    <cellStyle name="Hyperlink" xfId="10263" builtinId="8" hidden="1"/>
    <cellStyle name="Hyperlink" xfId="10265" builtinId="8" hidden="1"/>
    <cellStyle name="Hyperlink" xfId="10267" builtinId="8" hidden="1"/>
    <cellStyle name="Hyperlink" xfId="10269" builtinId="8" hidden="1"/>
    <cellStyle name="Hyperlink" xfId="10271" builtinId="8" hidden="1"/>
    <cellStyle name="Hyperlink" xfId="10273" builtinId="8" hidden="1"/>
    <cellStyle name="Hyperlink" xfId="10275" builtinId="8" hidden="1"/>
    <cellStyle name="Hyperlink" xfId="10277" builtinId="8" hidden="1"/>
    <cellStyle name="Hyperlink" xfId="10279" builtinId="8" hidden="1"/>
    <cellStyle name="Hyperlink" xfId="10281" builtinId="8" hidden="1"/>
    <cellStyle name="Hyperlink" xfId="10283" builtinId="8" hidden="1"/>
    <cellStyle name="Hyperlink" xfId="10285" builtinId="8" hidden="1"/>
    <cellStyle name="Hyperlink" xfId="10287" builtinId="8" hidden="1"/>
    <cellStyle name="Hyperlink" xfId="10289" builtinId="8" hidden="1"/>
    <cellStyle name="Hyperlink" xfId="10291" builtinId="8" hidden="1"/>
    <cellStyle name="Hyperlink" xfId="10293" builtinId="8" hidden="1"/>
    <cellStyle name="Hyperlink" xfId="10295" builtinId="8" hidden="1"/>
    <cellStyle name="Hyperlink" xfId="10297" builtinId="8" hidden="1"/>
    <cellStyle name="Hyperlink" xfId="10299" builtinId="8" hidden="1"/>
    <cellStyle name="Hyperlink" xfId="10301" builtinId="8" hidden="1"/>
    <cellStyle name="Hyperlink" xfId="10303" builtinId="8" hidden="1"/>
    <cellStyle name="Hyperlink" xfId="10305" builtinId="8" hidden="1"/>
    <cellStyle name="Hyperlink" xfId="10307" builtinId="8" hidden="1"/>
    <cellStyle name="Hyperlink" xfId="10309" builtinId="8" hidden="1"/>
    <cellStyle name="Hyperlink" xfId="10311" builtinId="8" hidden="1"/>
    <cellStyle name="Hyperlink" xfId="10313" builtinId="8" hidden="1"/>
    <cellStyle name="Hyperlink" xfId="10315" builtinId="8" hidden="1"/>
    <cellStyle name="Hyperlink" xfId="10317" builtinId="8" hidden="1"/>
    <cellStyle name="Hyperlink" xfId="10319" builtinId="8" hidden="1"/>
    <cellStyle name="Hyperlink" xfId="10321" builtinId="8" hidden="1"/>
    <cellStyle name="Hyperlink" xfId="10323" builtinId="8" hidden="1"/>
    <cellStyle name="Hyperlink" xfId="10325" builtinId="8" hidden="1"/>
    <cellStyle name="Hyperlink" xfId="10327" builtinId="8" hidden="1"/>
    <cellStyle name="Hyperlink" xfId="10329" builtinId="8" hidden="1"/>
    <cellStyle name="Hyperlink" xfId="10331" builtinId="8" hidden="1"/>
    <cellStyle name="Hyperlink" xfId="10333" builtinId="8" hidden="1"/>
    <cellStyle name="Hyperlink" xfId="10335" builtinId="8" hidden="1"/>
    <cellStyle name="Hyperlink" xfId="10337" builtinId="8" hidden="1"/>
    <cellStyle name="Hyperlink" xfId="10339" builtinId="8" hidden="1"/>
    <cellStyle name="Hyperlink" xfId="10341" builtinId="8" hidden="1"/>
    <cellStyle name="Hyperlink" xfId="10343" builtinId="8" hidden="1"/>
    <cellStyle name="Hyperlink" xfId="10345" builtinId="8" hidden="1"/>
    <cellStyle name="Hyperlink" xfId="10347" builtinId="8" hidden="1"/>
    <cellStyle name="Hyperlink" xfId="10349" builtinId="8" hidden="1"/>
    <cellStyle name="Hyperlink" xfId="10351" builtinId="8" hidden="1"/>
    <cellStyle name="Hyperlink" xfId="10353" builtinId="8" hidden="1"/>
    <cellStyle name="Hyperlink" xfId="10355" builtinId="8" hidden="1"/>
    <cellStyle name="Hyperlink" xfId="10357" builtinId="8" hidden="1"/>
    <cellStyle name="Hyperlink" xfId="10359" builtinId="8" hidden="1"/>
    <cellStyle name="Hyperlink" xfId="10361" builtinId="8" hidden="1"/>
    <cellStyle name="Hyperlink" xfId="10363" builtinId="8" hidden="1"/>
    <cellStyle name="Hyperlink" xfId="10365" builtinId="8" hidden="1"/>
    <cellStyle name="Hyperlink" xfId="10367" builtinId="8" hidden="1"/>
    <cellStyle name="Hyperlink" xfId="10369" builtinId="8" hidden="1"/>
    <cellStyle name="Hyperlink" xfId="10371" builtinId="8" hidden="1"/>
    <cellStyle name="Hyperlink" xfId="10373" builtinId="8" hidden="1"/>
    <cellStyle name="Hyperlink" xfId="10375" builtinId="8" hidden="1"/>
    <cellStyle name="Hyperlink" xfId="10377" builtinId="8" hidden="1"/>
    <cellStyle name="Hyperlink" xfId="10379" builtinId="8" hidden="1"/>
    <cellStyle name="Hyperlink" xfId="10381" builtinId="8" hidden="1"/>
    <cellStyle name="Hyperlink" xfId="10383" builtinId="8" hidden="1"/>
    <cellStyle name="Hyperlink" xfId="10385" builtinId="8" hidden="1"/>
    <cellStyle name="Hyperlink" xfId="10387" builtinId="8" hidden="1"/>
    <cellStyle name="Hyperlink" xfId="10389" builtinId="8" hidden="1"/>
    <cellStyle name="Hyperlink" xfId="10391" builtinId="8" hidden="1"/>
    <cellStyle name="Hyperlink" xfId="10393" builtinId="8" hidden="1"/>
    <cellStyle name="Hyperlink" xfId="10395" builtinId="8" hidden="1"/>
    <cellStyle name="Hyperlink" xfId="10397" builtinId="8" hidden="1"/>
    <cellStyle name="Hyperlink" xfId="10399" builtinId="8" hidden="1"/>
    <cellStyle name="Hyperlink" xfId="10401" builtinId="8" hidden="1"/>
    <cellStyle name="Hyperlink" xfId="10403" builtinId="8" hidden="1"/>
    <cellStyle name="Hyperlink" xfId="10405" builtinId="8" hidden="1"/>
    <cellStyle name="Hyperlink" xfId="10407" builtinId="8" hidden="1"/>
    <cellStyle name="Hyperlink" xfId="10409" builtinId="8" hidden="1"/>
    <cellStyle name="Hyperlink" xfId="10411" builtinId="8" hidden="1"/>
    <cellStyle name="Hyperlink" xfId="10413" builtinId="8" hidden="1"/>
    <cellStyle name="Hyperlink" xfId="10415" builtinId="8" hidden="1"/>
    <cellStyle name="Hyperlink" xfId="10417" builtinId="8" hidden="1"/>
    <cellStyle name="Hyperlink" xfId="10419" builtinId="8" hidden="1"/>
    <cellStyle name="Hyperlink" xfId="10421" builtinId="8" hidden="1"/>
    <cellStyle name="Hyperlink" xfId="10423" builtinId="8" hidden="1"/>
    <cellStyle name="Hyperlink" xfId="10425" builtinId="8" hidden="1"/>
    <cellStyle name="Hyperlink" xfId="10427" builtinId="8" hidden="1"/>
    <cellStyle name="Hyperlink" xfId="10429" builtinId="8" hidden="1"/>
    <cellStyle name="Hyperlink" xfId="10431" builtinId="8" hidden="1"/>
    <cellStyle name="Hyperlink" xfId="10433" builtinId="8" hidden="1"/>
    <cellStyle name="Hyperlink" xfId="10435" builtinId="8" hidden="1"/>
    <cellStyle name="Hyperlink" xfId="10437" builtinId="8" hidden="1"/>
    <cellStyle name="Hyperlink" xfId="10439" builtinId="8" hidden="1"/>
    <cellStyle name="Hyperlink" xfId="10441" builtinId="8" hidden="1"/>
    <cellStyle name="Hyperlink" xfId="10443" builtinId="8" hidden="1"/>
    <cellStyle name="Hyperlink" xfId="10445" builtinId="8" hidden="1"/>
    <cellStyle name="Hyperlink" xfId="10447" builtinId="8" hidden="1"/>
    <cellStyle name="Hyperlink" xfId="10449" builtinId="8" hidden="1"/>
    <cellStyle name="Hyperlink" xfId="10451" builtinId="8" hidden="1"/>
    <cellStyle name="Hyperlink" xfId="10453" builtinId="8" hidden="1"/>
    <cellStyle name="Hyperlink" xfId="10455" builtinId="8" hidden="1"/>
    <cellStyle name="Hyperlink" xfId="10457" builtinId="8" hidden="1"/>
    <cellStyle name="Hyperlink" xfId="10459" builtinId="8" hidden="1"/>
    <cellStyle name="Hyperlink" xfId="10461" builtinId="8" hidden="1"/>
    <cellStyle name="Hyperlink" xfId="10463" builtinId="8" hidden="1"/>
    <cellStyle name="Hyperlink" xfId="10465" builtinId="8" hidden="1"/>
    <cellStyle name="Hyperlink" xfId="10467" builtinId="8" hidden="1"/>
    <cellStyle name="Hyperlink" xfId="10469" builtinId="8" hidden="1"/>
    <cellStyle name="Hyperlink" xfId="10471" builtinId="8" hidden="1"/>
    <cellStyle name="Hyperlink" xfId="10473" builtinId="8" hidden="1"/>
    <cellStyle name="Hyperlink" xfId="10475" builtinId="8" hidden="1"/>
    <cellStyle name="Hyperlink" xfId="10477" builtinId="8" hidden="1"/>
    <cellStyle name="Hyperlink" xfId="10479" builtinId="8" hidden="1"/>
    <cellStyle name="Hyperlink" xfId="10481" builtinId="8" hidden="1"/>
    <cellStyle name="Hyperlink" xfId="10483" builtinId="8" hidden="1"/>
    <cellStyle name="Hyperlink" xfId="10485" builtinId="8" hidden="1"/>
    <cellStyle name="Hyperlink" xfId="10487" builtinId="8" hidden="1"/>
    <cellStyle name="Hyperlink" xfId="10489" builtinId="8" hidden="1"/>
    <cellStyle name="Hyperlink" xfId="10491" builtinId="8" hidden="1"/>
    <cellStyle name="Hyperlink" xfId="10493" builtinId="8" hidden="1"/>
    <cellStyle name="Hyperlink" xfId="10495" builtinId="8" hidden="1"/>
    <cellStyle name="Hyperlink" xfId="10497" builtinId="8" hidden="1"/>
    <cellStyle name="Hyperlink" xfId="10499" builtinId="8" hidden="1"/>
    <cellStyle name="Hyperlink" xfId="10501" builtinId="8" hidden="1"/>
    <cellStyle name="Hyperlink" xfId="10503" builtinId="8" hidden="1"/>
    <cellStyle name="Hyperlink" xfId="10505" builtinId="8" hidden="1"/>
    <cellStyle name="Hyperlink" xfId="10507" builtinId="8" hidden="1"/>
    <cellStyle name="Hyperlink" xfId="10509" builtinId="8" hidden="1"/>
    <cellStyle name="Hyperlink" xfId="10511" builtinId="8" hidden="1"/>
    <cellStyle name="Hyperlink" xfId="10513" builtinId="8" hidden="1"/>
    <cellStyle name="Hyperlink" xfId="10515" builtinId="8" hidden="1"/>
    <cellStyle name="Hyperlink" xfId="10517" builtinId="8" hidden="1"/>
    <cellStyle name="Hyperlink" xfId="10519" builtinId="8" hidden="1"/>
    <cellStyle name="Hyperlink" xfId="10521" builtinId="8" hidden="1"/>
    <cellStyle name="Hyperlink" xfId="10523" builtinId="8" hidden="1"/>
    <cellStyle name="Hyperlink" xfId="10525" builtinId="8" hidden="1"/>
    <cellStyle name="Hyperlink" xfId="10527" builtinId="8" hidden="1"/>
    <cellStyle name="Hyperlink" xfId="10529" builtinId="8" hidden="1"/>
    <cellStyle name="Hyperlink" xfId="10531" builtinId="8" hidden="1"/>
    <cellStyle name="Hyperlink" xfId="10533" builtinId="8" hidden="1"/>
    <cellStyle name="Hyperlink" xfId="10535" builtinId="8" hidden="1"/>
    <cellStyle name="Hyperlink" xfId="10537" builtinId="8" hidden="1"/>
    <cellStyle name="Hyperlink" xfId="10539" builtinId="8" hidden="1"/>
    <cellStyle name="Hyperlink" xfId="10541" builtinId="8" hidden="1"/>
    <cellStyle name="Hyperlink" xfId="10543" builtinId="8" hidden="1"/>
    <cellStyle name="Hyperlink" xfId="10545" builtinId="8" hidden="1"/>
    <cellStyle name="Hyperlink" xfId="10547" builtinId="8" hidden="1"/>
    <cellStyle name="Hyperlink" xfId="10549" builtinId="8" hidden="1"/>
    <cellStyle name="Hyperlink" xfId="10551" builtinId="8" hidden="1"/>
    <cellStyle name="Hyperlink" xfId="10553" builtinId="8" hidden="1"/>
    <cellStyle name="Hyperlink" xfId="10555" builtinId="8" hidden="1"/>
    <cellStyle name="Hyperlink" xfId="10557" builtinId="8" hidden="1"/>
    <cellStyle name="Hyperlink" xfId="10559" builtinId="8" hidden="1"/>
    <cellStyle name="Hyperlink" xfId="10561" builtinId="8" hidden="1"/>
    <cellStyle name="Hyperlink" xfId="10563" builtinId="8" hidden="1"/>
    <cellStyle name="Hyperlink" xfId="10565" builtinId="8" hidden="1"/>
    <cellStyle name="Hyperlink" xfId="10567" builtinId="8" hidden="1"/>
    <cellStyle name="Hyperlink" xfId="10569" builtinId="8" hidden="1"/>
    <cellStyle name="Hyperlink" xfId="10571" builtinId="8" hidden="1"/>
    <cellStyle name="Hyperlink" xfId="10573" builtinId="8" hidden="1"/>
    <cellStyle name="Hyperlink" xfId="10575" builtinId="8" hidden="1"/>
    <cellStyle name="Hyperlink" xfId="10577" builtinId="8" hidden="1"/>
    <cellStyle name="Hyperlink" xfId="10579" builtinId="8" hidden="1"/>
    <cellStyle name="Hyperlink" xfId="10581" builtinId="8" hidden="1"/>
    <cellStyle name="Hyperlink" xfId="10583" builtinId="8" hidden="1"/>
    <cellStyle name="Hyperlink" xfId="10585" builtinId="8" hidden="1"/>
    <cellStyle name="Hyperlink" xfId="10587" builtinId="8" hidden="1"/>
    <cellStyle name="Hyperlink" xfId="10589" builtinId="8" hidden="1"/>
    <cellStyle name="Hyperlink" xfId="10591" builtinId="8" hidden="1"/>
    <cellStyle name="Hyperlink" xfId="10593" builtinId="8" hidden="1"/>
    <cellStyle name="Hyperlink" xfId="10595" builtinId="8" hidden="1"/>
    <cellStyle name="Hyperlink" xfId="10597" builtinId="8" hidden="1"/>
    <cellStyle name="Hyperlink" xfId="10599" builtinId="8" hidden="1"/>
    <cellStyle name="Hyperlink" xfId="10601" builtinId="8" hidden="1"/>
    <cellStyle name="Hyperlink" xfId="10603" builtinId="8" hidden="1"/>
    <cellStyle name="Hyperlink" xfId="10605" builtinId="8" hidden="1"/>
    <cellStyle name="Hyperlink" xfId="10607" builtinId="8" hidden="1"/>
    <cellStyle name="Hyperlink" xfId="10609" builtinId="8" hidden="1"/>
    <cellStyle name="Hyperlink" xfId="10611" builtinId="8" hidden="1"/>
    <cellStyle name="Hyperlink" xfId="10613" builtinId="8" hidden="1"/>
    <cellStyle name="Hyperlink" xfId="10615" builtinId="8" hidden="1"/>
    <cellStyle name="Hyperlink" xfId="10617" builtinId="8" hidden="1"/>
    <cellStyle name="Hyperlink" xfId="10619" builtinId="8" hidden="1"/>
    <cellStyle name="Hyperlink" xfId="10621" builtinId="8" hidden="1"/>
    <cellStyle name="Hyperlink" xfId="10623" builtinId="8" hidden="1"/>
    <cellStyle name="Hyperlink" xfId="10625" builtinId="8" hidden="1"/>
    <cellStyle name="Hyperlink" xfId="10627" builtinId="8" hidden="1"/>
    <cellStyle name="Hyperlink" xfId="10629" builtinId="8" hidden="1"/>
    <cellStyle name="Hyperlink" xfId="10631" builtinId="8" hidden="1"/>
    <cellStyle name="Hyperlink" xfId="10633" builtinId="8" hidden="1"/>
    <cellStyle name="Hyperlink" xfId="10635" builtinId="8" hidden="1"/>
    <cellStyle name="Hyperlink" xfId="10637" builtinId="8" hidden="1"/>
    <cellStyle name="Hyperlink" xfId="10639" builtinId="8" hidden="1"/>
    <cellStyle name="Hyperlink" xfId="10641" builtinId="8" hidden="1"/>
    <cellStyle name="Hyperlink" xfId="10643" builtinId="8" hidden="1"/>
    <cellStyle name="Hyperlink" xfId="10645" builtinId="8" hidden="1"/>
    <cellStyle name="Hyperlink" xfId="10647" builtinId="8" hidden="1"/>
    <cellStyle name="Hyperlink" xfId="10649" builtinId="8" hidden="1"/>
    <cellStyle name="Hyperlink" xfId="10651" builtinId="8" hidden="1"/>
    <cellStyle name="Hyperlink" xfId="10653" builtinId="8" hidden="1"/>
    <cellStyle name="Hyperlink" xfId="10655" builtinId="8" hidden="1"/>
    <cellStyle name="Hyperlink" xfId="10657" builtinId="8" hidden="1"/>
    <cellStyle name="Hyperlink" xfId="10659" builtinId="8" hidden="1"/>
    <cellStyle name="Hyperlink" xfId="10661" builtinId="8" hidden="1"/>
    <cellStyle name="Hyperlink" xfId="10663" builtinId="8" hidden="1"/>
    <cellStyle name="Hyperlink" xfId="10665" builtinId="8" hidden="1"/>
    <cellStyle name="Hyperlink" xfId="10667" builtinId="8" hidden="1"/>
    <cellStyle name="Hyperlink" xfId="10669" builtinId="8" hidden="1"/>
    <cellStyle name="Hyperlink" xfId="10671" builtinId="8" hidden="1"/>
    <cellStyle name="Hyperlink" xfId="10673" builtinId="8" hidden="1"/>
    <cellStyle name="Hyperlink" xfId="10675" builtinId="8" hidden="1"/>
    <cellStyle name="Hyperlink" xfId="10677" builtinId="8" hidden="1"/>
    <cellStyle name="Hyperlink" xfId="10679" builtinId="8" hidden="1"/>
    <cellStyle name="Hyperlink" xfId="10681" builtinId="8" hidden="1"/>
    <cellStyle name="Hyperlink" xfId="10683" builtinId="8" hidden="1"/>
    <cellStyle name="Hyperlink" xfId="10685" builtinId="8" hidden="1"/>
    <cellStyle name="Hyperlink" xfId="10687" builtinId="8" hidden="1"/>
    <cellStyle name="Hyperlink" xfId="10689" builtinId="8" hidden="1"/>
    <cellStyle name="Hyperlink" xfId="10691" builtinId="8" hidden="1"/>
    <cellStyle name="Hyperlink" xfId="10693" builtinId="8" hidden="1"/>
    <cellStyle name="Hyperlink" xfId="10695" builtinId="8" hidden="1"/>
    <cellStyle name="Hyperlink" xfId="10697" builtinId="8" hidden="1"/>
    <cellStyle name="Hyperlink" xfId="10699" builtinId="8" hidden="1"/>
    <cellStyle name="Hyperlink" xfId="10701" builtinId="8" hidden="1"/>
    <cellStyle name="Hyperlink" xfId="10703" builtinId="8" hidden="1"/>
    <cellStyle name="Hyperlink" xfId="10705" builtinId="8" hidden="1"/>
    <cellStyle name="Hyperlink" xfId="10707" builtinId="8" hidden="1"/>
    <cellStyle name="Hyperlink" xfId="10709" builtinId="8" hidden="1"/>
    <cellStyle name="Hyperlink" xfId="10711" builtinId="8" hidden="1"/>
    <cellStyle name="Hyperlink" xfId="10713" builtinId="8" hidden="1"/>
    <cellStyle name="Hyperlink" xfId="10715" builtinId="8" hidden="1"/>
    <cellStyle name="Hyperlink" xfId="10717" builtinId="8" hidden="1"/>
    <cellStyle name="Hyperlink" xfId="10719" builtinId="8" hidden="1"/>
    <cellStyle name="Hyperlink" xfId="10721" builtinId="8" hidden="1"/>
    <cellStyle name="Hyperlink" xfId="10723" builtinId="8" hidden="1"/>
    <cellStyle name="Hyperlink" xfId="10725" builtinId="8" hidden="1"/>
    <cellStyle name="Hyperlink" xfId="10727" builtinId="8" hidden="1"/>
    <cellStyle name="Hyperlink" xfId="10729" builtinId="8" hidden="1"/>
    <cellStyle name="Hyperlink" xfId="10731" builtinId="8" hidden="1"/>
    <cellStyle name="Hyperlink" xfId="10733" builtinId="8" hidden="1"/>
    <cellStyle name="Hyperlink" xfId="10735" builtinId="8" hidden="1"/>
    <cellStyle name="Hyperlink" xfId="10737" builtinId="8" hidden="1"/>
    <cellStyle name="Hyperlink" xfId="10739" builtinId="8" hidden="1"/>
    <cellStyle name="Hyperlink" xfId="10741" builtinId="8" hidden="1"/>
    <cellStyle name="Hyperlink" xfId="10743" builtinId="8" hidden="1"/>
    <cellStyle name="Hyperlink" xfId="10745" builtinId="8" hidden="1"/>
    <cellStyle name="Hyperlink" xfId="10747" builtinId="8" hidden="1"/>
    <cellStyle name="Hyperlink" xfId="10749" builtinId="8" hidden="1"/>
    <cellStyle name="Hyperlink" xfId="10751" builtinId="8" hidden="1"/>
    <cellStyle name="Hyperlink" xfId="10753" builtinId="8" hidden="1"/>
    <cellStyle name="Hyperlink" xfId="10755" builtinId="8" hidden="1"/>
    <cellStyle name="Hyperlink" xfId="10757" builtinId="8" hidden="1"/>
    <cellStyle name="Hyperlink" xfId="10759" builtinId="8" hidden="1"/>
    <cellStyle name="Hyperlink" xfId="10761" builtinId="8" hidden="1"/>
    <cellStyle name="Hyperlink" xfId="10763" builtinId="8" hidden="1"/>
    <cellStyle name="Hyperlink" xfId="10765" builtinId="8" hidden="1"/>
    <cellStyle name="Hyperlink" xfId="10767" builtinId="8" hidden="1"/>
    <cellStyle name="Hyperlink" xfId="10769" builtinId="8" hidden="1"/>
    <cellStyle name="Hyperlink" xfId="10771" builtinId="8" hidden="1"/>
    <cellStyle name="Hyperlink" xfId="10773" builtinId="8" hidden="1"/>
    <cellStyle name="Hyperlink" xfId="10775" builtinId="8" hidden="1"/>
    <cellStyle name="Hyperlink" xfId="10777" builtinId="8" hidden="1"/>
    <cellStyle name="Hyperlink" xfId="10779" builtinId="8" hidden="1"/>
    <cellStyle name="Hyperlink" xfId="10781" builtinId="8" hidden="1"/>
    <cellStyle name="Hyperlink" xfId="10783" builtinId="8" hidden="1"/>
    <cellStyle name="Hyperlink" xfId="10785" builtinId="8" hidden="1"/>
    <cellStyle name="Hyperlink" xfId="10787" builtinId="8" hidden="1"/>
    <cellStyle name="Hyperlink" xfId="10789" builtinId="8" hidden="1"/>
    <cellStyle name="Hyperlink" xfId="10791" builtinId="8" hidden="1"/>
    <cellStyle name="Hyperlink" xfId="10793" builtinId="8" hidden="1"/>
    <cellStyle name="Hyperlink" xfId="10795" builtinId="8" hidden="1"/>
    <cellStyle name="Hyperlink" xfId="10797" builtinId="8" hidden="1"/>
    <cellStyle name="Hyperlink" xfId="10799" builtinId="8" hidden="1"/>
    <cellStyle name="Hyperlink" xfId="10801" builtinId="8" hidden="1"/>
    <cellStyle name="Hyperlink" xfId="10803" builtinId="8" hidden="1"/>
    <cellStyle name="Hyperlink" xfId="10805" builtinId="8" hidden="1"/>
    <cellStyle name="Hyperlink" xfId="10807" builtinId="8" hidden="1"/>
    <cellStyle name="Hyperlink" xfId="10809" builtinId="8" hidden="1"/>
    <cellStyle name="Hyperlink" xfId="10811" builtinId="8" hidden="1"/>
    <cellStyle name="Hyperlink" xfId="10813" builtinId="8" hidden="1"/>
    <cellStyle name="Hyperlink" xfId="10815" builtinId="8" hidden="1"/>
    <cellStyle name="Hyperlink" xfId="10817" builtinId="8" hidden="1"/>
    <cellStyle name="Hyperlink" xfId="10819" builtinId="8" hidden="1"/>
    <cellStyle name="Hyperlink" xfId="10821" builtinId="8" hidden="1"/>
    <cellStyle name="Hyperlink" xfId="10823" builtinId="8" hidden="1"/>
    <cellStyle name="Hyperlink" xfId="10825" builtinId="8" hidden="1"/>
    <cellStyle name="Hyperlink" xfId="10827" builtinId="8" hidden="1"/>
    <cellStyle name="Hyperlink" xfId="10829" builtinId="8" hidden="1"/>
    <cellStyle name="Hyperlink" xfId="10831" builtinId="8" hidden="1"/>
    <cellStyle name="Hyperlink" xfId="10833" builtinId="8" hidden="1"/>
    <cellStyle name="Hyperlink" xfId="10835" builtinId="8" hidden="1"/>
    <cellStyle name="Hyperlink" xfId="10837" builtinId="8" hidden="1"/>
    <cellStyle name="Hyperlink" xfId="10839" builtinId="8" hidden="1"/>
    <cellStyle name="Hyperlink" xfId="10841" builtinId="8" hidden="1"/>
    <cellStyle name="Hyperlink" xfId="10843" builtinId="8" hidden="1"/>
    <cellStyle name="Hyperlink" xfId="10845" builtinId="8" hidden="1"/>
    <cellStyle name="Hyperlink" xfId="10847" builtinId="8" hidden="1"/>
    <cellStyle name="Hyperlink" xfId="10849" builtinId="8" hidden="1"/>
    <cellStyle name="Hyperlink" xfId="10851" builtinId="8" hidden="1"/>
    <cellStyle name="Hyperlink" xfId="10853" builtinId="8" hidden="1"/>
    <cellStyle name="Hyperlink" xfId="10855" builtinId="8" hidden="1"/>
    <cellStyle name="Hyperlink" xfId="10857" builtinId="8" hidden="1"/>
    <cellStyle name="Hyperlink" xfId="10859" builtinId="8" hidden="1"/>
    <cellStyle name="Hyperlink" xfId="10861" builtinId="8" hidden="1"/>
    <cellStyle name="Hyperlink" xfId="10863" builtinId="8" hidden="1"/>
    <cellStyle name="Hyperlink" xfId="10865" builtinId="8" hidden="1"/>
    <cellStyle name="Hyperlink" xfId="10867" builtinId="8" hidden="1"/>
    <cellStyle name="Hyperlink" xfId="10869" builtinId="8" hidden="1"/>
    <cellStyle name="Hyperlink" xfId="10871" builtinId="8" hidden="1"/>
    <cellStyle name="Hyperlink" xfId="10873" builtinId="8" hidden="1"/>
    <cellStyle name="Hyperlink" xfId="10875" builtinId="8" hidden="1"/>
    <cellStyle name="Hyperlink" xfId="10877" builtinId="8" hidden="1"/>
    <cellStyle name="Hyperlink" xfId="10879" builtinId="8" hidden="1"/>
    <cellStyle name="Hyperlink" xfId="10881" builtinId="8" hidden="1"/>
    <cellStyle name="Hyperlink" xfId="10883" builtinId="8" hidden="1"/>
    <cellStyle name="Hyperlink" xfId="10885" builtinId="8" hidden="1"/>
    <cellStyle name="Hyperlink" xfId="10887" builtinId="8" hidden="1"/>
    <cellStyle name="Hyperlink" xfId="10889" builtinId="8" hidden="1"/>
    <cellStyle name="Hyperlink" xfId="10891" builtinId="8" hidden="1"/>
    <cellStyle name="Hyperlink" xfId="10893" builtinId="8" hidden="1"/>
    <cellStyle name="Hyperlink" xfId="10895" builtinId="8" hidden="1"/>
    <cellStyle name="Hyperlink" xfId="10897" builtinId="8" hidden="1"/>
    <cellStyle name="Hyperlink" xfId="10899" builtinId="8" hidden="1"/>
    <cellStyle name="Hyperlink" xfId="10901" builtinId="8" hidden="1"/>
    <cellStyle name="Hyperlink" xfId="10903" builtinId="8" hidden="1"/>
    <cellStyle name="Hyperlink" xfId="10905" builtinId="8" hidden="1"/>
    <cellStyle name="Hyperlink" xfId="10907" builtinId="8" hidden="1"/>
    <cellStyle name="Hyperlink" xfId="10909" builtinId="8" hidden="1"/>
    <cellStyle name="Hyperlink" xfId="10911" builtinId="8" hidden="1"/>
    <cellStyle name="Hyperlink" xfId="10913" builtinId="8" hidden="1"/>
    <cellStyle name="Hyperlink" xfId="10915" builtinId="8" hidden="1"/>
    <cellStyle name="Hyperlink" xfId="10917" builtinId="8" hidden="1"/>
    <cellStyle name="Hyperlink" xfId="10919" builtinId="8" hidden="1"/>
    <cellStyle name="Hyperlink" xfId="10921" builtinId="8" hidden="1"/>
    <cellStyle name="Hyperlink" xfId="10923" builtinId="8" hidden="1"/>
    <cellStyle name="Hyperlink" xfId="10925" builtinId="8" hidden="1"/>
    <cellStyle name="Hyperlink" xfId="10927" builtinId="8" hidden="1"/>
    <cellStyle name="Hyperlink" xfId="10929" builtinId="8" hidden="1"/>
    <cellStyle name="Hyperlink" xfId="10931" builtinId="8" hidden="1"/>
    <cellStyle name="Hyperlink" xfId="10933" builtinId="8" hidden="1"/>
    <cellStyle name="Hyperlink" xfId="10935" builtinId="8" hidden="1"/>
    <cellStyle name="Hyperlink" xfId="10937" builtinId="8" hidden="1"/>
    <cellStyle name="Hyperlink" xfId="10939" builtinId="8" hidden="1"/>
    <cellStyle name="Hyperlink" xfId="10941" builtinId="8" hidden="1"/>
    <cellStyle name="Hyperlink" xfId="10943" builtinId="8" hidden="1"/>
    <cellStyle name="Hyperlink" xfId="10945" builtinId="8" hidden="1"/>
    <cellStyle name="Hyperlink" xfId="10947" builtinId="8" hidden="1"/>
    <cellStyle name="Hyperlink" xfId="10949" builtinId="8" hidden="1"/>
    <cellStyle name="Hyperlink" xfId="10951" builtinId="8" hidden="1"/>
    <cellStyle name="Hyperlink" xfId="10953" builtinId="8" hidden="1"/>
    <cellStyle name="Hyperlink" xfId="10955" builtinId="8" hidden="1"/>
    <cellStyle name="Hyperlink" xfId="10957" builtinId="8" hidden="1"/>
    <cellStyle name="Hyperlink" xfId="10959" builtinId="8" hidden="1"/>
    <cellStyle name="Hyperlink" xfId="10961" builtinId="8" hidden="1"/>
    <cellStyle name="Hyperlink" xfId="10963" builtinId="8" hidden="1"/>
    <cellStyle name="Hyperlink" xfId="10965" builtinId="8" hidden="1"/>
    <cellStyle name="Hyperlink" xfId="10967" builtinId="8" hidden="1"/>
    <cellStyle name="Hyperlink" xfId="10969" builtinId="8" hidden="1"/>
    <cellStyle name="Hyperlink" xfId="10971" builtinId="8" hidden="1"/>
    <cellStyle name="Hyperlink" xfId="10973" builtinId="8" hidden="1"/>
    <cellStyle name="Hyperlink" xfId="10975" builtinId="8" hidden="1"/>
    <cellStyle name="Hyperlink" xfId="10977" builtinId="8" hidden="1"/>
    <cellStyle name="Hyperlink" xfId="10979" builtinId="8" hidden="1"/>
    <cellStyle name="Hyperlink" xfId="10981" builtinId="8" hidden="1"/>
    <cellStyle name="Hyperlink" xfId="10983" builtinId="8" hidden="1"/>
    <cellStyle name="Hyperlink" xfId="10985" builtinId="8" hidden="1"/>
    <cellStyle name="Hyperlink" xfId="10987" builtinId="8" hidden="1"/>
    <cellStyle name="Hyperlink" xfId="10989" builtinId="8" hidden="1"/>
    <cellStyle name="Hyperlink" xfId="10991" builtinId="8" hidden="1"/>
    <cellStyle name="Hyperlink" xfId="10993" builtinId="8" hidden="1"/>
    <cellStyle name="Hyperlink" xfId="10995" builtinId="8" hidden="1"/>
    <cellStyle name="Hyperlink" xfId="10997" builtinId="8" hidden="1"/>
    <cellStyle name="Hyperlink" xfId="10999" builtinId="8" hidden="1"/>
    <cellStyle name="Hyperlink" xfId="11001" builtinId="8" hidden="1"/>
    <cellStyle name="Hyperlink" xfId="11003" builtinId="8" hidden="1"/>
    <cellStyle name="Hyperlink" xfId="11005" builtinId="8" hidden="1"/>
    <cellStyle name="Hyperlink" xfId="11007" builtinId="8" hidden="1"/>
    <cellStyle name="Hyperlink" xfId="11009" builtinId="8" hidden="1"/>
    <cellStyle name="Hyperlink" xfId="11011" builtinId="8" hidden="1"/>
    <cellStyle name="Hyperlink" xfId="11013" builtinId="8" hidden="1"/>
    <cellStyle name="Hyperlink" xfId="11015" builtinId="8" hidden="1"/>
    <cellStyle name="Hyperlink" xfId="11017" builtinId="8" hidden="1"/>
    <cellStyle name="Hyperlink" xfId="11019" builtinId="8" hidden="1"/>
    <cellStyle name="Hyperlink" xfId="11021" builtinId="8" hidden="1"/>
    <cellStyle name="Hyperlink" xfId="11023" builtinId="8" hidden="1"/>
    <cellStyle name="Hyperlink" xfId="11025" builtinId="8" hidden="1"/>
    <cellStyle name="Hyperlink" xfId="11027" builtinId="8" hidden="1"/>
    <cellStyle name="Hyperlink" xfId="11029" builtinId="8" hidden="1"/>
    <cellStyle name="Hyperlink" xfId="11031" builtinId="8" hidden="1"/>
    <cellStyle name="Hyperlink" xfId="11033" builtinId="8" hidden="1"/>
    <cellStyle name="Hyperlink" xfId="11035" builtinId="8" hidden="1"/>
    <cellStyle name="Hyperlink" xfId="11037" builtinId="8" hidden="1"/>
    <cellStyle name="Hyperlink" xfId="11039" builtinId="8" hidden="1"/>
    <cellStyle name="Hyperlink" xfId="11041" builtinId="8" hidden="1"/>
    <cellStyle name="Hyperlink" xfId="11043" builtinId="8" hidden="1"/>
    <cellStyle name="Hyperlink" xfId="11045" builtinId="8" hidden="1"/>
    <cellStyle name="Hyperlink" xfId="11047" builtinId="8" hidden="1"/>
    <cellStyle name="Hyperlink" xfId="11049" builtinId="8" hidden="1"/>
    <cellStyle name="Hyperlink" xfId="11051" builtinId="8" hidden="1"/>
    <cellStyle name="Hyperlink" xfId="11053" builtinId="8" hidden="1"/>
    <cellStyle name="Hyperlink" xfId="11055" builtinId="8" hidden="1"/>
    <cellStyle name="Hyperlink" xfId="11057" builtinId="8" hidden="1"/>
    <cellStyle name="Hyperlink" xfId="11059" builtinId="8" hidden="1"/>
    <cellStyle name="Hyperlink" xfId="11061" builtinId="8" hidden="1"/>
    <cellStyle name="Hyperlink" xfId="11063" builtinId="8" hidden="1"/>
    <cellStyle name="Hyperlink" xfId="11065" builtinId="8" hidden="1"/>
    <cellStyle name="Hyperlink" xfId="11067" builtinId="8" hidden="1"/>
    <cellStyle name="Hyperlink" xfId="11069" builtinId="8" hidden="1"/>
    <cellStyle name="Hyperlink" xfId="11071" builtinId="8" hidden="1"/>
    <cellStyle name="Hyperlink" xfId="11073" builtinId="8" hidden="1"/>
    <cellStyle name="Hyperlink" xfId="11075" builtinId="8" hidden="1"/>
    <cellStyle name="Hyperlink" xfId="11077" builtinId="8" hidden="1"/>
    <cellStyle name="Hyperlink" xfId="11079" builtinId="8" hidden="1"/>
    <cellStyle name="Hyperlink" xfId="11081" builtinId="8" hidden="1"/>
    <cellStyle name="Hyperlink" xfId="11083" builtinId="8" hidden="1"/>
    <cellStyle name="Hyperlink" xfId="11085" builtinId="8" hidden="1"/>
    <cellStyle name="Hyperlink" xfId="11087" builtinId="8" hidden="1"/>
    <cellStyle name="Hyperlink" xfId="11089" builtinId="8" hidden="1"/>
    <cellStyle name="Hyperlink" xfId="11091" builtinId="8" hidden="1"/>
    <cellStyle name="Hyperlink" xfId="11093" builtinId="8" hidden="1"/>
    <cellStyle name="Hyperlink" xfId="11095" builtinId="8" hidden="1"/>
    <cellStyle name="Hyperlink" xfId="11097" builtinId="8" hidden="1"/>
    <cellStyle name="Hyperlink" xfId="11099" builtinId="8" hidden="1"/>
    <cellStyle name="Hyperlink" xfId="11101" builtinId="8" hidden="1"/>
    <cellStyle name="Hyperlink" xfId="11103" builtinId="8" hidden="1"/>
    <cellStyle name="Hyperlink" xfId="11105" builtinId="8" hidden="1"/>
    <cellStyle name="Hyperlink" xfId="11107" builtinId="8" hidden="1"/>
    <cellStyle name="Hyperlink" xfId="11109" builtinId="8" hidden="1"/>
    <cellStyle name="Hyperlink" xfId="11111" builtinId="8" hidden="1"/>
    <cellStyle name="Hyperlink" xfId="11113" builtinId="8" hidden="1"/>
    <cellStyle name="Hyperlink" xfId="11115" builtinId="8" hidden="1"/>
    <cellStyle name="Hyperlink" xfId="11117" builtinId="8" hidden="1"/>
    <cellStyle name="Hyperlink" xfId="11119" builtinId="8" hidden="1"/>
    <cellStyle name="Hyperlink" xfId="11121" builtinId="8" hidden="1"/>
    <cellStyle name="Hyperlink" xfId="11123" builtinId="8" hidden="1"/>
    <cellStyle name="Hyperlink" xfId="11125" builtinId="8" hidden="1"/>
    <cellStyle name="Hyperlink" xfId="11127" builtinId="8" hidden="1"/>
    <cellStyle name="Hyperlink" xfId="11129" builtinId="8" hidden="1"/>
    <cellStyle name="Hyperlink" xfId="11131" builtinId="8" hidden="1"/>
    <cellStyle name="Hyperlink" xfId="11133" builtinId="8" hidden="1"/>
    <cellStyle name="Hyperlink" xfId="11135" builtinId="8" hidden="1"/>
    <cellStyle name="Hyperlink" xfId="11137" builtinId="8" hidden="1"/>
    <cellStyle name="Hyperlink" xfId="11139" builtinId="8" hidden="1"/>
    <cellStyle name="Hyperlink" xfId="11141" builtinId="8" hidden="1"/>
    <cellStyle name="Hyperlink" xfId="11143" builtinId="8" hidden="1"/>
    <cellStyle name="Hyperlink" xfId="11145" builtinId="8" hidden="1"/>
    <cellStyle name="Hyperlink" xfId="11147" builtinId="8" hidden="1"/>
    <cellStyle name="Hyperlink" xfId="11149" builtinId="8" hidden="1"/>
    <cellStyle name="Hyperlink" xfId="11151" builtinId="8" hidden="1"/>
    <cellStyle name="Hyperlink" xfId="11153" builtinId="8" hidden="1"/>
    <cellStyle name="Hyperlink" xfId="11155" builtinId="8" hidden="1"/>
    <cellStyle name="Hyperlink" xfId="11157" builtinId="8" hidden="1"/>
    <cellStyle name="Hyperlink" xfId="11159" builtinId="8" hidden="1"/>
    <cellStyle name="Hyperlink" xfId="11161" builtinId="8" hidden="1"/>
    <cellStyle name="Hyperlink" xfId="11163" builtinId="8" hidden="1"/>
    <cellStyle name="Hyperlink" xfId="11165" builtinId="8" hidden="1"/>
    <cellStyle name="Hyperlink" xfId="11167" builtinId="8" hidden="1"/>
    <cellStyle name="Hyperlink" xfId="11169" builtinId="8" hidden="1"/>
    <cellStyle name="Hyperlink" xfId="11171" builtinId="8" hidden="1"/>
    <cellStyle name="Hyperlink" xfId="11173" builtinId="8" hidden="1"/>
    <cellStyle name="Hyperlink" xfId="11175" builtinId="8" hidden="1"/>
    <cellStyle name="Hyperlink" xfId="11177" builtinId="8" hidden="1"/>
    <cellStyle name="Hyperlink" xfId="11179" builtinId="8" hidden="1"/>
    <cellStyle name="Hyperlink" xfId="11181" builtinId="8" hidden="1"/>
    <cellStyle name="Hyperlink" xfId="11183" builtinId="8" hidden="1"/>
    <cellStyle name="Hyperlink" xfId="11185" builtinId="8" hidden="1"/>
    <cellStyle name="Hyperlink" xfId="11187" builtinId="8" hidden="1"/>
    <cellStyle name="Hyperlink" xfId="11189" builtinId="8" hidden="1"/>
    <cellStyle name="Hyperlink" xfId="11191" builtinId="8" hidden="1"/>
    <cellStyle name="Hyperlink" xfId="11193" builtinId="8" hidden="1"/>
    <cellStyle name="Hyperlink" xfId="11195" builtinId="8" hidden="1"/>
    <cellStyle name="Hyperlink" xfId="11197" builtinId="8" hidden="1"/>
    <cellStyle name="Hyperlink" xfId="11199" builtinId="8" hidden="1"/>
    <cellStyle name="Hyperlink" xfId="11201" builtinId="8" hidden="1"/>
    <cellStyle name="Hyperlink" xfId="11203" builtinId="8" hidden="1"/>
    <cellStyle name="Hyperlink" xfId="11205" builtinId="8" hidden="1"/>
    <cellStyle name="Hyperlink" xfId="11207" builtinId="8" hidden="1"/>
    <cellStyle name="Hyperlink" xfId="11209" builtinId="8" hidden="1"/>
    <cellStyle name="Hyperlink" xfId="11211" builtinId="8" hidden="1"/>
    <cellStyle name="Hyperlink" xfId="11213" builtinId="8" hidden="1"/>
    <cellStyle name="Hyperlink" xfId="11215" builtinId="8" hidden="1"/>
    <cellStyle name="Hyperlink" xfId="11217" builtinId="8" hidden="1"/>
    <cellStyle name="Hyperlink" xfId="11219" builtinId="8" hidden="1"/>
    <cellStyle name="Hyperlink" xfId="11221" builtinId="8" hidden="1"/>
    <cellStyle name="Hyperlink" xfId="11223" builtinId="8" hidden="1"/>
    <cellStyle name="Hyperlink" xfId="11225" builtinId="8" hidden="1"/>
    <cellStyle name="Hyperlink" xfId="11227" builtinId="8" hidden="1"/>
    <cellStyle name="Hyperlink" xfId="11229" builtinId="8" hidden="1"/>
    <cellStyle name="Hyperlink" xfId="11231" builtinId="8" hidden="1"/>
    <cellStyle name="Hyperlink" xfId="11233" builtinId="8" hidden="1"/>
    <cellStyle name="Hyperlink" xfId="11235" builtinId="8" hidden="1"/>
    <cellStyle name="Hyperlink" xfId="11237" builtinId="8" hidden="1"/>
    <cellStyle name="Hyperlink" xfId="11239" builtinId="8" hidden="1"/>
    <cellStyle name="Hyperlink" xfId="11241" builtinId="8" hidden="1"/>
    <cellStyle name="Hyperlink" xfId="11243" builtinId="8" hidden="1"/>
    <cellStyle name="Hyperlink" xfId="11245" builtinId="8" hidden="1"/>
    <cellStyle name="Hyperlink" xfId="11247" builtinId="8" hidden="1"/>
    <cellStyle name="Hyperlink" xfId="11249" builtinId="8" hidden="1"/>
    <cellStyle name="Hyperlink" xfId="11251" builtinId="8" hidden="1"/>
    <cellStyle name="Hyperlink" xfId="11253" builtinId="8" hidden="1"/>
    <cellStyle name="Hyperlink" xfId="11255" builtinId="8" hidden="1"/>
    <cellStyle name="Hyperlink" xfId="11257" builtinId="8" hidden="1"/>
    <cellStyle name="Hyperlink" xfId="11259" builtinId="8" hidden="1"/>
    <cellStyle name="Hyperlink" xfId="11261" builtinId="8" hidden="1"/>
    <cellStyle name="Hyperlink" xfId="11263" builtinId="8" hidden="1"/>
    <cellStyle name="Hyperlink" xfId="11265" builtinId="8" hidden="1"/>
    <cellStyle name="Hyperlink" xfId="11267" builtinId="8" hidden="1"/>
    <cellStyle name="Hyperlink" xfId="11269" builtinId="8" hidden="1"/>
    <cellStyle name="Hyperlink" xfId="11271" builtinId="8" hidden="1"/>
    <cellStyle name="Hyperlink" xfId="11273" builtinId="8" hidden="1"/>
    <cellStyle name="Hyperlink" xfId="11275" builtinId="8" hidden="1"/>
    <cellStyle name="Hyperlink" xfId="11277" builtinId="8" hidden="1"/>
    <cellStyle name="Hyperlink" xfId="11279" builtinId="8" hidden="1"/>
    <cellStyle name="Hyperlink" xfId="11281" builtinId="8" hidden="1"/>
    <cellStyle name="Hyperlink" xfId="11283" builtinId="8" hidden="1"/>
    <cellStyle name="Hyperlink" xfId="11285" builtinId="8" hidden="1"/>
    <cellStyle name="Hyperlink" xfId="11287" builtinId="8" hidden="1"/>
    <cellStyle name="Hyperlink" xfId="11289" builtinId="8" hidden="1"/>
    <cellStyle name="Hyperlink" xfId="11291" builtinId="8" hidden="1"/>
    <cellStyle name="Hyperlink" xfId="11293" builtinId="8" hidden="1"/>
    <cellStyle name="Hyperlink" xfId="11295" builtinId="8" hidden="1"/>
    <cellStyle name="Hyperlink" xfId="11297" builtinId="8" hidden="1"/>
    <cellStyle name="Hyperlink" xfId="11299" builtinId="8" hidden="1"/>
    <cellStyle name="Hyperlink" xfId="11301" builtinId="8" hidden="1"/>
    <cellStyle name="Hyperlink" xfId="11303" builtinId="8" hidden="1"/>
    <cellStyle name="Hyperlink" xfId="11305" builtinId="8" hidden="1"/>
    <cellStyle name="Hyperlink" xfId="11307" builtinId="8" hidden="1"/>
    <cellStyle name="Hyperlink" xfId="11309" builtinId="8" hidden="1"/>
    <cellStyle name="Hyperlink" xfId="11311" builtinId="8" hidden="1"/>
    <cellStyle name="Hyperlink" xfId="11313" builtinId="8" hidden="1"/>
    <cellStyle name="Hyperlink" xfId="11315" builtinId="8" hidden="1"/>
    <cellStyle name="Hyperlink" xfId="11317" builtinId="8" hidden="1"/>
    <cellStyle name="Hyperlink" xfId="11319" builtinId="8" hidden="1"/>
    <cellStyle name="Hyperlink" xfId="11321" builtinId="8" hidden="1"/>
    <cellStyle name="Hyperlink" xfId="11323" builtinId="8" hidden="1"/>
    <cellStyle name="Hyperlink" xfId="11325" builtinId="8" hidden="1"/>
    <cellStyle name="Hyperlink" xfId="11327" builtinId="8" hidden="1"/>
    <cellStyle name="Hyperlink" xfId="11329" builtinId="8" hidden="1"/>
    <cellStyle name="Hyperlink" xfId="11331" builtinId="8" hidden="1"/>
    <cellStyle name="Hyperlink" xfId="11333" builtinId="8" hidden="1"/>
    <cellStyle name="Hyperlink" xfId="11335" builtinId="8" hidden="1"/>
    <cellStyle name="Hyperlink" xfId="11337" builtinId="8" hidden="1"/>
    <cellStyle name="Hyperlink" xfId="11339" builtinId="8" hidden="1"/>
    <cellStyle name="Hyperlink" xfId="11341" builtinId="8" hidden="1"/>
    <cellStyle name="Hyperlink" xfId="11343" builtinId="8" hidden="1"/>
    <cellStyle name="Hyperlink" xfId="11345" builtinId="8" hidden="1"/>
    <cellStyle name="Hyperlink" xfId="11347" builtinId="8" hidden="1"/>
    <cellStyle name="Hyperlink" xfId="11349" builtinId="8" hidden="1"/>
    <cellStyle name="Hyperlink" xfId="11351" builtinId="8" hidden="1"/>
    <cellStyle name="Hyperlink" xfId="11353" builtinId="8" hidden="1"/>
    <cellStyle name="Hyperlink" xfId="11355" builtinId="8" hidden="1"/>
    <cellStyle name="Hyperlink" xfId="11357" builtinId="8" hidden="1"/>
    <cellStyle name="Hyperlink" xfId="11359" builtinId="8" hidden="1"/>
    <cellStyle name="Hyperlink" xfId="11361" builtinId="8" hidden="1"/>
    <cellStyle name="Hyperlink" xfId="11363" builtinId="8" hidden="1"/>
    <cellStyle name="Hyperlink" xfId="11365" builtinId="8" hidden="1"/>
    <cellStyle name="Hyperlink" xfId="11367" builtinId="8" hidden="1"/>
    <cellStyle name="Hyperlink" xfId="11369" builtinId="8" hidden="1"/>
    <cellStyle name="Hyperlink" xfId="11371" builtinId="8" hidden="1"/>
    <cellStyle name="Hyperlink" xfId="11373" builtinId="8" hidden="1"/>
    <cellStyle name="Hyperlink" xfId="11375" builtinId="8" hidden="1"/>
    <cellStyle name="Hyperlink" xfId="11377" builtinId="8" hidden="1"/>
    <cellStyle name="Hyperlink" xfId="11379" builtinId="8" hidden="1"/>
    <cellStyle name="Hyperlink" xfId="11381" builtinId="8" hidden="1"/>
    <cellStyle name="Hyperlink" xfId="11383" builtinId="8" hidden="1"/>
    <cellStyle name="Hyperlink" xfId="11385" builtinId="8" hidden="1"/>
    <cellStyle name="Hyperlink" xfId="11387" builtinId="8" hidden="1"/>
    <cellStyle name="Hyperlink" xfId="11389" builtinId="8" hidden="1"/>
    <cellStyle name="Hyperlink" xfId="11391" builtinId="8" hidden="1"/>
    <cellStyle name="Hyperlink" xfId="11393" builtinId="8" hidden="1"/>
    <cellStyle name="Hyperlink" xfId="11395" builtinId="8" hidden="1"/>
    <cellStyle name="Hyperlink" xfId="11397" builtinId="8" hidden="1"/>
    <cellStyle name="Hyperlink" xfId="11399" builtinId="8" hidden="1"/>
    <cellStyle name="Hyperlink" xfId="11401" builtinId="8" hidden="1"/>
    <cellStyle name="Hyperlink" xfId="11403" builtinId="8" hidden="1"/>
    <cellStyle name="Hyperlink" xfId="11405" builtinId="8" hidden="1"/>
    <cellStyle name="Hyperlink" xfId="11407" builtinId="8" hidden="1"/>
    <cellStyle name="Hyperlink" xfId="11409" builtinId="8" hidden="1"/>
    <cellStyle name="Hyperlink" xfId="11411" builtinId="8" hidden="1"/>
    <cellStyle name="Hyperlink" xfId="11413" builtinId="8" hidden="1"/>
    <cellStyle name="Hyperlink" xfId="11415" builtinId="8" hidden="1"/>
    <cellStyle name="Hyperlink" xfId="11417" builtinId="8" hidden="1"/>
    <cellStyle name="Hyperlink" xfId="11419" builtinId="8" hidden="1"/>
    <cellStyle name="Hyperlink" xfId="11421" builtinId="8" hidden="1"/>
    <cellStyle name="Hyperlink" xfId="11423" builtinId="8" hidden="1"/>
    <cellStyle name="Hyperlink" xfId="11425" builtinId="8" hidden="1"/>
    <cellStyle name="Hyperlink" xfId="11427" builtinId="8" hidden="1"/>
    <cellStyle name="Hyperlink" xfId="11429" builtinId="8" hidden="1"/>
    <cellStyle name="Hyperlink" xfId="11431" builtinId="8" hidden="1"/>
    <cellStyle name="Hyperlink" xfId="11433" builtinId="8" hidden="1"/>
    <cellStyle name="Hyperlink" xfId="11435" builtinId="8" hidden="1"/>
    <cellStyle name="Hyperlink" xfId="11437" builtinId="8" hidden="1"/>
    <cellStyle name="Hyperlink" xfId="11439" builtinId="8" hidden="1"/>
    <cellStyle name="Hyperlink" xfId="11441" builtinId="8" hidden="1"/>
    <cellStyle name="Hyperlink" xfId="11443" builtinId="8" hidden="1"/>
    <cellStyle name="Hyperlink" xfId="11445" builtinId="8" hidden="1"/>
    <cellStyle name="Hyperlink" xfId="11447" builtinId="8" hidden="1"/>
    <cellStyle name="Hyperlink" xfId="11449" builtinId="8" hidden="1"/>
    <cellStyle name="Hyperlink" xfId="11451" builtinId="8" hidden="1"/>
    <cellStyle name="Hyperlink" xfId="11453" builtinId="8" hidden="1"/>
    <cellStyle name="Hyperlink" xfId="11455" builtinId="8" hidden="1"/>
    <cellStyle name="Hyperlink" xfId="11457" builtinId="8" hidden="1"/>
    <cellStyle name="Hyperlink" xfId="11459" builtinId="8" hidden="1"/>
    <cellStyle name="Hyperlink" xfId="11461" builtinId="8" hidden="1"/>
    <cellStyle name="Hyperlink" xfId="11463" builtinId="8" hidden="1"/>
    <cellStyle name="Hyperlink" xfId="11465" builtinId="8" hidden="1"/>
    <cellStyle name="Hyperlink" xfId="11467" builtinId="8" hidden="1"/>
    <cellStyle name="Hyperlink" xfId="11469" builtinId="8" hidden="1"/>
    <cellStyle name="Hyperlink" xfId="11471" builtinId="8" hidden="1"/>
    <cellStyle name="Hyperlink" xfId="11473" builtinId="8" hidden="1"/>
    <cellStyle name="Hyperlink" xfId="11475" builtinId="8" hidden="1"/>
    <cellStyle name="Hyperlink" xfId="11477" builtinId="8" hidden="1"/>
    <cellStyle name="Hyperlink" xfId="11479" builtinId="8" hidden="1"/>
    <cellStyle name="Hyperlink" xfId="11481" builtinId="8" hidden="1"/>
    <cellStyle name="Hyperlink" xfId="11483" builtinId="8" hidden="1"/>
    <cellStyle name="Hyperlink" xfId="11485" builtinId="8" hidden="1"/>
    <cellStyle name="Hyperlink" xfId="11487" builtinId="8" hidden="1"/>
    <cellStyle name="Hyperlink" xfId="11489" builtinId="8" hidden="1"/>
    <cellStyle name="Hyperlink" xfId="11491" builtinId="8" hidden="1"/>
    <cellStyle name="Hyperlink" xfId="11493" builtinId="8" hidden="1"/>
    <cellStyle name="Hyperlink" xfId="11495" builtinId="8" hidden="1"/>
    <cellStyle name="Hyperlink" xfId="11497" builtinId="8" hidden="1"/>
    <cellStyle name="Hyperlink" xfId="11499" builtinId="8" hidden="1"/>
    <cellStyle name="Hyperlink" xfId="11501" builtinId="8" hidden="1"/>
    <cellStyle name="Hyperlink" xfId="11503" builtinId="8" hidden="1"/>
    <cellStyle name="Hyperlink" xfId="11505" builtinId="8" hidden="1"/>
    <cellStyle name="Hyperlink" xfId="11507" builtinId="8" hidden="1"/>
    <cellStyle name="Hyperlink" xfId="11509" builtinId="8" hidden="1"/>
    <cellStyle name="Hyperlink" xfId="11511" builtinId="8" hidden="1"/>
    <cellStyle name="Hyperlink" xfId="11513" builtinId="8" hidden="1"/>
    <cellStyle name="Hyperlink" xfId="11515" builtinId="8" hidden="1"/>
    <cellStyle name="Hyperlink" xfId="11517" builtinId="8" hidden="1"/>
    <cellStyle name="Hyperlink" xfId="11519" builtinId="8" hidden="1"/>
    <cellStyle name="Hyperlink" xfId="11521" builtinId="8" hidden="1"/>
    <cellStyle name="Hyperlink" xfId="11523" builtinId="8" hidden="1"/>
    <cellStyle name="Hyperlink" xfId="11525" builtinId="8" hidden="1"/>
    <cellStyle name="Hyperlink" xfId="11527" builtinId="8" hidden="1"/>
    <cellStyle name="Hyperlink" xfId="11529" builtinId="8" hidden="1"/>
    <cellStyle name="Hyperlink" xfId="11531" builtinId="8" hidden="1"/>
    <cellStyle name="Hyperlink" xfId="11533" builtinId="8" hidden="1"/>
    <cellStyle name="Hyperlink" xfId="11535" builtinId="8" hidden="1"/>
    <cellStyle name="Hyperlink" xfId="11537" builtinId="8" hidden="1"/>
    <cellStyle name="Hyperlink" xfId="11539" builtinId="8" hidden="1"/>
    <cellStyle name="Hyperlink" xfId="11541" builtinId="8" hidden="1"/>
    <cellStyle name="Hyperlink" xfId="11543" builtinId="8" hidden="1"/>
    <cellStyle name="Hyperlink" xfId="11545" builtinId="8" hidden="1"/>
    <cellStyle name="Hyperlink" xfId="11547" builtinId="8" hidden="1"/>
    <cellStyle name="Hyperlink" xfId="11549" builtinId="8" hidden="1"/>
    <cellStyle name="Hyperlink" xfId="11551" builtinId="8" hidden="1"/>
    <cellStyle name="Hyperlink" xfId="11553" builtinId="8" hidden="1"/>
    <cellStyle name="Hyperlink" xfId="11555" builtinId="8" hidden="1"/>
    <cellStyle name="Hyperlink" xfId="11557" builtinId="8" hidden="1"/>
    <cellStyle name="Hyperlink" xfId="11559" builtinId="8" hidden="1"/>
    <cellStyle name="Hyperlink" xfId="11561" builtinId="8" hidden="1"/>
    <cellStyle name="Hyperlink" xfId="11563" builtinId="8" hidden="1"/>
    <cellStyle name="Hyperlink" xfId="11565" builtinId="8" hidden="1"/>
    <cellStyle name="Hyperlink" xfId="11567" builtinId="8" hidden="1"/>
    <cellStyle name="Hyperlink" xfId="11569" builtinId="8" hidden="1"/>
    <cellStyle name="Hyperlink" xfId="11571" builtinId="8" hidden="1"/>
    <cellStyle name="Hyperlink" xfId="11573" builtinId="8" hidden="1"/>
    <cellStyle name="Hyperlink" xfId="11575" builtinId="8" hidden="1"/>
    <cellStyle name="Hyperlink" xfId="11577" builtinId="8" hidden="1"/>
    <cellStyle name="Hyperlink" xfId="11579" builtinId="8" hidden="1"/>
    <cellStyle name="Hyperlink" xfId="11581" builtinId="8" hidden="1"/>
    <cellStyle name="Hyperlink" xfId="11583" builtinId="8" hidden="1"/>
    <cellStyle name="Hyperlink" xfId="11585" builtinId="8" hidden="1"/>
    <cellStyle name="Hyperlink" xfId="11587" builtinId="8" hidden="1"/>
    <cellStyle name="Hyperlink" xfId="11589" builtinId="8" hidden="1"/>
    <cellStyle name="Hyperlink" xfId="11591" builtinId="8" hidden="1"/>
    <cellStyle name="Hyperlink" xfId="11593" builtinId="8" hidden="1"/>
    <cellStyle name="Hyperlink" xfId="11595" builtinId="8" hidden="1"/>
    <cellStyle name="Hyperlink" xfId="11597" builtinId="8" hidden="1"/>
    <cellStyle name="Hyperlink" xfId="11599" builtinId="8" hidden="1"/>
    <cellStyle name="Hyperlink" xfId="11601" builtinId="8" hidden="1"/>
    <cellStyle name="Hyperlink" xfId="11603" builtinId="8" hidden="1"/>
    <cellStyle name="Hyperlink" xfId="11605" builtinId="8" hidden="1"/>
    <cellStyle name="Hyperlink" xfId="11607" builtinId="8" hidden="1"/>
    <cellStyle name="Hyperlink" xfId="11609" builtinId="8" hidden="1"/>
    <cellStyle name="Hyperlink" xfId="11611" builtinId="8" hidden="1"/>
    <cellStyle name="Hyperlink" xfId="11613" builtinId="8" hidden="1"/>
    <cellStyle name="Hyperlink" xfId="11615" builtinId="8" hidden="1"/>
    <cellStyle name="Hyperlink" xfId="11617" builtinId="8" hidden="1"/>
    <cellStyle name="Hyperlink" xfId="11619" builtinId="8" hidden="1"/>
    <cellStyle name="Hyperlink" xfId="11621" builtinId="8" hidden="1"/>
    <cellStyle name="Hyperlink" xfId="11623" builtinId="8" hidden="1"/>
    <cellStyle name="Hyperlink" xfId="11625" builtinId="8" hidden="1"/>
    <cellStyle name="Hyperlink" xfId="11627" builtinId="8" hidden="1"/>
    <cellStyle name="Hyperlink" xfId="11629" builtinId="8" hidden="1"/>
    <cellStyle name="Hyperlink" xfId="11631" builtinId="8" hidden="1"/>
    <cellStyle name="Hyperlink" xfId="11633" builtinId="8" hidden="1"/>
    <cellStyle name="Hyperlink" xfId="11635" builtinId="8" hidden="1"/>
    <cellStyle name="Hyperlink" xfId="11637" builtinId="8" hidden="1"/>
    <cellStyle name="Hyperlink" xfId="11639" builtinId="8" hidden="1"/>
    <cellStyle name="Hyperlink" xfId="11641" builtinId="8" hidden="1"/>
    <cellStyle name="Hyperlink" xfId="11643" builtinId="8" hidden="1"/>
    <cellStyle name="Hyperlink" xfId="11645" builtinId="8" hidden="1"/>
    <cellStyle name="Hyperlink" xfId="11647" builtinId="8" hidden="1"/>
    <cellStyle name="Hyperlink" xfId="11649" builtinId="8" hidden="1"/>
    <cellStyle name="Hyperlink" xfId="11651" builtinId="8" hidden="1"/>
    <cellStyle name="Hyperlink" xfId="11653" builtinId="8" hidden="1"/>
    <cellStyle name="Hyperlink" xfId="11655" builtinId="8" hidden="1"/>
    <cellStyle name="Hyperlink" xfId="11657" builtinId="8" hidden="1"/>
    <cellStyle name="Hyperlink" xfId="11659" builtinId="8" hidden="1"/>
    <cellStyle name="Hyperlink" xfId="11661" builtinId="8" hidden="1"/>
    <cellStyle name="Hyperlink" xfId="11663" builtinId="8" hidden="1"/>
    <cellStyle name="Hyperlink" xfId="11665" builtinId="8" hidden="1"/>
    <cellStyle name="Hyperlink" xfId="11667" builtinId="8" hidden="1"/>
    <cellStyle name="Hyperlink" xfId="11669" builtinId="8" hidden="1"/>
    <cellStyle name="Hyperlink" xfId="11671" builtinId="8" hidden="1"/>
    <cellStyle name="Hyperlink" xfId="11673" builtinId="8" hidden="1"/>
    <cellStyle name="Hyperlink" xfId="11675" builtinId="8" hidden="1"/>
    <cellStyle name="Hyperlink" xfId="11677" builtinId="8" hidden="1"/>
    <cellStyle name="Hyperlink" xfId="11679" builtinId="8" hidden="1"/>
    <cellStyle name="Hyperlink" xfId="11681" builtinId="8" hidden="1"/>
    <cellStyle name="Hyperlink" xfId="11683" builtinId="8" hidden="1"/>
    <cellStyle name="Hyperlink" xfId="11685" builtinId="8" hidden="1"/>
    <cellStyle name="Hyperlink" xfId="11687" builtinId="8" hidden="1"/>
    <cellStyle name="Hyperlink" xfId="11689" builtinId="8" hidden="1"/>
    <cellStyle name="Hyperlink" xfId="11691" builtinId="8" hidden="1"/>
    <cellStyle name="Hyperlink" xfId="11693" builtinId="8" hidden="1"/>
    <cellStyle name="Hyperlink" xfId="11695" builtinId="8" hidden="1"/>
    <cellStyle name="Hyperlink" xfId="11697" builtinId="8" hidden="1"/>
    <cellStyle name="Hyperlink" xfId="11699" builtinId="8" hidden="1"/>
    <cellStyle name="Hyperlink" xfId="11701" builtinId="8" hidden="1"/>
    <cellStyle name="Hyperlink" xfId="11703" builtinId="8" hidden="1"/>
    <cellStyle name="Hyperlink" xfId="11705" builtinId="8" hidden="1"/>
    <cellStyle name="Hyperlink" xfId="11707" builtinId="8" hidden="1"/>
    <cellStyle name="Hyperlink" xfId="11709" builtinId="8" hidden="1"/>
    <cellStyle name="Hyperlink" xfId="11711" builtinId="8" hidden="1"/>
    <cellStyle name="Hyperlink" xfId="11713" builtinId="8" hidden="1"/>
    <cellStyle name="Hyperlink" xfId="11715" builtinId="8" hidden="1"/>
    <cellStyle name="Hyperlink" xfId="11717" builtinId="8" hidden="1"/>
    <cellStyle name="Hyperlink" xfId="11719" builtinId="8" hidden="1"/>
    <cellStyle name="Hyperlink" xfId="11721" builtinId="8" hidden="1"/>
    <cellStyle name="Hyperlink" xfId="11723" builtinId="8" hidden="1"/>
    <cellStyle name="Hyperlink" xfId="11725" builtinId="8" hidden="1"/>
    <cellStyle name="Hyperlink" xfId="11727" builtinId="8" hidden="1"/>
    <cellStyle name="Hyperlink" xfId="11729" builtinId="8" hidden="1"/>
    <cellStyle name="Hyperlink" xfId="11731" builtinId="8" hidden="1"/>
    <cellStyle name="Hyperlink" xfId="11733" builtinId="8" hidden="1"/>
    <cellStyle name="Hyperlink" xfId="11735" builtinId="8" hidden="1"/>
    <cellStyle name="Hyperlink" xfId="11737" builtinId="8" hidden="1"/>
    <cellStyle name="Hyperlink" xfId="11739" builtinId="8" hidden="1"/>
    <cellStyle name="Hyperlink" xfId="11741" builtinId="8" hidden="1"/>
    <cellStyle name="Hyperlink" xfId="11743" builtinId="8" hidden="1"/>
    <cellStyle name="Hyperlink" xfId="11745" builtinId="8" hidden="1"/>
    <cellStyle name="Hyperlink" xfId="11747" builtinId="8" hidden="1"/>
    <cellStyle name="Hyperlink" xfId="11749" builtinId="8" hidden="1"/>
    <cellStyle name="Hyperlink" xfId="11751" builtinId="8" hidden="1"/>
    <cellStyle name="Hyperlink" xfId="11753" builtinId="8" hidden="1"/>
    <cellStyle name="Hyperlink" xfId="11755" builtinId="8" hidden="1"/>
    <cellStyle name="Hyperlink" xfId="11757" builtinId="8" hidden="1"/>
    <cellStyle name="Hyperlink" xfId="11759" builtinId="8" hidden="1"/>
    <cellStyle name="Hyperlink" xfId="11761" builtinId="8" hidden="1"/>
    <cellStyle name="Hyperlink" xfId="11763" builtinId="8" hidden="1"/>
    <cellStyle name="Hyperlink" xfId="11765" builtinId="8" hidden="1"/>
    <cellStyle name="Hyperlink" xfId="11767" builtinId="8" hidden="1"/>
    <cellStyle name="Hyperlink" xfId="11769" builtinId="8" hidden="1"/>
    <cellStyle name="Hyperlink" xfId="11771" builtinId="8" hidden="1"/>
    <cellStyle name="Hyperlink" xfId="11773" builtinId="8" hidden="1"/>
    <cellStyle name="Hyperlink" xfId="11775" builtinId="8" hidden="1"/>
    <cellStyle name="Hyperlink" xfId="11777" builtinId="8" hidden="1"/>
    <cellStyle name="Hyperlink" xfId="11779" builtinId="8" hidden="1"/>
    <cellStyle name="Hyperlink" xfId="11781" builtinId="8" hidden="1"/>
    <cellStyle name="Hyperlink" xfId="11783" builtinId="8" hidden="1"/>
    <cellStyle name="Hyperlink" xfId="11785" builtinId="8" hidden="1"/>
    <cellStyle name="Hyperlink" xfId="11787" builtinId="8" hidden="1"/>
    <cellStyle name="Hyperlink" xfId="11789" builtinId="8" hidden="1"/>
    <cellStyle name="Hyperlink" xfId="11791" builtinId="8" hidden="1"/>
    <cellStyle name="Hyperlink" xfId="11793" builtinId="8" hidden="1"/>
    <cellStyle name="Hyperlink" xfId="11795" builtinId="8" hidden="1"/>
    <cellStyle name="Hyperlink" xfId="11797" builtinId="8" hidden="1"/>
    <cellStyle name="Hyperlink" xfId="11799" builtinId="8" hidden="1"/>
    <cellStyle name="Hyperlink" xfId="11801" builtinId="8" hidden="1"/>
    <cellStyle name="Hyperlink" xfId="11803" builtinId="8" hidden="1"/>
    <cellStyle name="Hyperlink" xfId="11805" builtinId="8" hidden="1"/>
    <cellStyle name="Hyperlink" xfId="11807" builtinId="8" hidden="1"/>
    <cellStyle name="Hyperlink" xfId="11809" builtinId="8" hidden="1"/>
    <cellStyle name="Hyperlink" xfId="11811" builtinId="8" hidden="1"/>
    <cellStyle name="Hyperlink" xfId="11813" builtinId="8" hidden="1"/>
    <cellStyle name="Hyperlink" xfId="11815" builtinId="8" hidden="1"/>
    <cellStyle name="Hyperlink" xfId="11817" builtinId="8" hidden="1"/>
    <cellStyle name="Hyperlink" xfId="11819" builtinId="8" hidden="1"/>
    <cellStyle name="Hyperlink" xfId="11821" builtinId="8" hidden="1"/>
    <cellStyle name="Hyperlink" xfId="11823" builtinId="8" hidden="1"/>
    <cellStyle name="Hyperlink" xfId="11825" builtinId="8" hidden="1"/>
    <cellStyle name="Hyperlink" xfId="11827" builtinId="8" hidden="1"/>
    <cellStyle name="Hyperlink" xfId="11829" builtinId="8" hidden="1"/>
    <cellStyle name="Hyperlink" xfId="11831" builtinId="8" hidden="1"/>
    <cellStyle name="Hyperlink" xfId="11833" builtinId="8" hidden="1"/>
    <cellStyle name="Hyperlink" xfId="11835" builtinId="8" hidden="1"/>
    <cellStyle name="Hyperlink" xfId="11837" builtinId="8" hidden="1"/>
    <cellStyle name="Hyperlink" xfId="11839" builtinId="8" hidden="1"/>
    <cellStyle name="Hyperlink" xfId="11841" builtinId="8" hidden="1"/>
    <cellStyle name="Hyperlink" xfId="11843" builtinId="8" hidden="1"/>
    <cellStyle name="Hyperlink" xfId="11845" builtinId="8" hidden="1"/>
    <cellStyle name="Hyperlink" xfId="11847" builtinId="8" hidden="1"/>
    <cellStyle name="Hyperlink" xfId="11849" builtinId="8" hidden="1"/>
    <cellStyle name="Hyperlink" xfId="11851" builtinId="8" hidden="1"/>
    <cellStyle name="Hyperlink" xfId="11853" builtinId="8" hidden="1"/>
    <cellStyle name="Hyperlink" xfId="11855" builtinId="8" hidden="1"/>
    <cellStyle name="Hyperlink" xfId="11857" builtinId="8" hidden="1"/>
    <cellStyle name="Hyperlink" xfId="11859" builtinId="8" hidden="1"/>
    <cellStyle name="Hyperlink" xfId="11861" builtinId="8" hidden="1"/>
    <cellStyle name="Hyperlink" xfId="11863" builtinId="8" hidden="1"/>
    <cellStyle name="Hyperlink" xfId="11865" builtinId="8" hidden="1"/>
    <cellStyle name="Hyperlink" xfId="11867" builtinId="8" hidden="1"/>
    <cellStyle name="Hyperlink" xfId="11869" builtinId="8" hidden="1"/>
    <cellStyle name="Hyperlink" xfId="11871" builtinId="8" hidden="1"/>
    <cellStyle name="Hyperlink" xfId="11873" builtinId="8" hidden="1"/>
    <cellStyle name="Hyperlink" xfId="11875" builtinId="8" hidden="1"/>
    <cellStyle name="Hyperlink" xfId="11877" builtinId="8" hidden="1"/>
    <cellStyle name="Hyperlink" xfId="11879" builtinId="8" hidden="1"/>
    <cellStyle name="Hyperlink" xfId="11881" builtinId="8" hidden="1"/>
    <cellStyle name="Hyperlink" xfId="11883" builtinId="8" hidden="1"/>
    <cellStyle name="Hyperlink" xfId="11885" builtinId="8" hidden="1"/>
    <cellStyle name="Hyperlink" xfId="11887" builtinId="8" hidden="1"/>
    <cellStyle name="Hyperlink" xfId="11889" builtinId="8" hidden="1"/>
    <cellStyle name="Hyperlink" xfId="11891" builtinId="8" hidden="1"/>
    <cellStyle name="Hyperlink" xfId="11893" builtinId="8" hidden="1"/>
    <cellStyle name="Hyperlink" xfId="11895" builtinId="8" hidden="1"/>
    <cellStyle name="Hyperlink" xfId="11897" builtinId="8" hidden="1"/>
    <cellStyle name="Hyperlink" xfId="11899" builtinId="8" hidden="1"/>
    <cellStyle name="Hyperlink" xfId="11901" builtinId="8" hidden="1"/>
    <cellStyle name="Hyperlink" xfId="11903" builtinId="8" hidden="1"/>
    <cellStyle name="Hyperlink" xfId="11905" builtinId="8" hidden="1"/>
    <cellStyle name="Hyperlink" xfId="11907" builtinId="8" hidden="1"/>
    <cellStyle name="Hyperlink" xfId="11909" builtinId="8" hidden="1"/>
    <cellStyle name="Hyperlink" xfId="11911" builtinId="8" hidden="1"/>
    <cellStyle name="Hyperlink" xfId="11913" builtinId="8" hidden="1"/>
    <cellStyle name="Hyperlink" xfId="11915" builtinId="8" hidden="1"/>
    <cellStyle name="Hyperlink" xfId="11917" builtinId="8" hidden="1"/>
    <cellStyle name="Hyperlink" xfId="11919" builtinId="8" hidden="1"/>
    <cellStyle name="Hyperlink" xfId="11921" builtinId="8" hidden="1"/>
    <cellStyle name="Hyperlink" xfId="11923" builtinId="8" hidden="1"/>
    <cellStyle name="Hyperlink" xfId="11925" builtinId="8" hidden="1"/>
    <cellStyle name="Hyperlink" xfId="11927" builtinId="8" hidden="1"/>
    <cellStyle name="Hyperlink" xfId="11929" builtinId="8" hidden="1"/>
    <cellStyle name="Hyperlink" xfId="11931" builtinId="8" hidden="1"/>
    <cellStyle name="Hyperlink" xfId="11933" builtinId="8" hidden="1"/>
    <cellStyle name="Hyperlink" xfId="11935" builtinId="8" hidden="1"/>
    <cellStyle name="Hyperlink" xfId="11937" builtinId="8" hidden="1"/>
    <cellStyle name="Hyperlink" xfId="11939" builtinId="8" hidden="1"/>
    <cellStyle name="Hyperlink" xfId="11941" builtinId="8" hidden="1"/>
    <cellStyle name="Hyperlink" xfId="11943" builtinId="8" hidden="1"/>
    <cellStyle name="Hyperlink" xfId="11945" builtinId="8" hidden="1"/>
    <cellStyle name="Hyperlink" xfId="11947" builtinId="8" hidden="1"/>
    <cellStyle name="Hyperlink" xfId="11949" builtinId="8" hidden="1"/>
    <cellStyle name="Hyperlink" xfId="11951" builtinId="8" hidden="1"/>
    <cellStyle name="Hyperlink" xfId="11953" builtinId="8" hidden="1"/>
    <cellStyle name="Hyperlink" xfId="11955" builtinId="8" hidden="1"/>
    <cellStyle name="Hyperlink" xfId="11957" builtinId="8" hidden="1"/>
    <cellStyle name="Hyperlink" xfId="11959" builtinId="8" hidden="1"/>
    <cellStyle name="Hyperlink" xfId="11961" builtinId="8" hidden="1"/>
    <cellStyle name="Hyperlink" xfId="11963" builtinId="8" hidden="1"/>
    <cellStyle name="Hyperlink" xfId="11965" builtinId="8" hidden="1"/>
    <cellStyle name="Hyperlink" xfId="11967" builtinId="8" hidden="1"/>
    <cellStyle name="Hyperlink" xfId="11969" builtinId="8" hidden="1"/>
    <cellStyle name="Hyperlink" xfId="11971" builtinId="8" hidden="1"/>
    <cellStyle name="Hyperlink" xfId="11973" builtinId="8" hidden="1"/>
    <cellStyle name="Hyperlink" xfId="11975" builtinId="8" hidden="1"/>
    <cellStyle name="Hyperlink" xfId="11977" builtinId="8" hidden="1"/>
    <cellStyle name="Hyperlink" xfId="11979" builtinId="8" hidden="1"/>
    <cellStyle name="Hyperlink" xfId="11981" builtinId="8" hidden="1"/>
    <cellStyle name="Hyperlink" xfId="11983" builtinId="8" hidden="1"/>
    <cellStyle name="Hyperlink" xfId="11985" builtinId="8" hidden="1"/>
    <cellStyle name="Hyperlink" xfId="11987" builtinId="8" hidden="1"/>
    <cellStyle name="Hyperlink" xfId="11989" builtinId="8" hidden="1"/>
    <cellStyle name="Hyperlink" xfId="11991" builtinId="8" hidden="1"/>
    <cellStyle name="Hyperlink" xfId="11993" builtinId="8" hidden="1"/>
    <cellStyle name="Hyperlink" xfId="11995" builtinId="8" hidden="1"/>
    <cellStyle name="Hyperlink" xfId="11997" builtinId="8" hidden="1"/>
    <cellStyle name="Hyperlink" xfId="11999" builtinId="8" hidden="1"/>
    <cellStyle name="Hyperlink" xfId="12001" builtinId="8" hidden="1"/>
    <cellStyle name="Hyperlink" xfId="12003" builtinId="8" hidden="1"/>
    <cellStyle name="Hyperlink" xfId="12005" builtinId="8" hidden="1"/>
    <cellStyle name="Hyperlink" xfId="12007" builtinId="8" hidden="1"/>
    <cellStyle name="Hyperlink" xfId="12009" builtinId="8" hidden="1"/>
    <cellStyle name="Hyperlink" xfId="12011" builtinId="8" hidden="1"/>
    <cellStyle name="Hyperlink" xfId="12013" builtinId="8" hidden="1"/>
    <cellStyle name="Hyperlink" xfId="12015" builtinId="8" hidden="1"/>
    <cellStyle name="Hyperlink" xfId="12017" builtinId="8" hidden="1"/>
    <cellStyle name="Hyperlink" xfId="12019" builtinId="8" hidden="1"/>
    <cellStyle name="Hyperlink" xfId="12021" builtinId="8" hidden="1"/>
    <cellStyle name="Hyperlink" xfId="12023" builtinId="8" hidden="1"/>
    <cellStyle name="Hyperlink" xfId="12025" builtinId="8" hidden="1"/>
    <cellStyle name="Hyperlink" xfId="12027" builtinId="8" hidden="1"/>
    <cellStyle name="Hyperlink" xfId="12029" builtinId="8" hidden="1"/>
    <cellStyle name="Hyperlink" xfId="12031" builtinId="8" hidden="1"/>
    <cellStyle name="Hyperlink" xfId="12033" builtinId="8" hidden="1"/>
    <cellStyle name="Hyperlink" xfId="12035" builtinId="8" hidden="1"/>
    <cellStyle name="Hyperlink" xfId="12037" builtinId="8" hidden="1"/>
    <cellStyle name="Hyperlink" xfId="12039" builtinId="8" hidden="1"/>
    <cellStyle name="Hyperlink" xfId="12041" builtinId="8" hidden="1"/>
    <cellStyle name="Hyperlink" xfId="12043" builtinId="8" hidden="1"/>
    <cellStyle name="Hyperlink" xfId="12045" builtinId="8" hidden="1"/>
    <cellStyle name="Hyperlink" xfId="12047" builtinId="8" hidden="1"/>
    <cellStyle name="Hyperlink" xfId="12049" builtinId="8" hidden="1"/>
    <cellStyle name="Hyperlink" xfId="12051" builtinId="8" hidden="1"/>
    <cellStyle name="Hyperlink" xfId="12053" builtinId="8" hidden="1"/>
    <cellStyle name="Hyperlink" xfId="12055" builtinId="8" hidden="1"/>
    <cellStyle name="Hyperlink" xfId="12057" builtinId="8" hidden="1"/>
    <cellStyle name="Hyperlink" xfId="12059" builtinId="8" hidden="1"/>
    <cellStyle name="Hyperlink" xfId="12061" builtinId="8" hidden="1"/>
    <cellStyle name="Hyperlink" xfId="12063" builtinId="8" hidden="1"/>
    <cellStyle name="Hyperlink" xfId="12065" builtinId="8" hidden="1"/>
    <cellStyle name="Hyperlink" xfId="12067" builtinId="8" hidden="1"/>
    <cellStyle name="Hyperlink" xfId="12069" builtinId="8" hidden="1"/>
    <cellStyle name="Hyperlink" xfId="12071" builtinId="8" hidden="1"/>
    <cellStyle name="Hyperlink" xfId="12073" builtinId="8" hidden="1"/>
    <cellStyle name="Hyperlink" xfId="12075" builtinId="8" hidden="1"/>
    <cellStyle name="Hyperlink" xfId="12077" builtinId="8" hidden="1"/>
    <cellStyle name="Hyperlink" xfId="12079" builtinId="8" hidden="1"/>
    <cellStyle name="Hyperlink" xfId="12081" builtinId="8" hidden="1"/>
    <cellStyle name="Hyperlink" xfId="12083" builtinId="8" hidden="1"/>
    <cellStyle name="Hyperlink" xfId="12085" builtinId="8" hidden="1"/>
    <cellStyle name="Hyperlink" xfId="12087" builtinId="8" hidden="1"/>
    <cellStyle name="Hyperlink" xfId="12089" builtinId="8" hidden="1"/>
    <cellStyle name="Hyperlink" xfId="12091" builtinId="8" hidden="1"/>
    <cellStyle name="Hyperlink" xfId="12093" builtinId="8" hidden="1"/>
    <cellStyle name="Hyperlink" xfId="12095" builtinId="8" hidden="1"/>
    <cellStyle name="Hyperlink" xfId="12097" builtinId="8" hidden="1"/>
    <cellStyle name="Hyperlink" xfId="12099" builtinId="8" hidden="1"/>
    <cellStyle name="Hyperlink" xfId="12101" builtinId="8" hidden="1"/>
    <cellStyle name="Hyperlink" xfId="12103" builtinId="8" hidden="1"/>
    <cellStyle name="Hyperlink" xfId="12105" builtinId="8" hidden="1"/>
    <cellStyle name="Hyperlink" xfId="12107" builtinId="8" hidden="1"/>
    <cellStyle name="Hyperlink" xfId="12109" builtinId="8" hidden="1"/>
    <cellStyle name="Hyperlink" xfId="12111" builtinId="8" hidden="1"/>
    <cellStyle name="Hyperlink" xfId="12113" builtinId="8" hidden="1"/>
    <cellStyle name="Hyperlink" xfId="12115" builtinId="8" hidden="1"/>
    <cellStyle name="Hyperlink" xfId="12117" builtinId="8" hidden="1"/>
    <cellStyle name="Hyperlink" xfId="12119" builtinId="8" hidden="1"/>
    <cellStyle name="Hyperlink" xfId="12121" builtinId="8" hidden="1"/>
    <cellStyle name="Hyperlink" xfId="12123" builtinId="8" hidden="1"/>
    <cellStyle name="Hyperlink" xfId="12125" builtinId="8" hidden="1"/>
    <cellStyle name="Hyperlink" xfId="12127" builtinId="8" hidden="1"/>
    <cellStyle name="Hyperlink" xfId="12129" builtinId="8" hidden="1"/>
    <cellStyle name="Hyperlink" xfId="12131" builtinId="8" hidden="1"/>
    <cellStyle name="Hyperlink" xfId="12133" builtinId="8" hidden="1"/>
    <cellStyle name="Hyperlink" xfId="12135" builtinId="8" hidden="1"/>
    <cellStyle name="Hyperlink" xfId="12137" builtinId="8" hidden="1"/>
    <cellStyle name="Hyperlink" xfId="12139" builtinId="8" hidden="1"/>
    <cellStyle name="Hyperlink" xfId="12141" builtinId="8" hidden="1"/>
    <cellStyle name="Hyperlink" xfId="12143" builtinId="8" hidden="1"/>
    <cellStyle name="Hyperlink" xfId="12145" builtinId="8" hidden="1"/>
    <cellStyle name="Hyperlink" xfId="12147" builtinId="8" hidden="1"/>
    <cellStyle name="Hyperlink" xfId="12149" builtinId="8" hidden="1"/>
    <cellStyle name="Hyperlink" xfId="12151" builtinId="8" hidden="1"/>
    <cellStyle name="Hyperlink" xfId="12153" builtinId="8" hidden="1"/>
    <cellStyle name="Hyperlink" xfId="12155" builtinId="8" hidden="1"/>
    <cellStyle name="Hyperlink" xfId="12157" builtinId="8" hidden="1"/>
    <cellStyle name="Hyperlink" xfId="12159" builtinId="8" hidden="1"/>
    <cellStyle name="Hyperlink" xfId="12161" builtinId="8" hidden="1"/>
    <cellStyle name="Hyperlink" xfId="12163" builtinId="8" hidden="1"/>
    <cellStyle name="Hyperlink" xfId="12165" builtinId="8" hidden="1"/>
    <cellStyle name="Hyperlink" xfId="12167" builtinId="8" hidden="1"/>
    <cellStyle name="Hyperlink" xfId="12169" builtinId="8" hidden="1"/>
    <cellStyle name="Hyperlink" xfId="12171" builtinId="8" hidden="1"/>
    <cellStyle name="Hyperlink" xfId="12173" builtinId="8" hidden="1"/>
    <cellStyle name="Hyperlink" xfId="12175" builtinId="8" hidden="1"/>
    <cellStyle name="Hyperlink" xfId="12177" builtinId="8" hidden="1"/>
    <cellStyle name="Hyperlink" xfId="12179" builtinId="8" hidden="1"/>
    <cellStyle name="Hyperlink" xfId="12181" builtinId="8" hidden="1"/>
    <cellStyle name="Hyperlink" xfId="12183" builtinId="8" hidden="1"/>
    <cellStyle name="Hyperlink" xfId="12185" builtinId="8" hidden="1"/>
    <cellStyle name="Hyperlink" xfId="12187" builtinId="8" hidden="1"/>
    <cellStyle name="Hyperlink" xfId="12189" builtinId="8" hidden="1"/>
    <cellStyle name="Hyperlink" xfId="12191" builtinId="8" hidden="1"/>
    <cellStyle name="Hyperlink" xfId="12193" builtinId="8" hidden="1"/>
    <cellStyle name="Hyperlink" xfId="12195" builtinId="8" hidden="1"/>
    <cellStyle name="Hyperlink" xfId="12197" builtinId="8" hidden="1"/>
    <cellStyle name="Hyperlink" xfId="12199" builtinId="8" hidden="1"/>
    <cellStyle name="Hyperlink" xfId="12201" builtinId="8" hidden="1"/>
    <cellStyle name="Hyperlink" xfId="12203" builtinId="8" hidden="1"/>
    <cellStyle name="Hyperlink" xfId="12205" builtinId="8" hidden="1"/>
    <cellStyle name="Hyperlink" xfId="12207" builtinId="8" hidden="1"/>
    <cellStyle name="Hyperlink" xfId="12209" builtinId="8" hidden="1"/>
    <cellStyle name="Hyperlink" xfId="12211" builtinId="8" hidden="1"/>
    <cellStyle name="Hyperlink" xfId="12213" builtinId="8" hidden="1"/>
    <cellStyle name="Hyperlink" xfId="12215" builtinId="8" hidden="1"/>
    <cellStyle name="Hyperlink" xfId="12217" builtinId="8" hidden="1"/>
    <cellStyle name="Hyperlink" xfId="12219" builtinId="8" hidden="1"/>
    <cellStyle name="Hyperlink" xfId="12221" builtinId="8" hidden="1"/>
    <cellStyle name="Hyperlink" xfId="12223" builtinId="8" hidden="1"/>
    <cellStyle name="Hyperlink" xfId="12225" builtinId="8" hidden="1"/>
    <cellStyle name="Hyperlink" xfId="12227" builtinId="8" hidden="1"/>
    <cellStyle name="Hyperlink" xfId="12229" builtinId="8" hidden="1"/>
    <cellStyle name="Hyperlink" xfId="12231" builtinId="8" hidden="1"/>
    <cellStyle name="Hyperlink" xfId="12233" builtinId="8" hidden="1"/>
    <cellStyle name="Hyperlink" xfId="12235" builtinId="8" hidden="1"/>
    <cellStyle name="Hyperlink" xfId="12237" builtinId="8" hidden="1"/>
    <cellStyle name="Hyperlink" xfId="12239" builtinId="8" hidden="1"/>
    <cellStyle name="Hyperlink" xfId="12241" builtinId="8" hidden="1"/>
    <cellStyle name="Hyperlink" xfId="12243" builtinId="8" hidden="1"/>
    <cellStyle name="Hyperlink" xfId="12245" builtinId="8" hidden="1"/>
    <cellStyle name="Hyperlink" xfId="12247" builtinId="8" hidden="1"/>
    <cellStyle name="Hyperlink" xfId="12249" builtinId="8" hidden="1"/>
    <cellStyle name="Hyperlink" xfId="12251" builtinId="8" hidden="1"/>
    <cellStyle name="Hyperlink" xfId="12253" builtinId="8" hidden="1"/>
    <cellStyle name="Hyperlink" xfId="12255" builtinId="8" hidden="1"/>
    <cellStyle name="Hyperlink" xfId="12257" builtinId="8" hidden="1"/>
    <cellStyle name="Hyperlink" xfId="12259" builtinId="8" hidden="1"/>
    <cellStyle name="Hyperlink" xfId="12261" builtinId="8" hidden="1"/>
    <cellStyle name="Hyperlink" xfId="12263" builtinId="8" hidden="1"/>
    <cellStyle name="Hyperlink" xfId="12265" builtinId="8" hidden="1"/>
    <cellStyle name="Hyperlink" xfId="12267" builtinId="8" hidden="1"/>
    <cellStyle name="Hyperlink" xfId="12269" builtinId="8" hidden="1"/>
    <cellStyle name="Hyperlink" xfId="12271" builtinId="8" hidden="1"/>
    <cellStyle name="Hyperlink" xfId="12273" builtinId="8" hidden="1"/>
    <cellStyle name="Hyperlink" xfId="12275" builtinId="8" hidden="1"/>
    <cellStyle name="Hyperlink" xfId="12277" builtinId="8" hidden="1"/>
    <cellStyle name="Hyperlink" xfId="12279" builtinId="8" hidden="1"/>
    <cellStyle name="Hyperlink" xfId="12281" builtinId="8" hidden="1"/>
    <cellStyle name="Hyperlink" xfId="12283" builtinId="8" hidden="1"/>
    <cellStyle name="Hyperlink" xfId="12285" builtinId="8" hidden="1"/>
    <cellStyle name="Hyperlink" xfId="12287" builtinId="8" hidden="1"/>
    <cellStyle name="Hyperlink" xfId="12289" builtinId="8" hidden="1"/>
    <cellStyle name="Hyperlink" xfId="12291" builtinId="8" hidden="1"/>
    <cellStyle name="Hyperlink" xfId="12293" builtinId="8" hidden="1"/>
    <cellStyle name="Hyperlink" xfId="12295" builtinId="8" hidden="1"/>
    <cellStyle name="Hyperlink" xfId="12297" builtinId="8" hidden="1"/>
    <cellStyle name="Hyperlink" xfId="12299" builtinId="8" hidden="1"/>
    <cellStyle name="Hyperlink" xfId="12301" builtinId="8" hidden="1"/>
    <cellStyle name="Hyperlink" xfId="12303" builtinId="8" hidden="1"/>
    <cellStyle name="Hyperlink" xfId="12305" builtinId="8" hidden="1"/>
    <cellStyle name="Hyperlink" xfId="12307" builtinId="8" hidden="1"/>
    <cellStyle name="Hyperlink" xfId="12309" builtinId="8" hidden="1"/>
    <cellStyle name="Hyperlink" xfId="12311" builtinId="8" hidden="1"/>
    <cellStyle name="Hyperlink" xfId="12313" builtinId="8" hidden="1"/>
    <cellStyle name="Hyperlink" xfId="12315" builtinId="8" hidden="1"/>
    <cellStyle name="Hyperlink" xfId="12317" builtinId="8" hidden="1"/>
    <cellStyle name="Hyperlink" xfId="12319" builtinId="8" hidden="1"/>
    <cellStyle name="Hyperlink" xfId="12321" builtinId="8" hidden="1"/>
    <cellStyle name="Hyperlink" xfId="12323" builtinId="8" hidden="1"/>
    <cellStyle name="Hyperlink" xfId="12325" builtinId="8" hidden="1"/>
    <cellStyle name="Hyperlink" xfId="12327" builtinId="8" hidden="1"/>
    <cellStyle name="Hyperlink" xfId="12329" builtinId="8" hidden="1"/>
    <cellStyle name="Hyperlink" xfId="12331" builtinId="8" hidden="1"/>
    <cellStyle name="Hyperlink" xfId="12333" builtinId="8" hidden="1"/>
    <cellStyle name="Hyperlink" xfId="12335" builtinId="8" hidden="1"/>
    <cellStyle name="Hyperlink" xfId="12337" builtinId="8" hidden="1"/>
    <cellStyle name="Hyperlink" xfId="12339" builtinId="8" hidden="1"/>
    <cellStyle name="Hyperlink" xfId="12341" builtinId="8" hidden="1"/>
    <cellStyle name="Hyperlink" xfId="12343" builtinId="8" hidden="1"/>
    <cellStyle name="Hyperlink" xfId="12345" builtinId="8" hidden="1"/>
    <cellStyle name="Hyperlink" xfId="12347" builtinId="8" hidden="1"/>
    <cellStyle name="Hyperlink" xfId="12349" builtinId="8" hidden="1"/>
    <cellStyle name="Hyperlink" xfId="12351" builtinId="8" hidden="1"/>
    <cellStyle name="Hyperlink" xfId="12353" builtinId="8" hidden="1"/>
    <cellStyle name="Hyperlink" xfId="12355" builtinId="8" hidden="1"/>
    <cellStyle name="Hyperlink" xfId="12357" builtinId="8" hidden="1"/>
    <cellStyle name="Hyperlink" xfId="12359" builtinId="8" hidden="1"/>
    <cellStyle name="Hyperlink" xfId="12361" builtinId="8" hidden="1"/>
    <cellStyle name="Hyperlink" xfId="12363" builtinId="8" hidden="1"/>
    <cellStyle name="Hyperlink" xfId="12365" builtinId="8" hidden="1"/>
    <cellStyle name="Hyperlink" xfId="12367" builtinId="8" hidden="1"/>
    <cellStyle name="Hyperlink" xfId="12369" builtinId="8" hidden="1"/>
    <cellStyle name="Hyperlink" xfId="12371" builtinId="8" hidden="1"/>
    <cellStyle name="Hyperlink" xfId="12373" builtinId="8" hidden="1"/>
    <cellStyle name="Hyperlink" xfId="12375" builtinId="8" hidden="1"/>
    <cellStyle name="Hyperlink" xfId="12377" builtinId="8" hidden="1"/>
    <cellStyle name="Hyperlink" xfId="12379" builtinId="8" hidden="1"/>
    <cellStyle name="Hyperlink" xfId="12381" builtinId="8" hidden="1"/>
    <cellStyle name="Hyperlink" xfId="12383" builtinId="8" hidden="1"/>
    <cellStyle name="Hyperlink" xfId="12385" builtinId="8" hidden="1"/>
    <cellStyle name="Hyperlink" xfId="12387" builtinId="8" hidden="1"/>
    <cellStyle name="Hyperlink" xfId="12389" builtinId="8" hidden="1"/>
    <cellStyle name="Hyperlink" xfId="12391" builtinId="8" hidden="1"/>
    <cellStyle name="Hyperlink" xfId="12393" builtinId="8" hidden="1"/>
    <cellStyle name="Hyperlink" xfId="12395" builtinId="8" hidden="1"/>
    <cellStyle name="Hyperlink" xfId="12397" builtinId="8" hidden="1"/>
    <cellStyle name="Hyperlink" xfId="12399" builtinId="8" hidden="1"/>
    <cellStyle name="Hyperlink" xfId="12401" builtinId="8" hidden="1"/>
    <cellStyle name="Hyperlink" xfId="12403" builtinId="8" hidden="1"/>
    <cellStyle name="Hyperlink" xfId="12405" builtinId="8" hidden="1"/>
    <cellStyle name="Hyperlink" xfId="12407" builtinId="8" hidden="1"/>
    <cellStyle name="Hyperlink" xfId="12409" builtinId="8" hidden="1"/>
    <cellStyle name="Hyperlink" xfId="12411" builtinId="8" hidden="1"/>
    <cellStyle name="Hyperlink" xfId="12413" builtinId="8" hidden="1"/>
    <cellStyle name="Hyperlink" xfId="12415" builtinId="8" hidden="1"/>
    <cellStyle name="Hyperlink" xfId="12417" builtinId="8" hidden="1"/>
    <cellStyle name="Hyperlink" xfId="12419" builtinId="8" hidden="1"/>
    <cellStyle name="Hyperlink" xfId="12421" builtinId="8" hidden="1"/>
    <cellStyle name="Hyperlink" xfId="12423" builtinId="8" hidden="1"/>
    <cellStyle name="Hyperlink" xfId="12425" builtinId="8" hidden="1"/>
    <cellStyle name="Hyperlink" xfId="12427" builtinId="8" hidden="1"/>
    <cellStyle name="Hyperlink" xfId="12429" builtinId="8" hidden="1"/>
    <cellStyle name="Hyperlink" xfId="12431" builtinId="8" hidden="1"/>
    <cellStyle name="Hyperlink" xfId="12433" builtinId="8" hidden="1"/>
    <cellStyle name="Hyperlink" xfId="12435" builtinId="8" hidden="1"/>
    <cellStyle name="Hyperlink" xfId="12437" builtinId="8" hidden="1"/>
    <cellStyle name="Hyperlink" xfId="12439" builtinId="8" hidden="1"/>
    <cellStyle name="Hyperlink" xfId="12441" builtinId="8" hidden="1"/>
    <cellStyle name="Hyperlink" xfId="12443" builtinId="8" hidden="1"/>
    <cellStyle name="Hyperlink" xfId="12445" builtinId="8" hidden="1"/>
    <cellStyle name="Hyperlink" xfId="12447" builtinId="8" hidden="1"/>
    <cellStyle name="Hyperlink" xfId="12449" builtinId="8" hidden="1"/>
    <cellStyle name="Hyperlink" xfId="12451" builtinId="8" hidden="1"/>
    <cellStyle name="Hyperlink" xfId="12453" builtinId="8" hidden="1"/>
    <cellStyle name="Hyperlink" xfId="12455" builtinId="8" hidden="1"/>
    <cellStyle name="Hyperlink" xfId="12457" builtinId="8" hidden="1"/>
    <cellStyle name="Hyperlink" xfId="12459" builtinId="8" hidden="1"/>
    <cellStyle name="Hyperlink" xfId="12461" builtinId="8" hidden="1"/>
    <cellStyle name="Hyperlink" xfId="12463" builtinId="8" hidden="1"/>
    <cellStyle name="Hyperlink" xfId="12465" builtinId="8" hidden="1"/>
    <cellStyle name="Hyperlink" xfId="12467" builtinId="8" hidden="1"/>
    <cellStyle name="Hyperlink" xfId="12469" builtinId="8" hidden="1"/>
    <cellStyle name="Hyperlink" xfId="12471" builtinId="8" hidden="1"/>
    <cellStyle name="Hyperlink" xfId="12473" builtinId="8" hidden="1"/>
    <cellStyle name="Hyperlink" xfId="12475" builtinId="8" hidden="1"/>
    <cellStyle name="Hyperlink" xfId="12477" builtinId="8" hidden="1"/>
    <cellStyle name="Hyperlink" xfId="12479" builtinId="8" hidden="1"/>
    <cellStyle name="Hyperlink" xfId="12481" builtinId="8" hidden="1"/>
    <cellStyle name="Hyperlink" xfId="12483" builtinId="8" hidden="1"/>
    <cellStyle name="Hyperlink" xfId="12485" builtinId="8" hidden="1"/>
    <cellStyle name="Hyperlink" xfId="12487" builtinId="8" hidden="1"/>
    <cellStyle name="Hyperlink" xfId="12489" builtinId="8" hidden="1"/>
    <cellStyle name="Hyperlink" xfId="12491" builtinId="8" hidden="1"/>
    <cellStyle name="Hyperlink" xfId="12493" builtinId="8" hidden="1"/>
    <cellStyle name="Hyperlink" xfId="12495" builtinId="8" hidden="1"/>
    <cellStyle name="Hyperlink" xfId="12497" builtinId="8" hidden="1"/>
    <cellStyle name="Hyperlink" xfId="12499" builtinId="8" hidden="1"/>
    <cellStyle name="Hyperlink" xfId="12501" builtinId="8" hidden="1"/>
    <cellStyle name="Hyperlink" xfId="12503" builtinId="8" hidden="1"/>
    <cellStyle name="Hyperlink" xfId="12505" builtinId="8" hidden="1"/>
    <cellStyle name="Hyperlink" xfId="12507" builtinId="8" hidden="1"/>
    <cellStyle name="Hyperlink" xfId="12509" builtinId="8" hidden="1"/>
    <cellStyle name="Hyperlink" xfId="12511" builtinId="8" hidden="1"/>
    <cellStyle name="Hyperlink" xfId="12513" builtinId="8" hidden="1"/>
    <cellStyle name="Hyperlink" xfId="12515" builtinId="8" hidden="1"/>
    <cellStyle name="Hyperlink" xfId="12517" builtinId="8" hidden="1"/>
    <cellStyle name="Hyperlink" xfId="12519" builtinId="8" hidden="1"/>
    <cellStyle name="Hyperlink" xfId="12521" builtinId="8" hidden="1"/>
    <cellStyle name="Hyperlink" xfId="12523" builtinId="8" hidden="1"/>
    <cellStyle name="Hyperlink" xfId="12525" builtinId="8" hidden="1"/>
    <cellStyle name="Hyperlink" xfId="12527" builtinId="8" hidden="1"/>
    <cellStyle name="Hyperlink" xfId="12529" builtinId="8" hidden="1"/>
    <cellStyle name="Hyperlink" xfId="12531" builtinId="8" hidden="1"/>
    <cellStyle name="Hyperlink" xfId="12533" builtinId="8" hidden="1"/>
    <cellStyle name="Hyperlink" xfId="12535" builtinId="8" hidden="1"/>
    <cellStyle name="Hyperlink" xfId="12537" builtinId="8" hidden="1"/>
    <cellStyle name="Hyperlink" xfId="12539" builtinId="8" hidden="1"/>
    <cellStyle name="Hyperlink" xfId="12541" builtinId="8" hidden="1"/>
    <cellStyle name="Hyperlink" xfId="12543" builtinId="8" hidden="1"/>
    <cellStyle name="Hyperlink" xfId="12545" builtinId="8" hidden="1"/>
    <cellStyle name="Hyperlink" xfId="12547" builtinId="8" hidden="1"/>
    <cellStyle name="Hyperlink" xfId="12549" builtinId="8" hidden="1"/>
    <cellStyle name="Hyperlink" xfId="12551" builtinId="8" hidden="1"/>
    <cellStyle name="Hyperlink" xfId="12553" builtinId="8" hidden="1"/>
    <cellStyle name="Hyperlink" xfId="12555" builtinId="8" hidden="1"/>
    <cellStyle name="Hyperlink" xfId="12557" builtinId="8" hidden="1"/>
    <cellStyle name="Hyperlink" xfId="12559" builtinId="8" hidden="1"/>
    <cellStyle name="Hyperlink" xfId="12561" builtinId="8" hidden="1"/>
    <cellStyle name="Hyperlink" xfId="12563" builtinId="8" hidden="1"/>
    <cellStyle name="Hyperlink" xfId="12565" builtinId="8" hidden="1"/>
    <cellStyle name="Hyperlink" xfId="12567" builtinId="8" hidden="1"/>
    <cellStyle name="Hyperlink" xfId="12569" builtinId="8" hidden="1"/>
    <cellStyle name="Hyperlink" xfId="12571" builtinId="8" hidden="1"/>
    <cellStyle name="Hyperlink" xfId="12573" builtinId="8" hidden="1"/>
    <cellStyle name="Hyperlink" xfId="12575" builtinId="8" hidden="1"/>
    <cellStyle name="Hyperlink" xfId="12577" builtinId="8" hidden="1"/>
    <cellStyle name="Hyperlink" xfId="12579" builtinId="8" hidden="1"/>
    <cellStyle name="Hyperlink" xfId="12581" builtinId="8" hidden="1"/>
    <cellStyle name="Hyperlink" xfId="12583" builtinId="8" hidden="1"/>
    <cellStyle name="Hyperlink" xfId="12585" builtinId="8" hidden="1"/>
    <cellStyle name="Hyperlink" xfId="12587" builtinId="8" hidden="1"/>
    <cellStyle name="Hyperlink" xfId="12589" builtinId="8" hidden="1"/>
    <cellStyle name="Hyperlink" xfId="12591" builtinId="8" hidden="1"/>
    <cellStyle name="Hyperlink" xfId="12593" builtinId="8" hidden="1"/>
    <cellStyle name="Hyperlink" xfId="12595" builtinId="8" hidden="1"/>
    <cellStyle name="Hyperlink" xfId="12597" builtinId="8" hidden="1"/>
    <cellStyle name="Hyperlink" xfId="12599" builtinId="8" hidden="1"/>
    <cellStyle name="Hyperlink" xfId="12601" builtinId="8" hidden="1"/>
    <cellStyle name="Hyperlink" xfId="12603" builtinId="8" hidden="1"/>
    <cellStyle name="Hyperlink" xfId="12605" builtinId="8" hidden="1"/>
    <cellStyle name="Hyperlink" xfId="12607" builtinId="8" hidden="1"/>
    <cellStyle name="Hyperlink" xfId="12609" builtinId="8" hidden="1"/>
    <cellStyle name="Hyperlink" xfId="12611" builtinId="8" hidden="1"/>
    <cellStyle name="Hyperlink" xfId="12613" builtinId="8" hidden="1"/>
    <cellStyle name="Hyperlink" xfId="12615" builtinId="8" hidden="1"/>
    <cellStyle name="Hyperlink" xfId="12617" builtinId="8" hidden="1"/>
    <cellStyle name="Hyperlink" xfId="12619" builtinId="8" hidden="1"/>
    <cellStyle name="Hyperlink" xfId="12621" builtinId="8" hidden="1"/>
    <cellStyle name="Hyperlink" xfId="12623" builtinId="8" hidden="1"/>
    <cellStyle name="Hyperlink" xfId="12625" builtinId="8" hidden="1"/>
    <cellStyle name="Hyperlink" xfId="12627" builtinId="8" hidden="1"/>
    <cellStyle name="Hyperlink" xfId="12629" builtinId="8" hidden="1"/>
    <cellStyle name="Hyperlink" xfId="12631" builtinId="8" hidden="1"/>
    <cellStyle name="Hyperlink" xfId="12633" builtinId="8" hidden="1"/>
    <cellStyle name="Hyperlink" xfId="12635" builtinId="8" hidden="1"/>
    <cellStyle name="Hyperlink" xfId="12637" builtinId="8" hidden="1"/>
    <cellStyle name="Hyperlink" xfId="12639" builtinId="8" hidden="1"/>
    <cellStyle name="Hyperlink" xfId="12641" builtinId="8" hidden="1"/>
    <cellStyle name="Hyperlink" xfId="12643" builtinId="8" hidden="1"/>
    <cellStyle name="Hyperlink" xfId="12645" builtinId="8" hidden="1"/>
    <cellStyle name="Hyperlink" xfId="12647" builtinId="8" hidden="1"/>
    <cellStyle name="Hyperlink" xfId="12649" builtinId="8" hidden="1"/>
    <cellStyle name="Hyperlink" xfId="12651" builtinId="8" hidden="1"/>
    <cellStyle name="Hyperlink" xfId="12653" builtinId="8" hidden="1"/>
    <cellStyle name="Hyperlink" xfId="12655" builtinId="8" hidden="1"/>
    <cellStyle name="Hyperlink" xfId="12657" builtinId="8" hidden="1"/>
    <cellStyle name="Hyperlink" xfId="12659" builtinId="8" hidden="1"/>
    <cellStyle name="Hyperlink" xfId="12661" builtinId="8" hidden="1"/>
    <cellStyle name="Hyperlink" xfId="12663" builtinId="8" hidden="1"/>
    <cellStyle name="Hyperlink" xfId="12665" builtinId="8" hidden="1"/>
    <cellStyle name="Hyperlink" xfId="12667" builtinId="8" hidden="1"/>
    <cellStyle name="Hyperlink" xfId="12669" builtinId="8" hidden="1"/>
    <cellStyle name="Hyperlink" xfId="12671" builtinId="8" hidden="1"/>
    <cellStyle name="Hyperlink" xfId="12673" builtinId="8" hidden="1"/>
    <cellStyle name="Hyperlink" xfId="12675" builtinId="8" hidden="1"/>
    <cellStyle name="Hyperlink" xfId="12677" builtinId="8" hidden="1"/>
    <cellStyle name="Hyperlink" xfId="12679" builtinId="8" hidden="1"/>
    <cellStyle name="Hyperlink" xfId="12681" builtinId="8" hidden="1"/>
    <cellStyle name="Hyperlink" xfId="12683" builtinId="8" hidden="1"/>
    <cellStyle name="Hyperlink" xfId="12685" builtinId="8" hidden="1"/>
    <cellStyle name="Hyperlink" xfId="12687" builtinId="8" hidden="1"/>
    <cellStyle name="Hyperlink" xfId="12689" builtinId="8" hidden="1"/>
    <cellStyle name="Hyperlink" xfId="12691" builtinId="8" hidden="1"/>
    <cellStyle name="Hyperlink" xfId="12693" builtinId="8" hidden="1"/>
    <cellStyle name="Hyperlink" xfId="12695" builtinId="8" hidden="1"/>
    <cellStyle name="Hyperlink" xfId="12697" builtinId="8" hidden="1"/>
    <cellStyle name="Hyperlink" xfId="12699" builtinId="8" hidden="1"/>
    <cellStyle name="Hyperlink" xfId="12701" builtinId="8" hidden="1"/>
    <cellStyle name="Hyperlink" xfId="12703" builtinId="8" hidden="1"/>
    <cellStyle name="Hyperlink" xfId="12705" builtinId="8" hidden="1"/>
    <cellStyle name="Hyperlink" xfId="12707" builtinId="8" hidden="1"/>
    <cellStyle name="Hyperlink" xfId="12709" builtinId="8" hidden="1"/>
    <cellStyle name="Hyperlink" xfId="12711" builtinId="8" hidden="1"/>
    <cellStyle name="Hyperlink" xfId="12713" builtinId="8" hidden="1"/>
    <cellStyle name="Hyperlink" xfId="12715" builtinId="8" hidden="1"/>
    <cellStyle name="Hyperlink" xfId="12717" builtinId="8" hidden="1"/>
    <cellStyle name="Hyperlink" xfId="12719" builtinId="8" hidden="1"/>
    <cellStyle name="Hyperlink" xfId="12721" builtinId="8" hidden="1"/>
    <cellStyle name="Hyperlink" xfId="12723" builtinId="8" hidden="1"/>
    <cellStyle name="Hyperlink" xfId="12725" builtinId="8" hidden="1"/>
    <cellStyle name="Hyperlink" xfId="12727" builtinId="8" hidden="1"/>
    <cellStyle name="Hyperlink" xfId="12729" builtinId="8" hidden="1"/>
    <cellStyle name="Hyperlink" xfId="12731" builtinId="8" hidden="1"/>
    <cellStyle name="Hyperlink" xfId="12733" builtinId="8" hidden="1"/>
    <cellStyle name="Hyperlink" xfId="12735" builtinId="8" hidden="1"/>
    <cellStyle name="Hyperlink" xfId="12737" builtinId="8" hidden="1"/>
    <cellStyle name="Hyperlink" xfId="12739" builtinId="8" hidden="1"/>
    <cellStyle name="Hyperlink" xfId="12741" builtinId="8" hidden="1"/>
    <cellStyle name="Hyperlink" xfId="12743" builtinId="8" hidden="1"/>
    <cellStyle name="Hyperlink" xfId="12745" builtinId="8" hidden="1"/>
    <cellStyle name="Hyperlink" xfId="12747" builtinId="8" hidden="1"/>
    <cellStyle name="Hyperlink" xfId="12749" builtinId="8" hidden="1"/>
    <cellStyle name="Hyperlink" xfId="12751" builtinId="8" hidden="1"/>
    <cellStyle name="Hyperlink" xfId="12753" builtinId="8" hidden="1"/>
    <cellStyle name="Hyperlink" xfId="12755" builtinId="8" hidden="1"/>
    <cellStyle name="Hyperlink" xfId="12757" builtinId="8" hidden="1"/>
    <cellStyle name="Hyperlink" xfId="12759" builtinId="8" hidden="1"/>
    <cellStyle name="Hyperlink" xfId="12761" builtinId="8" hidden="1"/>
    <cellStyle name="Hyperlink" xfId="12763" builtinId="8" hidden="1"/>
    <cellStyle name="Hyperlink" xfId="12765" builtinId="8" hidden="1"/>
    <cellStyle name="Hyperlink" xfId="12767" builtinId="8" hidden="1"/>
    <cellStyle name="Hyperlink" xfId="12769" builtinId="8" hidden="1"/>
    <cellStyle name="Hyperlink" xfId="12771" builtinId="8" hidden="1"/>
    <cellStyle name="Hyperlink" xfId="12773" builtinId="8" hidden="1"/>
    <cellStyle name="Hyperlink" xfId="12775" builtinId="8" hidden="1"/>
    <cellStyle name="Hyperlink" xfId="12777" builtinId="8" hidden="1"/>
    <cellStyle name="Hyperlink" xfId="12779" builtinId="8" hidden="1"/>
    <cellStyle name="Hyperlink" xfId="12781" builtinId="8" hidden="1"/>
    <cellStyle name="Hyperlink" xfId="12783" builtinId="8" hidden="1"/>
    <cellStyle name="Hyperlink" xfId="12785" builtinId="8" hidden="1"/>
    <cellStyle name="Hyperlink" xfId="12787" builtinId="8" hidden="1"/>
    <cellStyle name="Hyperlink" xfId="12789" builtinId="8" hidden="1"/>
    <cellStyle name="Hyperlink" xfId="12791" builtinId="8" hidden="1"/>
    <cellStyle name="Hyperlink" xfId="12793" builtinId="8" hidden="1"/>
    <cellStyle name="Hyperlink" xfId="12795" builtinId="8" hidden="1"/>
    <cellStyle name="Hyperlink" xfId="12797" builtinId="8" hidden="1"/>
    <cellStyle name="Hyperlink" xfId="12799" builtinId="8" hidden="1"/>
    <cellStyle name="Hyperlink" xfId="12801" builtinId="8" hidden="1"/>
    <cellStyle name="Hyperlink" xfId="12803" builtinId="8" hidden="1"/>
    <cellStyle name="Hyperlink" xfId="12805" builtinId="8" hidden="1"/>
    <cellStyle name="Hyperlink" xfId="12807" builtinId="8" hidden="1"/>
    <cellStyle name="Hyperlink" xfId="12809" builtinId="8" hidden="1"/>
    <cellStyle name="Hyperlink" xfId="12811" builtinId="8" hidden="1"/>
    <cellStyle name="Hyperlink" xfId="12813" builtinId="8" hidden="1"/>
    <cellStyle name="Hyperlink" xfId="12815" builtinId="8" hidden="1"/>
    <cellStyle name="Hyperlink" xfId="12817" builtinId="8" hidden="1"/>
    <cellStyle name="Hyperlink" xfId="12819" builtinId="8" hidden="1"/>
    <cellStyle name="Hyperlink" xfId="12821" builtinId="8" hidden="1"/>
    <cellStyle name="Hyperlink" xfId="12823" builtinId="8" hidden="1"/>
    <cellStyle name="Hyperlink" xfId="12825" builtinId="8" hidden="1"/>
    <cellStyle name="Hyperlink" xfId="12827" builtinId="8" hidden="1"/>
    <cellStyle name="Hyperlink" xfId="12829" builtinId="8" hidden="1"/>
    <cellStyle name="Hyperlink" xfId="12831" builtinId="8" hidden="1"/>
    <cellStyle name="Hyperlink" xfId="12833" builtinId="8" hidden="1"/>
    <cellStyle name="Hyperlink" xfId="12835" builtinId="8" hidden="1"/>
    <cellStyle name="Hyperlink" xfId="12837" builtinId="8" hidden="1"/>
    <cellStyle name="Hyperlink" xfId="12839" builtinId="8" hidden="1"/>
    <cellStyle name="Hyperlink" xfId="12841" builtinId="8" hidden="1"/>
    <cellStyle name="Hyperlink" xfId="12843" builtinId="8" hidden="1"/>
    <cellStyle name="Hyperlink" xfId="12845" builtinId="8" hidden="1"/>
    <cellStyle name="Hyperlink" xfId="12847" builtinId="8" hidden="1"/>
    <cellStyle name="Hyperlink" xfId="12849" builtinId="8" hidden="1"/>
    <cellStyle name="Hyperlink" xfId="12851" builtinId="8" hidden="1"/>
    <cellStyle name="Hyperlink" xfId="12853" builtinId="8" hidden="1"/>
    <cellStyle name="Hyperlink" xfId="12855" builtinId="8" hidden="1"/>
    <cellStyle name="Hyperlink" xfId="12857" builtinId="8" hidden="1"/>
    <cellStyle name="Hyperlink" xfId="12859" builtinId="8" hidden="1"/>
    <cellStyle name="Hyperlink" xfId="12861" builtinId="8" hidden="1"/>
    <cellStyle name="Hyperlink" xfId="12863" builtinId="8" hidden="1"/>
    <cellStyle name="Hyperlink" xfId="12865" builtinId="8" hidden="1"/>
    <cellStyle name="Hyperlink" xfId="12867" builtinId="8" hidden="1"/>
    <cellStyle name="Hyperlink" xfId="12869" builtinId="8" hidden="1"/>
    <cellStyle name="Hyperlink" xfId="12871" builtinId="8" hidden="1"/>
    <cellStyle name="Hyperlink" xfId="12873" builtinId="8" hidden="1"/>
    <cellStyle name="Hyperlink" xfId="12875" builtinId="8" hidden="1"/>
    <cellStyle name="Hyperlink" xfId="12877" builtinId="8" hidden="1"/>
    <cellStyle name="Hyperlink" xfId="12879" builtinId="8" hidden="1"/>
    <cellStyle name="Hyperlink" xfId="12881" builtinId="8" hidden="1"/>
    <cellStyle name="Hyperlink" xfId="12883" builtinId="8" hidden="1"/>
    <cellStyle name="Hyperlink" xfId="12885" builtinId="8" hidden="1"/>
    <cellStyle name="Hyperlink" xfId="12887" builtinId="8" hidden="1"/>
    <cellStyle name="Hyperlink" xfId="12889" builtinId="8" hidden="1"/>
    <cellStyle name="Hyperlink" xfId="12891" builtinId="8" hidden="1"/>
    <cellStyle name="Hyperlink" xfId="12893" builtinId="8" hidden="1"/>
    <cellStyle name="Hyperlink" xfId="12895" builtinId="8" hidden="1"/>
    <cellStyle name="Hyperlink" xfId="12897" builtinId="8" hidden="1"/>
    <cellStyle name="Hyperlink" xfId="12899" builtinId="8" hidden="1"/>
    <cellStyle name="Hyperlink" xfId="12901" builtinId="8" hidden="1"/>
    <cellStyle name="Hyperlink" xfId="12903" builtinId="8" hidden="1"/>
    <cellStyle name="Hyperlink" xfId="12905" builtinId="8" hidden="1"/>
    <cellStyle name="Hyperlink" xfId="12907" builtinId="8" hidden="1"/>
    <cellStyle name="Hyperlink" xfId="12909" builtinId="8" hidden="1"/>
    <cellStyle name="Hyperlink" xfId="12911" builtinId="8" hidden="1"/>
    <cellStyle name="Hyperlink" xfId="12913" builtinId="8" hidden="1"/>
    <cellStyle name="Hyperlink" xfId="12915" builtinId="8" hidden="1"/>
    <cellStyle name="Hyperlink" xfId="12917" builtinId="8" hidden="1"/>
    <cellStyle name="Hyperlink" xfId="12919" builtinId="8" hidden="1"/>
    <cellStyle name="Hyperlink" xfId="12921" builtinId="8" hidden="1"/>
    <cellStyle name="Hyperlink" xfId="12923" builtinId="8" hidden="1"/>
    <cellStyle name="Hyperlink" xfId="12925" builtinId="8" hidden="1"/>
    <cellStyle name="Hyperlink" xfId="12927" builtinId="8" hidden="1"/>
    <cellStyle name="Hyperlink" xfId="12929" builtinId="8" hidden="1"/>
    <cellStyle name="Hyperlink" xfId="12931" builtinId="8" hidden="1"/>
    <cellStyle name="Hyperlink" xfId="12933" builtinId="8" hidden="1"/>
    <cellStyle name="Hyperlink" xfId="12935" builtinId="8" hidden="1"/>
    <cellStyle name="Hyperlink" xfId="12937" builtinId="8" hidden="1"/>
    <cellStyle name="Hyperlink" xfId="12939" builtinId="8" hidden="1"/>
    <cellStyle name="Hyperlink" xfId="12941" builtinId="8" hidden="1"/>
    <cellStyle name="Hyperlink" xfId="12943" builtinId="8" hidden="1"/>
    <cellStyle name="Hyperlink" xfId="12945" builtinId="8" hidden="1"/>
    <cellStyle name="Hyperlink" xfId="12947" builtinId="8" hidden="1"/>
    <cellStyle name="Hyperlink" xfId="12949" builtinId="8" hidden="1"/>
    <cellStyle name="Hyperlink" xfId="12951" builtinId="8" hidden="1"/>
    <cellStyle name="Hyperlink" xfId="12953" builtinId="8" hidden="1"/>
    <cellStyle name="Hyperlink" xfId="12955" builtinId="8" hidden="1"/>
    <cellStyle name="Hyperlink" xfId="12957" builtinId="8" hidden="1"/>
    <cellStyle name="Hyperlink" xfId="12959" builtinId="8" hidden="1"/>
    <cellStyle name="Hyperlink" xfId="12961" builtinId="8" hidden="1"/>
    <cellStyle name="Hyperlink" xfId="12963" builtinId="8" hidden="1"/>
    <cellStyle name="Hyperlink" xfId="12965" builtinId="8" hidden="1"/>
    <cellStyle name="Hyperlink" xfId="12967" builtinId="8" hidden="1"/>
    <cellStyle name="Hyperlink" xfId="12969" builtinId="8" hidden="1"/>
    <cellStyle name="Hyperlink" xfId="12971" builtinId="8" hidden="1"/>
    <cellStyle name="Hyperlink" xfId="12973" builtinId="8" hidden="1"/>
    <cellStyle name="Hyperlink" xfId="12975" builtinId="8" hidden="1"/>
    <cellStyle name="Hyperlink" xfId="12977" builtinId="8" hidden="1"/>
    <cellStyle name="Hyperlink" xfId="12979" builtinId="8" hidden="1"/>
    <cellStyle name="Hyperlink" xfId="12981" builtinId="8" hidden="1"/>
    <cellStyle name="Hyperlink" xfId="12983" builtinId="8" hidden="1"/>
    <cellStyle name="Hyperlink" xfId="12985" builtinId="8" hidden="1"/>
    <cellStyle name="Hyperlink" xfId="12987" builtinId="8" hidden="1"/>
    <cellStyle name="Hyperlink" xfId="12989" builtinId="8" hidden="1"/>
    <cellStyle name="Hyperlink" xfId="12991" builtinId="8" hidden="1"/>
    <cellStyle name="Hyperlink" xfId="12993" builtinId="8" hidden="1"/>
    <cellStyle name="Hyperlink" xfId="12995" builtinId="8" hidden="1"/>
    <cellStyle name="Hyperlink" xfId="12997" builtinId="8" hidden="1"/>
    <cellStyle name="Hyperlink" xfId="12999" builtinId="8" hidden="1"/>
    <cellStyle name="Hyperlink" xfId="13001" builtinId="8" hidden="1"/>
    <cellStyle name="Hyperlink" xfId="13003" builtinId="8" hidden="1"/>
    <cellStyle name="Hyperlink" xfId="13005" builtinId="8" hidden="1"/>
    <cellStyle name="Hyperlink" xfId="13007" builtinId="8" hidden="1"/>
    <cellStyle name="Hyperlink" xfId="13009" builtinId="8" hidden="1"/>
    <cellStyle name="Hyperlink" xfId="13011" builtinId="8" hidden="1"/>
    <cellStyle name="Hyperlink" xfId="13013" builtinId="8" hidden="1"/>
    <cellStyle name="Hyperlink" xfId="13015" builtinId="8" hidden="1"/>
    <cellStyle name="Hyperlink" xfId="13017" builtinId="8" hidden="1"/>
    <cellStyle name="Hyperlink" xfId="13019" builtinId="8" hidden="1"/>
    <cellStyle name="Hyperlink" xfId="13021" builtinId="8" hidden="1"/>
    <cellStyle name="Hyperlink" xfId="13023" builtinId="8" hidden="1"/>
    <cellStyle name="Hyperlink" xfId="13025" builtinId="8" hidden="1"/>
    <cellStyle name="Hyperlink" xfId="13027" builtinId="8" hidden="1"/>
    <cellStyle name="Hyperlink" xfId="13029" builtinId="8" hidden="1"/>
    <cellStyle name="Hyperlink" xfId="13031" builtinId="8" hidden="1"/>
    <cellStyle name="Hyperlink" xfId="13033" builtinId="8" hidden="1"/>
    <cellStyle name="Hyperlink" xfId="13035" builtinId="8" hidden="1"/>
    <cellStyle name="Hyperlink" xfId="13037" builtinId="8" hidden="1"/>
    <cellStyle name="Hyperlink" xfId="13039" builtinId="8" hidden="1"/>
    <cellStyle name="Hyperlink" xfId="13041" builtinId="8" hidden="1"/>
    <cellStyle name="Hyperlink" xfId="13043" builtinId="8" hidden="1"/>
    <cellStyle name="Hyperlink" xfId="13045" builtinId="8" hidden="1"/>
    <cellStyle name="Hyperlink" xfId="13047" builtinId="8" hidden="1"/>
    <cellStyle name="Hyperlink" xfId="13049" builtinId="8" hidden="1"/>
    <cellStyle name="Hyperlink" xfId="13051" builtinId="8" hidden="1"/>
    <cellStyle name="Hyperlink" xfId="13053" builtinId="8" hidden="1"/>
    <cellStyle name="Hyperlink" xfId="13055" builtinId="8" hidden="1"/>
    <cellStyle name="Hyperlink" xfId="13057" builtinId="8" hidden="1"/>
    <cellStyle name="Hyperlink" xfId="13059" builtinId="8" hidden="1"/>
    <cellStyle name="Hyperlink" xfId="13061" builtinId="8" hidden="1"/>
    <cellStyle name="Hyperlink" xfId="13063" builtinId="8" hidden="1"/>
    <cellStyle name="Hyperlink" xfId="13065" builtinId="8" hidden="1"/>
    <cellStyle name="Hyperlink" xfId="13067" builtinId="8" hidden="1"/>
    <cellStyle name="Hyperlink" xfId="13069" builtinId="8" hidden="1"/>
    <cellStyle name="Hyperlink" xfId="13071" builtinId="8" hidden="1"/>
    <cellStyle name="Hyperlink" xfId="13073" builtinId="8" hidden="1"/>
    <cellStyle name="Hyperlink" xfId="13075" builtinId="8" hidden="1"/>
    <cellStyle name="Hyperlink" xfId="13077" builtinId="8" hidden="1"/>
    <cellStyle name="Hyperlink" xfId="13079" builtinId="8" hidden="1"/>
    <cellStyle name="Hyperlink" xfId="13081" builtinId="8" hidden="1"/>
    <cellStyle name="Hyperlink" xfId="13083" builtinId="8" hidden="1"/>
    <cellStyle name="Hyperlink" xfId="13085" builtinId="8" hidden="1"/>
    <cellStyle name="Hyperlink" xfId="13087" builtinId="8" hidden="1"/>
    <cellStyle name="Hyperlink" xfId="13089" builtinId="8" hidden="1"/>
    <cellStyle name="Hyperlink" xfId="13091" builtinId="8" hidden="1"/>
    <cellStyle name="Hyperlink" xfId="13093" builtinId="8" hidden="1"/>
    <cellStyle name="Hyperlink" xfId="13095" builtinId="8" hidden="1"/>
    <cellStyle name="Hyperlink" xfId="13097" builtinId="8" hidden="1"/>
    <cellStyle name="Hyperlink" xfId="13099" builtinId="8" hidden="1"/>
    <cellStyle name="Hyperlink" xfId="13101" builtinId="8" hidden="1"/>
    <cellStyle name="Hyperlink" xfId="13103" builtinId="8" hidden="1"/>
    <cellStyle name="Hyperlink" xfId="13105" builtinId="8" hidden="1"/>
    <cellStyle name="Hyperlink" xfId="13107" builtinId="8" hidden="1"/>
    <cellStyle name="Hyperlink" xfId="13109" builtinId="8" hidden="1"/>
    <cellStyle name="Hyperlink" xfId="13111" builtinId="8" hidden="1"/>
    <cellStyle name="Hyperlink" xfId="13113" builtinId="8" hidden="1"/>
    <cellStyle name="Hyperlink" xfId="13115" builtinId="8" hidden="1"/>
    <cellStyle name="Hyperlink" xfId="13117" builtinId="8" hidden="1"/>
    <cellStyle name="Hyperlink" xfId="13119" builtinId="8" hidden="1"/>
    <cellStyle name="Hyperlink" xfId="13121" builtinId="8" hidden="1"/>
    <cellStyle name="Hyperlink" xfId="13123" builtinId="8" hidden="1"/>
    <cellStyle name="Hyperlink" xfId="13125" builtinId="8" hidden="1"/>
    <cellStyle name="Hyperlink" xfId="13127" builtinId="8" hidden="1"/>
    <cellStyle name="Hyperlink" xfId="13129" builtinId="8" hidden="1"/>
    <cellStyle name="Hyperlink" xfId="13131" builtinId="8" hidden="1"/>
    <cellStyle name="Hyperlink" xfId="13133" builtinId="8" hidden="1"/>
    <cellStyle name="Hyperlink" xfId="13135" builtinId="8" hidden="1"/>
    <cellStyle name="Hyperlink" xfId="13137" builtinId="8" hidden="1"/>
    <cellStyle name="Hyperlink" xfId="13139" builtinId="8" hidden="1"/>
    <cellStyle name="Hyperlink" xfId="13141" builtinId="8" hidden="1"/>
    <cellStyle name="Hyperlink" xfId="13143" builtinId="8" hidden="1"/>
    <cellStyle name="Hyperlink" xfId="13145" builtinId="8" hidden="1"/>
    <cellStyle name="Hyperlink" xfId="13147" builtinId="8" hidden="1"/>
    <cellStyle name="Hyperlink" xfId="13149" builtinId="8" hidden="1"/>
    <cellStyle name="Hyperlink" xfId="13151" builtinId="8" hidden="1"/>
    <cellStyle name="Hyperlink" xfId="13153" builtinId="8" hidden="1"/>
    <cellStyle name="Hyperlink" xfId="13155" builtinId="8" hidden="1"/>
    <cellStyle name="Hyperlink" xfId="13157" builtinId="8" hidden="1"/>
    <cellStyle name="Hyperlink" xfId="13159" builtinId="8" hidden="1"/>
    <cellStyle name="Hyperlink" xfId="13161" builtinId="8" hidden="1"/>
    <cellStyle name="Hyperlink" xfId="13163" builtinId="8" hidden="1"/>
    <cellStyle name="Hyperlink" xfId="13165" builtinId="8" hidden="1"/>
    <cellStyle name="Hyperlink" xfId="13167" builtinId="8" hidden="1"/>
    <cellStyle name="Hyperlink" xfId="13169" builtinId="8" hidden="1"/>
    <cellStyle name="Hyperlink" xfId="13171" builtinId="8" hidden="1"/>
    <cellStyle name="Hyperlink" xfId="13173" builtinId="8" hidden="1"/>
    <cellStyle name="Hyperlink" xfId="13175" builtinId="8" hidden="1"/>
    <cellStyle name="Hyperlink" xfId="13177" builtinId="8" hidden="1"/>
    <cellStyle name="Hyperlink" xfId="13179" builtinId="8" hidden="1"/>
    <cellStyle name="Hyperlink" xfId="13181" builtinId="8" hidden="1"/>
    <cellStyle name="Hyperlink" xfId="13183" builtinId="8" hidden="1"/>
    <cellStyle name="Hyperlink" xfId="13185" builtinId="8" hidden="1"/>
    <cellStyle name="Hyperlink" xfId="13187" builtinId="8" hidden="1"/>
    <cellStyle name="Hyperlink" xfId="13189" builtinId="8" hidden="1"/>
    <cellStyle name="Hyperlink" xfId="13191" builtinId="8" hidden="1"/>
    <cellStyle name="Hyperlink" xfId="13193" builtinId="8" hidden="1"/>
    <cellStyle name="Hyperlink" xfId="13195" builtinId="8" hidden="1"/>
    <cellStyle name="Hyperlink" xfId="13197" builtinId="8" hidden="1"/>
    <cellStyle name="Hyperlink" xfId="13199" builtinId="8" hidden="1"/>
    <cellStyle name="Hyperlink" xfId="13201" builtinId="8" hidden="1"/>
    <cellStyle name="Hyperlink" xfId="13203" builtinId="8" hidden="1"/>
    <cellStyle name="Hyperlink" xfId="13205" builtinId="8" hidden="1"/>
    <cellStyle name="Hyperlink" xfId="13207" builtinId="8" hidden="1"/>
    <cellStyle name="Hyperlink" xfId="13209" builtinId="8" hidden="1"/>
    <cellStyle name="Hyperlink" xfId="13211" builtinId="8" hidden="1"/>
    <cellStyle name="Hyperlink" xfId="13213" builtinId="8" hidden="1"/>
    <cellStyle name="Hyperlink" xfId="13215" builtinId="8" hidden="1"/>
    <cellStyle name="Hyperlink" xfId="13217" builtinId="8" hidden="1"/>
    <cellStyle name="Hyperlink" xfId="13219" builtinId="8" hidden="1"/>
    <cellStyle name="Hyperlink" xfId="13221" builtinId="8" hidden="1"/>
    <cellStyle name="Hyperlink" xfId="13223" builtinId="8" hidden="1"/>
    <cellStyle name="Hyperlink" xfId="13225" builtinId="8" hidden="1"/>
    <cellStyle name="Hyperlink" xfId="13227" builtinId="8" hidden="1"/>
    <cellStyle name="Hyperlink" xfId="13229" builtinId="8" hidden="1"/>
    <cellStyle name="Hyperlink" xfId="13231" builtinId="8" hidden="1"/>
    <cellStyle name="Hyperlink" xfId="13233" builtinId="8" hidden="1"/>
    <cellStyle name="Hyperlink" xfId="13235" builtinId="8" hidden="1"/>
    <cellStyle name="Hyperlink" xfId="13237" builtinId="8" hidden="1"/>
    <cellStyle name="Hyperlink" xfId="13239" builtinId="8" hidden="1"/>
    <cellStyle name="Hyperlink" xfId="13241" builtinId="8" hidden="1"/>
    <cellStyle name="Hyperlink" xfId="13243" builtinId="8" hidden="1"/>
    <cellStyle name="Hyperlink" xfId="13245" builtinId="8" hidden="1"/>
    <cellStyle name="Hyperlink" xfId="13247" builtinId="8" hidden="1"/>
    <cellStyle name="Hyperlink" xfId="13249" builtinId="8" hidden="1"/>
    <cellStyle name="Hyperlink" xfId="13251" builtinId="8" hidden="1"/>
    <cellStyle name="Hyperlink" xfId="13253" builtinId="8" hidden="1"/>
    <cellStyle name="Hyperlink" xfId="13255" builtinId="8" hidden="1"/>
    <cellStyle name="Hyperlink" xfId="13257" builtinId="8" hidden="1"/>
    <cellStyle name="Hyperlink" xfId="13259" builtinId="8" hidden="1"/>
    <cellStyle name="Hyperlink" xfId="13261" builtinId="8" hidden="1"/>
    <cellStyle name="Hyperlink" xfId="13263" builtinId="8" hidden="1"/>
    <cellStyle name="Hyperlink" xfId="13265" builtinId="8" hidden="1"/>
    <cellStyle name="Hyperlink" xfId="13267" builtinId="8" hidden="1"/>
    <cellStyle name="Hyperlink" xfId="13269" builtinId="8" hidden="1"/>
    <cellStyle name="Hyperlink" xfId="13271" builtinId="8" hidden="1"/>
    <cellStyle name="Hyperlink" xfId="13273" builtinId="8" hidden="1"/>
    <cellStyle name="Hyperlink" xfId="13275" builtinId="8" hidden="1"/>
    <cellStyle name="Hyperlink" xfId="13277" builtinId="8" hidden="1"/>
    <cellStyle name="Hyperlink" xfId="13279" builtinId="8" hidden="1"/>
    <cellStyle name="Hyperlink" xfId="13281" builtinId="8" hidden="1"/>
    <cellStyle name="Hyperlink" xfId="13283" builtinId="8" hidden="1"/>
    <cellStyle name="Hyperlink" xfId="13285" builtinId="8" hidden="1"/>
    <cellStyle name="Hyperlink" xfId="13287" builtinId="8" hidden="1"/>
    <cellStyle name="Hyperlink" xfId="13289" builtinId="8" hidden="1"/>
    <cellStyle name="Hyperlink" xfId="13291" builtinId="8" hidden="1"/>
    <cellStyle name="Hyperlink" xfId="13293" builtinId="8" hidden="1"/>
    <cellStyle name="Hyperlink" xfId="13295" builtinId="8" hidden="1"/>
    <cellStyle name="Hyperlink" xfId="13297" builtinId="8" hidden="1"/>
    <cellStyle name="Hyperlink" xfId="13299" builtinId="8" hidden="1"/>
    <cellStyle name="Hyperlink" xfId="13301" builtinId="8" hidden="1"/>
    <cellStyle name="Hyperlink" xfId="13303" builtinId="8" hidden="1"/>
    <cellStyle name="Hyperlink" xfId="13305" builtinId="8" hidden="1"/>
    <cellStyle name="Hyperlink" xfId="13307" builtinId="8" hidden="1"/>
    <cellStyle name="Hyperlink" xfId="13309" builtinId="8" hidden="1"/>
    <cellStyle name="Hyperlink" xfId="13311" builtinId="8" hidden="1"/>
    <cellStyle name="Hyperlink" xfId="13313" builtinId="8" hidden="1"/>
    <cellStyle name="Hyperlink" xfId="13315" builtinId="8" hidden="1"/>
    <cellStyle name="Hyperlink" xfId="13317" builtinId="8" hidden="1"/>
    <cellStyle name="Hyperlink" xfId="13319" builtinId="8" hidden="1"/>
    <cellStyle name="Hyperlink" xfId="13321" builtinId="8" hidden="1"/>
    <cellStyle name="Hyperlink" xfId="13323" builtinId="8" hidden="1"/>
    <cellStyle name="Hyperlink" xfId="13325" builtinId="8" hidden="1"/>
    <cellStyle name="Hyperlink" xfId="13327" builtinId="8" hidden="1"/>
    <cellStyle name="Hyperlink" xfId="13329" builtinId="8" hidden="1"/>
    <cellStyle name="Hyperlink" xfId="13331" builtinId="8" hidden="1"/>
    <cellStyle name="Hyperlink" xfId="13333" builtinId="8" hidden="1"/>
    <cellStyle name="Hyperlink" xfId="13335" builtinId="8" hidden="1"/>
    <cellStyle name="Hyperlink" xfId="13337" builtinId="8" hidden="1"/>
    <cellStyle name="Hyperlink" xfId="13339" builtinId="8" hidden="1"/>
    <cellStyle name="Hyperlink" xfId="13341" builtinId="8" hidden="1"/>
    <cellStyle name="Hyperlink" xfId="13343" builtinId="8" hidden="1"/>
    <cellStyle name="Hyperlink" xfId="13345" builtinId="8" hidden="1"/>
    <cellStyle name="Hyperlink" xfId="13347" builtinId="8" hidden="1"/>
    <cellStyle name="Hyperlink" xfId="13349" builtinId="8" hidden="1"/>
    <cellStyle name="Hyperlink" xfId="13351" builtinId="8" hidden="1"/>
    <cellStyle name="Hyperlink" xfId="13353" builtinId="8" hidden="1"/>
    <cellStyle name="Hyperlink" xfId="13355" builtinId="8" hidden="1"/>
    <cellStyle name="Hyperlink" xfId="13357" builtinId="8" hidden="1"/>
    <cellStyle name="Hyperlink" xfId="13359" builtinId="8" hidden="1"/>
    <cellStyle name="Hyperlink" xfId="13361" builtinId="8" hidden="1"/>
    <cellStyle name="Hyperlink" xfId="13363" builtinId="8" hidden="1"/>
    <cellStyle name="Hyperlink" xfId="13365" builtinId="8" hidden="1"/>
    <cellStyle name="Hyperlink" xfId="13367" builtinId="8" hidden="1"/>
    <cellStyle name="Hyperlink" xfId="13369" builtinId="8" hidden="1"/>
    <cellStyle name="Hyperlink" xfId="13371" builtinId="8" hidden="1"/>
    <cellStyle name="Hyperlink" xfId="13373" builtinId="8" hidden="1"/>
    <cellStyle name="Hyperlink" xfId="13375" builtinId="8" hidden="1"/>
    <cellStyle name="Hyperlink" xfId="13377" builtinId="8" hidden="1"/>
    <cellStyle name="Hyperlink" xfId="13379" builtinId="8" hidden="1"/>
    <cellStyle name="Hyperlink" xfId="13381" builtinId="8" hidden="1"/>
    <cellStyle name="Hyperlink" xfId="13383" builtinId="8" hidden="1"/>
    <cellStyle name="Hyperlink" xfId="13385" builtinId="8" hidden="1"/>
    <cellStyle name="Hyperlink" xfId="13387" builtinId="8" hidden="1"/>
    <cellStyle name="Hyperlink" xfId="13389" builtinId="8" hidden="1"/>
    <cellStyle name="Hyperlink" xfId="13391" builtinId="8" hidden="1"/>
    <cellStyle name="Hyperlink" xfId="13393" builtinId="8" hidden="1"/>
    <cellStyle name="Hyperlink" xfId="13395" builtinId="8" hidden="1"/>
    <cellStyle name="Hyperlink" xfId="13397" builtinId="8" hidden="1"/>
    <cellStyle name="Hyperlink" xfId="13399" builtinId="8" hidden="1"/>
    <cellStyle name="Hyperlink" xfId="13401" builtinId="8" hidden="1"/>
    <cellStyle name="Hyperlink" xfId="13403" builtinId="8" hidden="1"/>
    <cellStyle name="Hyperlink" xfId="13405" builtinId="8" hidden="1"/>
    <cellStyle name="Hyperlink" xfId="13407" builtinId="8" hidden="1"/>
    <cellStyle name="Hyperlink" xfId="13409" builtinId="8" hidden="1"/>
    <cellStyle name="Hyperlink" xfId="13411" builtinId="8" hidden="1"/>
    <cellStyle name="Hyperlink" xfId="13413" builtinId="8" hidden="1"/>
    <cellStyle name="Hyperlink" xfId="13415" builtinId="8" hidden="1"/>
    <cellStyle name="Hyperlink" xfId="13417" builtinId="8" hidden="1"/>
    <cellStyle name="Hyperlink" xfId="13419" builtinId="8" hidden="1"/>
    <cellStyle name="Hyperlink" xfId="13421" builtinId="8" hidden="1"/>
    <cellStyle name="Hyperlink" xfId="13423" builtinId="8" hidden="1"/>
    <cellStyle name="Hyperlink" xfId="13425" builtinId="8" hidden="1"/>
    <cellStyle name="Hyperlink" xfId="13427" builtinId="8" hidden="1"/>
    <cellStyle name="Hyperlink" xfId="13429" builtinId="8" hidden="1"/>
    <cellStyle name="Hyperlink" xfId="13431" builtinId="8" hidden="1"/>
    <cellStyle name="Hyperlink" xfId="13433" builtinId="8" hidden="1"/>
    <cellStyle name="Hyperlink" xfId="13435" builtinId="8" hidden="1"/>
    <cellStyle name="Hyperlink" xfId="13437" builtinId="8" hidden="1"/>
    <cellStyle name="Hyperlink" xfId="13439" builtinId="8" hidden="1"/>
    <cellStyle name="Hyperlink" xfId="13441" builtinId="8" hidden="1"/>
    <cellStyle name="Hyperlink" xfId="13443" builtinId="8" hidden="1"/>
    <cellStyle name="Hyperlink" xfId="13445" builtinId="8" hidden="1"/>
    <cellStyle name="Hyperlink" xfId="13447" builtinId="8" hidden="1"/>
    <cellStyle name="Hyperlink" xfId="13449" builtinId="8" hidden="1"/>
    <cellStyle name="Hyperlink" xfId="13451" builtinId="8" hidden="1"/>
    <cellStyle name="Hyperlink" xfId="13453" builtinId="8" hidden="1"/>
    <cellStyle name="Hyperlink" xfId="13455" builtinId="8" hidden="1"/>
    <cellStyle name="Hyperlink" xfId="13457" builtinId="8" hidden="1"/>
    <cellStyle name="Hyperlink" xfId="13459" builtinId="8" hidden="1"/>
    <cellStyle name="Hyperlink" xfId="13461" builtinId="8" hidden="1"/>
    <cellStyle name="Hyperlink" xfId="13463" builtinId="8" hidden="1"/>
    <cellStyle name="Hyperlink" xfId="13465" builtinId="8" hidden="1"/>
    <cellStyle name="Hyperlink" xfId="13467" builtinId="8" hidden="1"/>
    <cellStyle name="Hyperlink" xfId="13469" builtinId="8" hidden="1"/>
    <cellStyle name="Hyperlink" xfId="13471" builtinId="8" hidden="1"/>
    <cellStyle name="Hyperlink" xfId="13473" builtinId="8" hidden="1"/>
    <cellStyle name="Hyperlink" xfId="13475" builtinId="8" hidden="1"/>
    <cellStyle name="Hyperlink" xfId="13477" builtinId="8" hidden="1"/>
    <cellStyle name="Hyperlink" xfId="13479" builtinId="8" hidden="1"/>
    <cellStyle name="Hyperlink" xfId="13481" builtinId="8" hidden="1"/>
    <cellStyle name="Hyperlink" xfId="13483" builtinId="8" hidden="1"/>
    <cellStyle name="Hyperlink" xfId="13485" builtinId="8" hidden="1"/>
    <cellStyle name="Hyperlink" xfId="13487" builtinId="8" hidden="1"/>
    <cellStyle name="Hyperlink" xfId="13489" builtinId="8" hidden="1"/>
    <cellStyle name="Hyperlink" xfId="13491" builtinId="8" hidden="1"/>
    <cellStyle name="Hyperlink" xfId="13493" builtinId="8" hidden="1"/>
    <cellStyle name="Hyperlink" xfId="13495" builtinId="8" hidden="1"/>
    <cellStyle name="Hyperlink" xfId="13497" builtinId="8" hidden="1"/>
    <cellStyle name="Hyperlink" xfId="13499" builtinId="8" hidden="1"/>
    <cellStyle name="Hyperlink" xfId="13501" builtinId="8" hidden="1"/>
    <cellStyle name="Hyperlink" xfId="13503" builtinId="8" hidden="1"/>
    <cellStyle name="Hyperlink" xfId="13505" builtinId="8" hidden="1"/>
    <cellStyle name="Hyperlink" xfId="13507" builtinId="8" hidden="1"/>
    <cellStyle name="Hyperlink" xfId="13509" builtinId="8" hidden="1"/>
    <cellStyle name="Hyperlink" xfId="13511" builtinId="8" hidden="1"/>
    <cellStyle name="Hyperlink" xfId="13513" builtinId="8" hidden="1"/>
    <cellStyle name="Hyperlink" xfId="13515" builtinId="8" hidden="1"/>
    <cellStyle name="Hyperlink" xfId="13517" builtinId="8" hidden="1"/>
    <cellStyle name="Hyperlink" xfId="13519" builtinId="8" hidden="1"/>
    <cellStyle name="Hyperlink" xfId="13521" builtinId="8" hidden="1"/>
    <cellStyle name="Hyperlink" xfId="13523" builtinId="8" hidden="1"/>
    <cellStyle name="Hyperlink" xfId="13525" builtinId="8" hidden="1"/>
    <cellStyle name="Hyperlink" xfId="13527" builtinId="8" hidden="1"/>
    <cellStyle name="Hyperlink" xfId="13529" builtinId="8" hidden="1"/>
    <cellStyle name="Hyperlink" xfId="13531" builtinId="8" hidden="1"/>
    <cellStyle name="Hyperlink" xfId="13533" builtinId="8" hidden="1"/>
    <cellStyle name="Hyperlink" xfId="13535" builtinId="8" hidden="1"/>
    <cellStyle name="Hyperlink" xfId="13537" builtinId="8" hidden="1"/>
    <cellStyle name="Hyperlink" xfId="13539" builtinId="8" hidden="1"/>
    <cellStyle name="Hyperlink" xfId="13541" builtinId="8" hidden="1"/>
    <cellStyle name="Hyperlink" xfId="13543" builtinId="8" hidden="1"/>
    <cellStyle name="Hyperlink" xfId="13545" builtinId="8" hidden="1"/>
    <cellStyle name="Hyperlink" xfId="13547" builtinId="8" hidden="1"/>
    <cellStyle name="Hyperlink" xfId="13549" builtinId="8" hidden="1"/>
    <cellStyle name="Hyperlink" xfId="13551" builtinId="8" hidden="1"/>
    <cellStyle name="Hyperlink" xfId="13553" builtinId="8" hidden="1"/>
    <cellStyle name="Hyperlink" xfId="13555" builtinId="8" hidden="1"/>
    <cellStyle name="Hyperlink" xfId="13557" builtinId="8" hidden="1"/>
    <cellStyle name="Hyperlink" xfId="13559" builtinId="8" hidden="1"/>
    <cellStyle name="Hyperlink" xfId="13561" builtinId="8" hidden="1"/>
    <cellStyle name="Hyperlink" xfId="13563" builtinId="8" hidden="1"/>
    <cellStyle name="Hyperlink" xfId="13565" builtinId="8" hidden="1"/>
    <cellStyle name="Hyperlink" xfId="13567" builtinId="8" hidden="1"/>
    <cellStyle name="Hyperlink" xfId="13569" builtinId="8" hidden="1"/>
    <cellStyle name="Hyperlink" xfId="13571" builtinId="8" hidden="1"/>
    <cellStyle name="Hyperlink" xfId="13573" builtinId="8" hidden="1"/>
    <cellStyle name="Hyperlink" xfId="13575" builtinId="8" hidden="1"/>
    <cellStyle name="Hyperlink" xfId="13577" builtinId="8" hidden="1"/>
    <cellStyle name="Hyperlink" xfId="13579" builtinId="8" hidden="1"/>
    <cellStyle name="Hyperlink" xfId="13581" builtinId="8" hidden="1"/>
    <cellStyle name="Hyperlink" xfId="13583" builtinId="8" hidden="1"/>
    <cellStyle name="Hyperlink" xfId="13585" builtinId="8" hidden="1"/>
    <cellStyle name="Hyperlink" xfId="13587" builtinId="8" hidden="1"/>
    <cellStyle name="Hyperlink" xfId="13589" builtinId="8" hidden="1"/>
    <cellStyle name="Hyperlink" xfId="13591" builtinId="8" hidden="1"/>
    <cellStyle name="Hyperlink" xfId="13593" builtinId="8" hidden="1"/>
    <cellStyle name="Hyperlink" xfId="13595" builtinId="8" hidden="1"/>
    <cellStyle name="Hyperlink" xfId="13597" builtinId="8" hidden="1"/>
    <cellStyle name="Hyperlink" xfId="13599" builtinId="8" hidden="1"/>
    <cellStyle name="Hyperlink" xfId="13601" builtinId="8" hidden="1"/>
    <cellStyle name="Hyperlink" xfId="13603" builtinId="8" hidden="1"/>
    <cellStyle name="Hyperlink" xfId="13605" builtinId="8" hidden="1"/>
    <cellStyle name="Hyperlink" xfId="13607" builtinId="8" hidden="1"/>
    <cellStyle name="Hyperlink" xfId="13609" builtinId="8" hidden="1"/>
    <cellStyle name="Hyperlink" xfId="13611" builtinId="8" hidden="1"/>
    <cellStyle name="Hyperlink" xfId="13613" builtinId="8" hidden="1"/>
    <cellStyle name="Hyperlink" xfId="13615" builtinId="8" hidden="1"/>
    <cellStyle name="Hyperlink" xfId="13617" builtinId="8" hidden="1"/>
    <cellStyle name="Hyperlink" xfId="13619" builtinId="8" hidden="1"/>
    <cellStyle name="Hyperlink" xfId="13621" builtinId="8" hidden="1"/>
    <cellStyle name="Hyperlink" xfId="13623" builtinId="8" hidden="1"/>
    <cellStyle name="Hyperlink" xfId="13625" builtinId="8" hidden="1"/>
    <cellStyle name="Hyperlink" xfId="13627" builtinId="8" hidden="1"/>
    <cellStyle name="Hyperlink" xfId="13629" builtinId="8" hidden="1"/>
    <cellStyle name="Hyperlink" xfId="13631" builtinId="8" hidden="1"/>
    <cellStyle name="Hyperlink" xfId="13633" builtinId="8" hidden="1"/>
    <cellStyle name="Hyperlink" xfId="13635" builtinId="8" hidden="1"/>
    <cellStyle name="Hyperlink" xfId="13637" builtinId="8" hidden="1"/>
    <cellStyle name="Hyperlink" xfId="13639" builtinId="8" hidden="1"/>
    <cellStyle name="Hyperlink" xfId="13641" builtinId="8" hidden="1"/>
    <cellStyle name="Hyperlink" xfId="13643" builtinId="8" hidden="1"/>
    <cellStyle name="Hyperlink" xfId="13645" builtinId="8" hidden="1"/>
    <cellStyle name="Hyperlink" xfId="13647" builtinId="8" hidden="1"/>
    <cellStyle name="Hyperlink" xfId="13649" builtinId="8" hidden="1"/>
    <cellStyle name="Hyperlink" xfId="13651" builtinId="8" hidden="1"/>
    <cellStyle name="Hyperlink" xfId="13653" builtinId="8" hidden="1"/>
    <cellStyle name="Hyperlink" xfId="13655" builtinId="8" hidden="1"/>
    <cellStyle name="Hyperlink" xfId="13657" builtinId="8" hidden="1"/>
    <cellStyle name="Hyperlink" xfId="13659" builtinId="8" hidden="1"/>
    <cellStyle name="Hyperlink" xfId="13661" builtinId="8" hidden="1"/>
    <cellStyle name="Hyperlink" xfId="13663" builtinId="8" hidden="1"/>
    <cellStyle name="Hyperlink" xfId="13665" builtinId="8" hidden="1"/>
    <cellStyle name="Hyperlink" xfId="13667" builtinId="8" hidden="1"/>
    <cellStyle name="Hyperlink" xfId="13669" builtinId="8" hidden="1"/>
    <cellStyle name="Hyperlink" xfId="13671" builtinId="8" hidden="1"/>
    <cellStyle name="Hyperlink" xfId="13673" builtinId="8" hidden="1"/>
    <cellStyle name="Hyperlink" xfId="13675" builtinId="8" hidden="1"/>
    <cellStyle name="Hyperlink" xfId="13677" builtinId="8" hidden="1"/>
    <cellStyle name="Hyperlink" xfId="13679" builtinId="8" hidden="1"/>
    <cellStyle name="Hyperlink" xfId="13681" builtinId="8" hidden="1"/>
    <cellStyle name="Hyperlink" xfId="13683" builtinId="8" hidden="1"/>
    <cellStyle name="Hyperlink" xfId="13685" builtinId="8" hidden="1"/>
    <cellStyle name="Hyperlink" xfId="13687" builtinId="8" hidden="1"/>
    <cellStyle name="Hyperlink" xfId="13689" builtinId="8" hidden="1"/>
    <cellStyle name="Hyperlink" xfId="13691" builtinId="8" hidden="1"/>
    <cellStyle name="Hyperlink" xfId="13693" builtinId="8" hidden="1"/>
    <cellStyle name="Hyperlink" xfId="13695" builtinId="8" hidden="1"/>
    <cellStyle name="Hyperlink" xfId="13697" builtinId="8" hidden="1"/>
    <cellStyle name="Hyperlink" xfId="13699" builtinId="8" hidden="1"/>
    <cellStyle name="Hyperlink" xfId="13701" builtinId="8" hidden="1"/>
    <cellStyle name="Hyperlink" xfId="13703" builtinId="8" hidden="1"/>
    <cellStyle name="Hyperlink" xfId="13705" builtinId="8" hidden="1"/>
    <cellStyle name="Hyperlink" xfId="13707" builtinId="8" hidden="1"/>
    <cellStyle name="Hyperlink" xfId="13709" builtinId="8" hidden="1"/>
    <cellStyle name="Hyperlink" xfId="13711" builtinId="8" hidden="1"/>
    <cellStyle name="Hyperlink" xfId="13713" builtinId="8" hidden="1"/>
    <cellStyle name="Hyperlink" xfId="13715" builtinId="8" hidden="1"/>
    <cellStyle name="Hyperlink" xfId="13717" builtinId="8" hidden="1"/>
    <cellStyle name="Hyperlink" xfId="13719" builtinId="8" hidden="1"/>
    <cellStyle name="Hyperlink" xfId="13721" builtinId="8" hidden="1"/>
    <cellStyle name="Hyperlink" xfId="13723" builtinId="8" hidden="1"/>
    <cellStyle name="Hyperlink" xfId="13725" builtinId="8" hidden="1"/>
    <cellStyle name="Hyperlink" xfId="13727" builtinId="8" hidden="1"/>
    <cellStyle name="Hyperlink" xfId="13729" builtinId="8" hidden="1"/>
    <cellStyle name="Hyperlink" xfId="13731" builtinId="8" hidden="1"/>
    <cellStyle name="Hyperlink" xfId="13733" builtinId="8" hidden="1"/>
    <cellStyle name="Hyperlink" xfId="13735" builtinId="8" hidden="1"/>
    <cellStyle name="Hyperlink" xfId="13737" builtinId="8" hidden="1"/>
    <cellStyle name="Hyperlink" xfId="13739" builtinId="8" hidden="1"/>
    <cellStyle name="Hyperlink" xfId="13741" builtinId="8" hidden="1"/>
    <cellStyle name="Hyperlink" xfId="13743" builtinId="8" hidden="1"/>
    <cellStyle name="Hyperlink" xfId="13745" builtinId="8" hidden="1"/>
    <cellStyle name="Hyperlink" xfId="13747" builtinId="8" hidden="1"/>
    <cellStyle name="Hyperlink" xfId="13749" builtinId="8" hidden="1"/>
    <cellStyle name="Hyperlink" xfId="13751" builtinId="8" hidden="1"/>
    <cellStyle name="Hyperlink" xfId="13753" builtinId="8" hidden="1"/>
    <cellStyle name="Hyperlink" xfId="13755" builtinId="8" hidden="1"/>
    <cellStyle name="Hyperlink" xfId="13757" builtinId="8" hidden="1"/>
    <cellStyle name="Hyperlink" xfId="13759" builtinId="8" hidden="1"/>
    <cellStyle name="Hyperlink" xfId="13761" builtinId="8" hidden="1"/>
    <cellStyle name="Hyperlink" xfId="13763" builtinId="8" hidden="1"/>
    <cellStyle name="Hyperlink" xfId="13765" builtinId="8" hidden="1"/>
    <cellStyle name="Hyperlink" xfId="13767" builtinId="8" hidden="1"/>
    <cellStyle name="Hyperlink" xfId="13769" builtinId="8" hidden="1"/>
    <cellStyle name="Hyperlink" xfId="13771" builtinId="8" hidden="1"/>
    <cellStyle name="Hyperlink" xfId="13773" builtinId="8" hidden="1"/>
    <cellStyle name="Hyperlink" xfId="13775" builtinId="8" hidden="1"/>
    <cellStyle name="Hyperlink" xfId="13777" builtinId="8" hidden="1"/>
    <cellStyle name="Hyperlink" xfId="13779" builtinId="8" hidden="1"/>
    <cellStyle name="Hyperlink" xfId="13781" builtinId="8" hidden="1"/>
    <cellStyle name="Hyperlink" xfId="13783" builtinId="8" hidden="1"/>
    <cellStyle name="Hyperlink" xfId="13785" builtinId="8" hidden="1"/>
    <cellStyle name="Hyperlink" xfId="13787" builtinId="8" hidden="1"/>
    <cellStyle name="Hyperlink" xfId="13789" builtinId="8" hidden="1"/>
    <cellStyle name="Hyperlink" xfId="13791" builtinId="8" hidden="1"/>
    <cellStyle name="Hyperlink" xfId="13793" builtinId="8" hidden="1"/>
    <cellStyle name="Hyperlink" xfId="13795" builtinId="8" hidden="1"/>
    <cellStyle name="Hyperlink" xfId="13797" builtinId="8" hidden="1"/>
    <cellStyle name="Hyperlink" xfId="13799" builtinId="8" hidden="1"/>
    <cellStyle name="Hyperlink" xfId="13801" builtinId="8" hidden="1"/>
    <cellStyle name="Hyperlink" xfId="13803" builtinId="8" hidden="1"/>
    <cellStyle name="Hyperlink" xfId="13805" builtinId="8" hidden="1"/>
    <cellStyle name="Hyperlink" xfId="13807" builtinId="8" hidden="1"/>
    <cellStyle name="Hyperlink" xfId="13809" builtinId="8" hidden="1"/>
    <cellStyle name="Hyperlink" xfId="13811" builtinId="8" hidden="1"/>
    <cellStyle name="Hyperlink" xfId="13813" builtinId="8" hidden="1"/>
    <cellStyle name="Hyperlink" xfId="13815" builtinId="8" hidden="1"/>
    <cellStyle name="Hyperlink" xfId="13817" builtinId="8" hidden="1"/>
    <cellStyle name="Hyperlink" xfId="13819" builtinId="8" hidden="1"/>
    <cellStyle name="Hyperlink" xfId="13821" builtinId="8" hidden="1"/>
    <cellStyle name="Hyperlink" xfId="13823" builtinId="8" hidden="1"/>
    <cellStyle name="Hyperlink" xfId="13825" builtinId="8" hidden="1"/>
    <cellStyle name="Hyperlink" xfId="13827" builtinId="8" hidden="1"/>
    <cellStyle name="Hyperlink" xfId="13829" builtinId="8" hidden="1"/>
    <cellStyle name="Hyperlink" xfId="13831" builtinId="8" hidden="1"/>
    <cellStyle name="Hyperlink" xfId="13833" builtinId="8" hidden="1"/>
    <cellStyle name="Hyperlink" xfId="13835" builtinId="8" hidden="1"/>
    <cellStyle name="Hyperlink" xfId="13837" builtinId="8" hidden="1"/>
    <cellStyle name="Hyperlink" xfId="13839" builtinId="8" hidden="1"/>
    <cellStyle name="Hyperlink" xfId="13841" builtinId="8" hidden="1"/>
    <cellStyle name="Hyperlink" xfId="13843" builtinId="8" hidden="1"/>
    <cellStyle name="Hyperlink" xfId="13845" builtinId="8" hidden="1"/>
    <cellStyle name="Hyperlink" xfId="13847" builtinId="8" hidden="1"/>
    <cellStyle name="Hyperlink" xfId="13849" builtinId="8" hidden="1"/>
    <cellStyle name="Hyperlink" xfId="13851" builtinId="8" hidden="1"/>
    <cellStyle name="Hyperlink" xfId="13853" builtinId="8" hidden="1"/>
    <cellStyle name="Hyperlink" xfId="13855" builtinId="8" hidden="1"/>
    <cellStyle name="Hyperlink" xfId="13857" builtinId="8" hidden="1"/>
    <cellStyle name="Hyperlink" xfId="13859" builtinId="8" hidden="1"/>
    <cellStyle name="Hyperlink" xfId="13861" builtinId="8" hidden="1"/>
    <cellStyle name="Hyperlink" xfId="13863" builtinId="8" hidden="1"/>
    <cellStyle name="Hyperlink" xfId="13865" builtinId="8" hidden="1"/>
    <cellStyle name="Hyperlink" xfId="13867" builtinId="8" hidden="1"/>
    <cellStyle name="Hyperlink" xfId="13869" builtinId="8" hidden="1"/>
    <cellStyle name="Hyperlink" xfId="13871" builtinId="8" hidden="1"/>
    <cellStyle name="Hyperlink" xfId="13873" builtinId="8" hidden="1"/>
    <cellStyle name="Hyperlink" xfId="13875" builtinId="8" hidden="1"/>
    <cellStyle name="Hyperlink" xfId="13877" builtinId="8" hidden="1"/>
    <cellStyle name="Hyperlink" xfId="13879" builtinId="8" hidden="1"/>
    <cellStyle name="Hyperlink" xfId="13881" builtinId="8" hidden="1"/>
    <cellStyle name="Hyperlink" xfId="13883" builtinId="8" hidden="1"/>
    <cellStyle name="Hyperlink" xfId="13885" builtinId="8" hidden="1"/>
    <cellStyle name="Hyperlink" xfId="13887" builtinId="8" hidden="1"/>
    <cellStyle name="Hyperlink" xfId="13889" builtinId="8" hidden="1"/>
    <cellStyle name="Hyperlink" xfId="13891" builtinId="8" hidden="1"/>
    <cellStyle name="Hyperlink" xfId="13893" builtinId="8" hidden="1"/>
    <cellStyle name="Hyperlink" xfId="13895" builtinId="8" hidden="1"/>
    <cellStyle name="Hyperlink" xfId="13897" builtinId="8" hidden="1"/>
    <cellStyle name="Hyperlink" xfId="13899" builtinId="8" hidden="1"/>
    <cellStyle name="Hyperlink" xfId="13901" builtinId="8" hidden="1"/>
    <cellStyle name="Hyperlink" xfId="13903" builtinId="8" hidden="1"/>
    <cellStyle name="Hyperlink" xfId="13905" builtinId="8" hidden="1"/>
    <cellStyle name="Hyperlink" xfId="13907" builtinId="8" hidden="1"/>
    <cellStyle name="Hyperlink" xfId="13909" builtinId="8" hidden="1"/>
    <cellStyle name="Hyperlink" xfId="13911" builtinId="8" hidden="1"/>
    <cellStyle name="Hyperlink" xfId="13913" builtinId="8" hidden="1"/>
    <cellStyle name="Hyperlink" xfId="13915" builtinId="8" hidden="1"/>
    <cellStyle name="Hyperlink" xfId="13917" builtinId="8" hidden="1"/>
    <cellStyle name="Hyperlink" xfId="13919" builtinId="8" hidden="1"/>
    <cellStyle name="Hyperlink" xfId="13921" builtinId="8" hidden="1"/>
    <cellStyle name="Hyperlink" xfId="13923" builtinId="8" hidden="1"/>
    <cellStyle name="Hyperlink" xfId="13925" builtinId="8" hidden="1"/>
    <cellStyle name="Hyperlink" xfId="13927" builtinId="8" hidden="1"/>
    <cellStyle name="Hyperlink" xfId="13929" builtinId="8" hidden="1"/>
    <cellStyle name="Hyperlink" xfId="13931" builtinId="8" hidden="1"/>
    <cellStyle name="Hyperlink" xfId="13933" builtinId="8" hidden="1"/>
    <cellStyle name="Hyperlink" xfId="13935" builtinId="8" hidden="1"/>
    <cellStyle name="Hyperlink" xfId="13937" builtinId="8" hidden="1"/>
    <cellStyle name="Hyperlink" xfId="13939" builtinId="8" hidden="1"/>
    <cellStyle name="Hyperlink" xfId="13941" builtinId="8" hidden="1"/>
    <cellStyle name="Hyperlink" xfId="13943" builtinId="8" hidden="1"/>
    <cellStyle name="Hyperlink" xfId="13945" builtinId="8" hidden="1"/>
    <cellStyle name="Hyperlink" xfId="13947" builtinId="8" hidden="1"/>
    <cellStyle name="Hyperlink" xfId="13949" builtinId="8" hidden="1"/>
    <cellStyle name="Hyperlink" xfId="13951" builtinId="8" hidden="1"/>
    <cellStyle name="Hyperlink" xfId="13953" builtinId="8" hidden="1"/>
    <cellStyle name="Hyperlink" xfId="13955" builtinId="8" hidden="1"/>
    <cellStyle name="Hyperlink" xfId="13957" builtinId="8" hidden="1"/>
    <cellStyle name="Hyperlink" xfId="13959" builtinId="8" hidden="1"/>
    <cellStyle name="Hyperlink" xfId="13961" builtinId="8" hidden="1"/>
    <cellStyle name="Hyperlink" xfId="13963" builtinId="8" hidden="1"/>
    <cellStyle name="Hyperlink" xfId="13965" builtinId="8" hidden="1"/>
    <cellStyle name="Hyperlink" xfId="13967" builtinId="8" hidden="1"/>
    <cellStyle name="Hyperlink" xfId="13969" builtinId="8" hidden="1"/>
    <cellStyle name="Hyperlink" xfId="13971" builtinId="8" hidden="1"/>
    <cellStyle name="Hyperlink" xfId="13973" builtinId="8" hidden="1"/>
    <cellStyle name="Hyperlink" xfId="13975" builtinId="8" hidden="1"/>
    <cellStyle name="Hyperlink" xfId="13977" builtinId="8" hidden="1"/>
    <cellStyle name="Hyperlink" xfId="13979" builtinId="8" hidden="1"/>
    <cellStyle name="Hyperlink" xfId="13981" builtinId="8" hidden="1"/>
    <cellStyle name="Hyperlink" xfId="13983" builtinId="8" hidden="1"/>
    <cellStyle name="Hyperlink" xfId="13985" builtinId="8" hidden="1"/>
    <cellStyle name="Hyperlink" xfId="13987" builtinId="8" hidden="1"/>
    <cellStyle name="Hyperlink" xfId="13989" builtinId="8" hidden="1"/>
    <cellStyle name="Hyperlink" xfId="13991" builtinId="8" hidden="1"/>
    <cellStyle name="Hyperlink" xfId="13993" builtinId="8" hidden="1"/>
    <cellStyle name="Hyperlink" xfId="13995" builtinId="8" hidden="1"/>
    <cellStyle name="Hyperlink" xfId="13997" builtinId="8" hidden="1"/>
    <cellStyle name="Hyperlink" xfId="13999" builtinId="8" hidden="1"/>
    <cellStyle name="Hyperlink" xfId="14001" builtinId="8" hidden="1"/>
    <cellStyle name="Hyperlink" xfId="14003" builtinId="8" hidden="1"/>
    <cellStyle name="Hyperlink" xfId="14005" builtinId="8" hidden="1"/>
    <cellStyle name="Hyperlink" xfId="14007" builtinId="8" hidden="1"/>
    <cellStyle name="Hyperlink" xfId="14009" builtinId="8" hidden="1"/>
    <cellStyle name="Hyperlink" xfId="14011" builtinId="8" hidden="1"/>
    <cellStyle name="Hyperlink" xfId="14013" builtinId="8" hidden="1"/>
    <cellStyle name="Hyperlink" xfId="14015" builtinId="8" hidden="1"/>
    <cellStyle name="Hyperlink" xfId="14017" builtinId="8" hidden="1"/>
    <cellStyle name="Hyperlink" xfId="14019" builtinId="8" hidden="1"/>
    <cellStyle name="Hyperlink" xfId="14021" builtinId="8" hidden="1"/>
    <cellStyle name="Hyperlink" xfId="14023" builtinId="8" hidden="1"/>
    <cellStyle name="Hyperlink" xfId="14025" builtinId="8" hidden="1"/>
    <cellStyle name="Hyperlink" xfId="14027" builtinId="8" hidden="1"/>
    <cellStyle name="Hyperlink" xfId="14029" builtinId="8" hidden="1"/>
    <cellStyle name="Hyperlink" xfId="14031" builtinId="8" hidden="1"/>
    <cellStyle name="Hyperlink" xfId="14033" builtinId="8" hidden="1"/>
    <cellStyle name="Hyperlink" xfId="14035" builtinId="8" hidden="1"/>
    <cellStyle name="Hyperlink" xfId="14037" builtinId="8" hidden="1"/>
    <cellStyle name="Hyperlink" xfId="14039" builtinId="8" hidden="1"/>
    <cellStyle name="Hyperlink" xfId="14041" builtinId="8" hidden="1"/>
    <cellStyle name="Hyperlink" xfId="14043" builtinId="8" hidden="1"/>
    <cellStyle name="Hyperlink" xfId="14045" builtinId="8" hidden="1"/>
    <cellStyle name="Hyperlink" xfId="14047" builtinId="8" hidden="1"/>
    <cellStyle name="Hyperlink" xfId="14049" builtinId="8" hidden="1"/>
    <cellStyle name="Hyperlink" xfId="14051" builtinId="8" hidden="1"/>
    <cellStyle name="Hyperlink" xfId="14053" builtinId="8" hidden="1"/>
    <cellStyle name="Hyperlink" xfId="14055" builtinId="8" hidden="1"/>
    <cellStyle name="Hyperlink" xfId="14057" builtinId="8" hidden="1"/>
    <cellStyle name="Hyperlink" xfId="14059" builtinId="8" hidden="1"/>
    <cellStyle name="Hyperlink" xfId="14061" builtinId="8" hidden="1"/>
    <cellStyle name="Hyperlink" xfId="14063" builtinId="8" hidden="1"/>
    <cellStyle name="Hyperlink" xfId="14065" builtinId="8" hidden="1"/>
    <cellStyle name="Hyperlink" xfId="14067" builtinId="8" hidden="1"/>
    <cellStyle name="Hyperlink" xfId="14069" builtinId="8" hidden="1"/>
    <cellStyle name="Hyperlink" xfId="14071" builtinId="8" hidden="1"/>
    <cellStyle name="Hyperlink" xfId="14073" builtinId="8" hidden="1"/>
    <cellStyle name="Hyperlink" xfId="14075" builtinId="8" hidden="1"/>
    <cellStyle name="Hyperlink" xfId="14077" builtinId="8" hidden="1"/>
    <cellStyle name="Hyperlink" xfId="14079" builtinId="8" hidden="1"/>
    <cellStyle name="Hyperlink" xfId="14081" builtinId="8" hidden="1"/>
    <cellStyle name="Hyperlink" xfId="14083" builtinId="8" hidden="1"/>
    <cellStyle name="Hyperlink" xfId="14085" builtinId="8" hidden="1"/>
    <cellStyle name="Hyperlink" xfId="14087" builtinId="8" hidden="1"/>
    <cellStyle name="Hyperlink" xfId="14089" builtinId="8" hidden="1"/>
    <cellStyle name="Hyperlink" xfId="14091" builtinId="8" hidden="1"/>
    <cellStyle name="Hyperlink" xfId="14093" builtinId="8" hidden="1"/>
    <cellStyle name="Hyperlink" xfId="14095" builtinId="8" hidden="1"/>
    <cellStyle name="Hyperlink" xfId="14097" builtinId="8" hidden="1"/>
    <cellStyle name="Hyperlink" xfId="14099" builtinId="8" hidden="1"/>
    <cellStyle name="Hyperlink" xfId="14101" builtinId="8" hidden="1"/>
    <cellStyle name="Hyperlink" xfId="14103" builtinId="8" hidden="1"/>
    <cellStyle name="Hyperlink" xfId="14105" builtinId="8" hidden="1"/>
    <cellStyle name="Hyperlink" xfId="14107" builtinId="8" hidden="1"/>
    <cellStyle name="Hyperlink" xfId="14109" builtinId="8" hidden="1"/>
    <cellStyle name="Hyperlink" xfId="14111" builtinId="8" hidden="1"/>
    <cellStyle name="Hyperlink" xfId="14113" builtinId="8" hidden="1"/>
    <cellStyle name="Hyperlink" xfId="14115" builtinId="8" hidden="1"/>
    <cellStyle name="Hyperlink" xfId="14117" builtinId="8" hidden="1"/>
    <cellStyle name="Hyperlink" xfId="14119" builtinId="8" hidden="1"/>
    <cellStyle name="Hyperlink" xfId="14121" builtinId="8" hidden="1"/>
    <cellStyle name="Hyperlink" xfId="14123" builtinId="8" hidden="1"/>
    <cellStyle name="Hyperlink" xfId="14125" builtinId="8" hidden="1"/>
    <cellStyle name="Hyperlink" xfId="14127" builtinId="8" hidden="1"/>
    <cellStyle name="Hyperlink" xfId="14129" builtinId="8" hidden="1"/>
    <cellStyle name="Hyperlink" xfId="14131" builtinId="8" hidden="1"/>
    <cellStyle name="Hyperlink" xfId="14133" builtinId="8" hidden="1"/>
    <cellStyle name="Hyperlink" xfId="14135" builtinId="8" hidden="1"/>
    <cellStyle name="Hyperlink" xfId="14137" builtinId="8" hidden="1"/>
    <cellStyle name="Hyperlink" xfId="14139" builtinId="8" hidden="1"/>
    <cellStyle name="Hyperlink" xfId="14141" builtinId="8" hidden="1"/>
    <cellStyle name="Hyperlink" xfId="14143" builtinId="8" hidden="1"/>
    <cellStyle name="Hyperlink" xfId="14145" builtinId="8" hidden="1"/>
    <cellStyle name="Hyperlink" xfId="14147" builtinId="8" hidden="1"/>
    <cellStyle name="Hyperlink" xfId="14149" builtinId="8" hidden="1"/>
    <cellStyle name="Hyperlink" xfId="14151" builtinId="8" hidden="1"/>
    <cellStyle name="Hyperlink" xfId="14153" builtinId="8" hidden="1"/>
    <cellStyle name="Hyperlink" xfId="14155" builtinId="8" hidden="1"/>
    <cellStyle name="Hyperlink" xfId="14157" builtinId="8" hidden="1"/>
    <cellStyle name="Hyperlink" xfId="14159" builtinId="8" hidden="1"/>
    <cellStyle name="Hyperlink" xfId="14161" builtinId="8" hidden="1"/>
    <cellStyle name="Hyperlink" xfId="14163" builtinId="8" hidden="1"/>
    <cellStyle name="Hyperlink" xfId="14165" builtinId="8" hidden="1"/>
    <cellStyle name="Hyperlink" xfId="14167" builtinId="8" hidden="1"/>
    <cellStyle name="Hyperlink" xfId="14169" builtinId="8" hidden="1"/>
    <cellStyle name="Hyperlink" xfId="14171" builtinId="8" hidden="1"/>
    <cellStyle name="Hyperlink" xfId="14173" builtinId="8" hidden="1"/>
    <cellStyle name="Hyperlink" xfId="14175" builtinId="8" hidden="1"/>
    <cellStyle name="Hyperlink" xfId="14177" builtinId="8" hidden="1"/>
    <cellStyle name="Hyperlink" xfId="14179" builtinId="8" hidden="1"/>
    <cellStyle name="Hyperlink" xfId="14181" builtinId="8" hidden="1"/>
    <cellStyle name="Hyperlink" xfId="14183" builtinId="8" hidden="1"/>
    <cellStyle name="Hyperlink" xfId="14185" builtinId="8" hidden="1"/>
    <cellStyle name="Hyperlink" xfId="14187" builtinId="8" hidden="1"/>
    <cellStyle name="Hyperlink" xfId="14189" builtinId="8" hidden="1"/>
    <cellStyle name="Hyperlink" xfId="14191" builtinId="8" hidden="1"/>
    <cellStyle name="Hyperlink" xfId="14193" builtinId="8" hidden="1"/>
    <cellStyle name="Hyperlink" xfId="14195" builtinId="8" hidden="1"/>
    <cellStyle name="Hyperlink" xfId="14197" builtinId="8" hidden="1"/>
    <cellStyle name="Hyperlink" xfId="14199" builtinId="8" hidden="1"/>
    <cellStyle name="Hyperlink" xfId="14201" builtinId="8" hidden="1"/>
    <cellStyle name="Hyperlink" xfId="14203" builtinId="8" hidden="1"/>
    <cellStyle name="Hyperlink" xfId="14205" builtinId="8" hidden="1"/>
    <cellStyle name="Hyperlink" xfId="14207" builtinId="8" hidden="1"/>
    <cellStyle name="Hyperlink" xfId="14209" builtinId="8" hidden="1"/>
    <cellStyle name="Hyperlink" xfId="14211" builtinId="8" hidden="1"/>
    <cellStyle name="Hyperlink" xfId="14213" builtinId="8" hidden="1"/>
    <cellStyle name="Hyperlink" xfId="14215" builtinId="8" hidden="1"/>
    <cellStyle name="Hyperlink" xfId="14217" builtinId="8" hidden="1"/>
    <cellStyle name="Hyperlink" xfId="14219" builtinId="8" hidden="1"/>
    <cellStyle name="Hyperlink" xfId="14221" builtinId="8" hidden="1"/>
    <cellStyle name="Hyperlink" xfId="14223" builtinId="8" hidden="1"/>
    <cellStyle name="Hyperlink" xfId="14225" builtinId="8" hidden="1"/>
    <cellStyle name="Hyperlink" xfId="14227" builtinId="8" hidden="1"/>
    <cellStyle name="Hyperlink" xfId="14229" builtinId="8" hidden="1"/>
    <cellStyle name="Hyperlink" xfId="14231" builtinId="8" hidden="1"/>
    <cellStyle name="Hyperlink" xfId="14233" builtinId="8" hidden="1"/>
    <cellStyle name="Hyperlink" xfId="14235" builtinId="8" hidden="1"/>
    <cellStyle name="Hyperlink" xfId="14237" builtinId="8" hidden="1"/>
    <cellStyle name="Hyperlink" xfId="14239" builtinId="8" hidden="1"/>
    <cellStyle name="Hyperlink" xfId="14241" builtinId="8" hidden="1"/>
    <cellStyle name="Hyperlink" xfId="14243" builtinId="8" hidden="1"/>
    <cellStyle name="Hyperlink" xfId="14245" builtinId="8" hidden="1"/>
    <cellStyle name="Hyperlink" xfId="14247" builtinId="8" hidden="1"/>
    <cellStyle name="Hyperlink" xfId="14249" builtinId="8" hidden="1"/>
    <cellStyle name="Hyperlink" xfId="14251" builtinId="8" hidden="1"/>
    <cellStyle name="Hyperlink" xfId="14253" builtinId="8" hidden="1"/>
    <cellStyle name="Hyperlink" xfId="14255" builtinId="8" hidden="1"/>
    <cellStyle name="Hyperlink" xfId="14257" builtinId="8" hidden="1"/>
    <cellStyle name="Hyperlink" xfId="14259" builtinId="8" hidden="1"/>
    <cellStyle name="Hyperlink" xfId="14261" builtinId="8" hidden="1"/>
    <cellStyle name="Hyperlink" xfId="14263" builtinId="8" hidden="1"/>
    <cellStyle name="Hyperlink" xfId="14265" builtinId="8" hidden="1"/>
    <cellStyle name="Hyperlink" xfId="14267" builtinId="8" hidden="1"/>
    <cellStyle name="Hyperlink" xfId="14269" builtinId="8" hidden="1"/>
    <cellStyle name="Hyperlink" xfId="14271" builtinId="8" hidden="1"/>
    <cellStyle name="Hyperlink" xfId="14273" builtinId="8" hidden="1"/>
    <cellStyle name="Hyperlink" xfId="14275" builtinId="8" hidden="1"/>
    <cellStyle name="Hyperlink" xfId="14277" builtinId="8" hidden="1"/>
    <cellStyle name="Hyperlink" xfId="14279" builtinId="8" hidden="1"/>
    <cellStyle name="Hyperlink" xfId="14281" builtinId="8" hidden="1"/>
    <cellStyle name="Hyperlink" xfId="14283" builtinId="8" hidden="1"/>
    <cellStyle name="Hyperlink" xfId="14285" builtinId="8" hidden="1"/>
    <cellStyle name="Hyperlink" xfId="14287" builtinId="8" hidden="1"/>
    <cellStyle name="Hyperlink" xfId="14289" builtinId="8" hidden="1"/>
    <cellStyle name="Hyperlink" xfId="14291" builtinId="8" hidden="1"/>
    <cellStyle name="Hyperlink" xfId="14293" builtinId="8" hidden="1"/>
    <cellStyle name="Hyperlink" xfId="14295" builtinId="8" hidden="1"/>
    <cellStyle name="Hyperlink" xfId="14297" builtinId="8" hidden="1"/>
    <cellStyle name="Hyperlink" xfId="14299" builtinId="8" hidden="1"/>
    <cellStyle name="Hyperlink" xfId="14301" builtinId="8" hidden="1"/>
    <cellStyle name="Hyperlink" xfId="14303" builtinId="8" hidden="1"/>
    <cellStyle name="Hyperlink" xfId="14305" builtinId="8" hidden="1"/>
    <cellStyle name="Hyperlink" xfId="14307" builtinId="8" hidden="1"/>
    <cellStyle name="Hyperlink" xfId="14309" builtinId="8" hidden="1"/>
    <cellStyle name="Hyperlink" xfId="14311" builtinId="8" hidden="1"/>
    <cellStyle name="Hyperlink" xfId="14313" builtinId="8" hidden="1"/>
    <cellStyle name="Hyperlink" xfId="14315" builtinId="8" hidden="1"/>
    <cellStyle name="Hyperlink" xfId="14317" builtinId="8" hidden="1"/>
    <cellStyle name="Hyperlink" xfId="14319" builtinId="8" hidden="1"/>
    <cellStyle name="Hyperlink" xfId="14321" builtinId="8" hidden="1"/>
    <cellStyle name="Hyperlink" xfId="14323" builtinId="8" hidden="1"/>
    <cellStyle name="Hyperlink" xfId="14325" builtinId="8" hidden="1"/>
    <cellStyle name="Hyperlink" xfId="14327" builtinId="8" hidden="1"/>
    <cellStyle name="Hyperlink" xfId="14329" builtinId="8" hidden="1"/>
    <cellStyle name="Hyperlink" xfId="14331" builtinId="8" hidden="1"/>
    <cellStyle name="Hyperlink" xfId="14333" builtinId="8" hidden="1"/>
    <cellStyle name="Hyperlink" xfId="14335" builtinId="8" hidden="1"/>
    <cellStyle name="Hyperlink" xfId="14337" builtinId="8" hidden="1"/>
    <cellStyle name="Hyperlink" xfId="14339" builtinId="8" hidden="1"/>
    <cellStyle name="Hyperlink" xfId="14341" builtinId="8" hidden="1"/>
    <cellStyle name="Hyperlink" xfId="14343" builtinId="8" hidden="1"/>
    <cellStyle name="Hyperlink" xfId="14345" builtinId="8" hidden="1"/>
    <cellStyle name="Hyperlink" xfId="14347" builtinId="8" hidden="1"/>
    <cellStyle name="Hyperlink" xfId="14349" builtinId="8" hidden="1"/>
    <cellStyle name="Hyperlink" xfId="14351" builtinId="8" hidden="1"/>
    <cellStyle name="Hyperlink" xfId="14353" builtinId="8" hidden="1"/>
    <cellStyle name="Hyperlink" xfId="14355" builtinId="8" hidden="1"/>
    <cellStyle name="Hyperlink" xfId="14357" builtinId="8" hidden="1"/>
    <cellStyle name="Hyperlink" xfId="14359" builtinId="8" hidden="1"/>
    <cellStyle name="Hyperlink" xfId="14361" builtinId="8" hidden="1"/>
    <cellStyle name="Hyperlink" xfId="14363" builtinId="8" hidden="1"/>
    <cellStyle name="Hyperlink" xfId="14365" builtinId="8" hidden="1"/>
    <cellStyle name="Hyperlink" xfId="14367" builtinId="8" hidden="1"/>
    <cellStyle name="Hyperlink" xfId="14369" builtinId="8" hidden="1"/>
    <cellStyle name="Hyperlink" xfId="14371" builtinId="8" hidden="1"/>
    <cellStyle name="Hyperlink" xfId="14373" builtinId="8" hidden="1"/>
    <cellStyle name="Hyperlink" xfId="14375" builtinId="8" hidden="1"/>
    <cellStyle name="Hyperlink" xfId="14377" builtinId="8" hidden="1"/>
    <cellStyle name="Hyperlink" xfId="14379" builtinId="8" hidden="1"/>
    <cellStyle name="Hyperlink" xfId="14381" builtinId="8" hidden="1"/>
    <cellStyle name="Hyperlink" xfId="14383" builtinId="8" hidden="1"/>
    <cellStyle name="Hyperlink" xfId="14385" builtinId="8" hidden="1"/>
    <cellStyle name="Hyperlink" xfId="14387" builtinId="8" hidden="1"/>
    <cellStyle name="Hyperlink" xfId="14389" builtinId="8" hidden="1"/>
    <cellStyle name="Hyperlink" xfId="14391" builtinId="8" hidden="1"/>
    <cellStyle name="Hyperlink" xfId="14393" builtinId="8" hidden="1"/>
    <cellStyle name="Hyperlink" xfId="14395" builtinId="8" hidden="1"/>
    <cellStyle name="Hyperlink" xfId="14397" builtinId="8" hidden="1"/>
    <cellStyle name="Hyperlink" xfId="14399" builtinId="8" hidden="1"/>
    <cellStyle name="Hyperlink" xfId="14401" builtinId="8" hidden="1"/>
    <cellStyle name="Hyperlink" xfId="14403" builtinId="8" hidden="1"/>
    <cellStyle name="Hyperlink" xfId="14405" builtinId="8" hidden="1"/>
    <cellStyle name="Hyperlink" xfId="14407" builtinId="8" hidden="1"/>
    <cellStyle name="Hyperlink" xfId="14409" builtinId="8" hidden="1"/>
    <cellStyle name="Hyperlink" xfId="14411" builtinId="8" hidden="1"/>
    <cellStyle name="Hyperlink" xfId="14413" builtinId="8" hidden="1"/>
    <cellStyle name="Hyperlink" xfId="14415" builtinId="8" hidden="1"/>
    <cellStyle name="Hyperlink" xfId="14417" builtinId="8" hidden="1"/>
    <cellStyle name="Hyperlink" xfId="14419" builtinId="8" hidden="1"/>
    <cellStyle name="Hyperlink" xfId="14421" builtinId="8" hidden="1"/>
    <cellStyle name="Hyperlink" xfId="14423" builtinId="8" hidden="1"/>
    <cellStyle name="Hyperlink" xfId="14425" builtinId="8" hidden="1"/>
    <cellStyle name="Hyperlink" xfId="14427" builtinId="8" hidden="1"/>
    <cellStyle name="Hyperlink" xfId="14429" builtinId="8" hidden="1"/>
    <cellStyle name="Hyperlink" xfId="14431" builtinId="8" hidden="1"/>
    <cellStyle name="Hyperlink" xfId="14433" builtinId="8" hidden="1"/>
    <cellStyle name="Hyperlink" xfId="14435" builtinId="8" hidden="1"/>
    <cellStyle name="Hyperlink" xfId="14437" builtinId="8" hidden="1"/>
    <cellStyle name="Hyperlink" xfId="14439" builtinId="8" hidden="1"/>
    <cellStyle name="Hyperlink" xfId="14441" builtinId="8" hidden="1"/>
    <cellStyle name="Hyperlink" xfId="14443" builtinId="8" hidden="1"/>
    <cellStyle name="Hyperlink" xfId="14445" builtinId="8" hidden="1"/>
    <cellStyle name="Hyperlink" xfId="14447" builtinId="8" hidden="1"/>
    <cellStyle name="Hyperlink" xfId="14449" builtinId="8" hidden="1"/>
    <cellStyle name="Hyperlink" xfId="14451" builtinId="8" hidden="1"/>
    <cellStyle name="Hyperlink" xfId="14453" builtinId="8" hidden="1"/>
    <cellStyle name="Hyperlink" xfId="14455" builtinId="8" hidden="1"/>
    <cellStyle name="Hyperlink" xfId="14457" builtinId="8" hidden="1"/>
    <cellStyle name="Hyperlink" xfId="14459" builtinId="8" hidden="1"/>
    <cellStyle name="Hyperlink" xfId="14461" builtinId="8" hidden="1"/>
    <cellStyle name="Hyperlink" xfId="14463" builtinId="8" hidden="1"/>
    <cellStyle name="Hyperlink" xfId="14465" builtinId="8" hidden="1"/>
    <cellStyle name="Hyperlink" xfId="14467" builtinId="8" hidden="1"/>
    <cellStyle name="Hyperlink" xfId="14469" builtinId="8" hidden="1"/>
    <cellStyle name="Hyperlink" xfId="14471" builtinId="8" hidden="1"/>
    <cellStyle name="Hyperlink" xfId="14473" builtinId="8" hidden="1"/>
    <cellStyle name="Hyperlink" xfId="14475" builtinId="8" hidden="1"/>
    <cellStyle name="Hyperlink" xfId="14477" builtinId="8" hidden="1"/>
    <cellStyle name="Hyperlink" xfId="14479" builtinId="8" hidden="1"/>
    <cellStyle name="Hyperlink" xfId="14481" builtinId="8" hidden="1"/>
    <cellStyle name="Hyperlink" xfId="14483" builtinId="8" hidden="1"/>
    <cellStyle name="Hyperlink" xfId="14485" builtinId="8" hidden="1"/>
    <cellStyle name="Hyperlink" xfId="14487" builtinId="8" hidden="1"/>
    <cellStyle name="Hyperlink" xfId="14489" builtinId="8" hidden="1"/>
    <cellStyle name="Hyperlink" xfId="14491" builtinId="8" hidden="1"/>
    <cellStyle name="Hyperlink" xfId="14493" builtinId="8" hidden="1"/>
    <cellStyle name="Hyperlink" xfId="14495" builtinId="8" hidden="1"/>
    <cellStyle name="Hyperlink" xfId="14497" builtinId="8" hidden="1"/>
    <cellStyle name="Hyperlink" xfId="14499" builtinId="8" hidden="1"/>
    <cellStyle name="Hyperlink" xfId="14501" builtinId="8" hidden="1"/>
    <cellStyle name="Hyperlink" xfId="14503" builtinId="8" hidden="1"/>
    <cellStyle name="Hyperlink" xfId="14505" builtinId="8" hidden="1"/>
    <cellStyle name="Hyperlink" xfId="14507" builtinId="8" hidden="1"/>
    <cellStyle name="Hyperlink" xfId="14509" builtinId="8" hidden="1"/>
    <cellStyle name="Hyperlink" xfId="14511" builtinId="8" hidden="1"/>
    <cellStyle name="Hyperlink" xfId="14513" builtinId="8" hidden="1"/>
    <cellStyle name="Hyperlink" xfId="14515" builtinId="8" hidden="1"/>
    <cellStyle name="Hyperlink" xfId="14517" builtinId="8" hidden="1"/>
    <cellStyle name="Hyperlink" xfId="14519" builtinId="8" hidden="1"/>
    <cellStyle name="Hyperlink" xfId="14521" builtinId="8" hidden="1"/>
    <cellStyle name="Hyperlink" xfId="14523" builtinId="8" hidden="1"/>
    <cellStyle name="Hyperlink" xfId="14525" builtinId="8" hidden="1"/>
    <cellStyle name="Hyperlink" xfId="14527" builtinId="8" hidden="1"/>
    <cellStyle name="Hyperlink" xfId="14529" builtinId="8" hidden="1"/>
    <cellStyle name="Hyperlink" xfId="14531" builtinId="8" hidden="1"/>
    <cellStyle name="Hyperlink" xfId="14533" builtinId="8" hidden="1"/>
    <cellStyle name="Hyperlink" xfId="14535" builtinId="8" hidden="1"/>
    <cellStyle name="Hyperlink" xfId="14537" builtinId="8" hidden="1"/>
    <cellStyle name="Hyperlink" xfId="14539" builtinId="8" hidden="1"/>
    <cellStyle name="Hyperlink" xfId="14541" builtinId="8" hidden="1"/>
    <cellStyle name="Hyperlink" xfId="14543" builtinId="8" hidden="1"/>
    <cellStyle name="Hyperlink" xfId="14545" builtinId="8" hidden="1"/>
    <cellStyle name="Hyperlink" xfId="14547" builtinId="8" hidden="1"/>
    <cellStyle name="Hyperlink" xfId="14549" builtinId="8" hidden="1"/>
    <cellStyle name="Hyperlink" xfId="14551" builtinId="8" hidden="1"/>
    <cellStyle name="Hyperlink" xfId="14553" builtinId="8" hidden="1"/>
    <cellStyle name="Hyperlink" xfId="14555" builtinId="8" hidden="1"/>
    <cellStyle name="Hyperlink" xfId="14557" builtinId="8" hidden="1"/>
    <cellStyle name="Hyperlink" xfId="14559" builtinId="8" hidden="1"/>
    <cellStyle name="Hyperlink" xfId="14561" builtinId="8" hidden="1"/>
    <cellStyle name="Hyperlink" xfId="14563" builtinId="8" hidden="1"/>
    <cellStyle name="Hyperlink" xfId="14565" builtinId="8" hidden="1"/>
    <cellStyle name="Hyperlink" xfId="14567" builtinId="8" hidden="1"/>
    <cellStyle name="Hyperlink" xfId="14569" builtinId="8" hidden="1"/>
    <cellStyle name="Hyperlink" xfId="14571" builtinId="8" hidden="1"/>
    <cellStyle name="Hyperlink" xfId="14573" builtinId="8" hidden="1"/>
    <cellStyle name="Hyperlink" xfId="14575" builtinId="8" hidden="1"/>
    <cellStyle name="Hyperlink" xfId="14577" builtinId="8" hidden="1"/>
    <cellStyle name="Hyperlink" xfId="14579" builtinId="8" hidden="1"/>
    <cellStyle name="Hyperlink" xfId="14581" builtinId="8" hidden="1"/>
    <cellStyle name="Hyperlink" xfId="14583" builtinId="8" hidden="1"/>
    <cellStyle name="Hyperlink" xfId="14585" builtinId="8" hidden="1"/>
    <cellStyle name="Hyperlink" xfId="14587" builtinId="8" hidden="1"/>
    <cellStyle name="Hyperlink" xfId="14589" builtinId="8" hidden="1"/>
    <cellStyle name="Hyperlink" xfId="14591" builtinId="8" hidden="1"/>
    <cellStyle name="Hyperlink" xfId="14593" builtinId="8" hidden="1"/>
    <cellStyle name="Hyperlink" xfId="14595" builtinId="8" hidden="1"/>
    <cellStyle name="Hyperlink" xfId="14597" builtinId="8" hidden="1"/>
    <cellStyle name="Hyperlink" xfId="14599" builtinId="8" hidden="1"/>
    <cellStyle name="Hyperlink" xfId="14601" builtinId="8" hidden="1"/>
    <cellStyle name="Hyperlink" xfId="14603" builtinId="8" hidden="1"/>
    <cellStyle name="Hyperlink" xfId="14605" builtinId="8" hidden="1"/>
    <cellStyle name="Hyperlink" xfId="14607" builtinId="8" hidden="1"/>
    <cellStyle name="Hyperlink" xfId="14609" builtinId="8" hidden="1"/>
    <cellStyle name="Hyperlink" xfId="14611" builtinId="8" hidden="1"/>
    <cellStyle name="Hyperlink" xfId="14613" builtinId="8" hidden="1"/>
    <cellStyle name="Hyperlink" xfId="14615" builtinId="8" hidden="1"/>
    <cellStyle name="Hyperlink" xfId="14617" builtinId="8" hidden="1"/>
    <cellStyle name="Hyperlink" xfId="14619" builtinId="8" hidden="1"/>
    <cellStyle name="Hyperlink" xfId="14621" builtinId="8" hidden="1"/>
    <cellStyle name="Hyperlink" xfId="14623" builtinId="8" hidden="1"/>
    <cellStyle name="Hyperlink" xfId="14625" builtinId="8" hidden="1"/>
    <cellStyle name="Hyperlink" xfId="14627" builtinId="8" hidden="1"/>
    <cellStyle name="Hyperlink" xfId="14629" builtinId="8" hidden="1"/>
    <cellStyle name="Hyperlink" xfId="14631" builtinId="8" hidden="1"/>
    <cellStyle name="Hyperlink" xfId="14633" builtinId="8" hidden="1"/>
    <cellStyle name="Hyperlink" xfId="14635" builtinId="8" hidden="1"/>
    <cellStyle name="Hyperlink" xfId="14637" builtinId="8" hidden="1"/>
    <cellStyle name="Hyperlink" xfId="14639" builtinId="8" hidden="1"/>
    <cellStyle name="Hyperlink" xfId="14641" builtinId="8" hidden="1"/>
    <cellStyle name="Hyperlink" xfId="14643" builtinId="8" hidden="1"/>
    <cellStyle name="Hyperlink" xfId="14645" builtinId="8" hidden="1"/>
    <cellStyle name="Hyperlink" xfId="14647" builtinId="8" hidden="1"/>
    <cellStyle name="Hyperlink" xfId="14649" builtinId="8" hidden="1"/>
    <cellStyle name="Hyperlink" xfId="14651" builtinId="8" hidden="1"/>
    <cellStyle name="Hyperlink" xfId="14653" builtinId="8" hidden="1"/>
    <cellStyle name="Hyperlink" xfId="14655" builtinId="8" hidden="1"/>
    <cellStyle name="Hyperlink" xfId="14657" builtinId="8" hidden="1"/>
    <cellStyle name="Hyperlink" xfId="14659" builtinId="8" hidden="1"/>
    <cellStyle name="Hyperlink" xfId="14661" builtinId="8" hidden="1"/>
    <cellStyle name="Hyperlink" xfId="14663" builtinId="8" hidden="1"/>
    <cellStyle name="Hyperlink" xfId="14665" builtinId="8" hidden="1"/>
    <cellStyle name="Hyperlink" xfId="14667" builtinId="8" hidden="1"/>
    <cellStyle name="Hyperlink" xfId="14669" builtinId="8" hidden="1"/>
    <cellStyle name="Hyperlink" xfId="14671" builtinId="8" hidden="1"/>
    <cellStyle name="Hyperlink" xfId="14673" builtinId="8" hidden="1"/>
    <cellStyle name="Hyperlink" xfId="14675" builtinId="8" hidden="1"/>
    <cellStyle name="Hyperlink" xfId="14677" builtinId="8" hidden="1"/>
    <cellStyle name="Hyperlink" xfId="14679" builtinId="8" hidden="1"/>
    <cellStyle name="Hyperlink" xfId="14681" builtinId="8" hidden="1"/>
    <cellStyle name="Hyperlink" xfId="14683" builtinId="8" hidden="1"/>
    <cellStyle name="Hyperlink" xfId="14685" builtinId="8" hidden="1"/>
    <cellStyle name="Hyperlink" xfId="14687" builtinId="8" hidden="1"/>
    <cellStyle name="Hyperlink" xfId="14689" builtinId="8" hidden="1"/>
    <cellStyle name="Hyperlink" xfId="14691" builtinId="8" hidden="1"/>
    <cellStyle name="Hyperlink" xfId="14693" builtinId="8" hidden="1"/>
    <cellStyle name="Hyperlink" xfId="14695" builtinId="8" hidden="1"/>
    <cellStyle name="Hyperlink" xfId="14697" builtinId="8" hidden="1"/>
    <cellStyle name="Hyperlink" xfId="14699" builtinId="8" hidden="1"/>
    <cellStyle name="Hyperlink" xfId="14701" builtinId="8" hidden="1"/>
    <cellStyle name="Hyperlink" xfId="14703" builtinId="8" hidden="1"/>
    <cellStyle name="Hyperlink" xfId="14705" builtinId="8" hidden="1"/>
    <cellStyle name="Hyperlink" xfId="14707" builtinId="8" hidden="1"/>
    <cellStyle name="Hyperlink" xfId="14709" builtinId="8" hidden="1"/>
    <cellStyle name="Hyperlink" xfId="14711" builtinId="8" hidden="1"/>
    <cellStyle name="Hyperlink" xfId="14713" builtinId="8" hidden="1"/>
    <cellStyle name="Hyperlink" xfId="14715" builtinId="8" hidden="1"/>
    <cellStyle name="Hyperlink" xfId="14717" builtinId="8" hidden="1"/>
    <cellStyle name="Hyperlink" xfId="14719" builtinId="8" hidden="1"/>
    <cellStyle name="Hyperlink" xfId="14721" builtinId="8" hidden="1"/>
    <cellStyle name="Hyperlink" xfId="14723" builtinId="8" hidden="1"/>
    <cellStyle name="Hyperlink" xfId="14725" builtinId="8" hidden="1"/>
    <cellStyle name="Hyperlink" xfId="14727" builtinId="8" hidden="1"/>
    <cellStyle name="Hyperlink" xfId="14729" builtinId="8" hidden="1"/>
    <cellStyle name="Hyperlink" xfId="14731" builtinId="8" hidden="1"/>
    <cellStyle name="Hyperlink" xfId="14733" builtinId="8" hidden="1"/>
    <cellStyle name="Hyperlink" xfId="14735" builtinId="8" hidden="1"/>
    <cellStyle name="Hyperlink" xfId="14737" builtinId="8" hidden="1"/>
    <cellStyle name="Hyperlink" xfId="14739" builtinId="8" hidden="1"/>
    <cellStyle name="Hyperlink" xfId="14741" builtinId="8" hidden="1"/>
    <cellStyle name="Hyperlink" xfId="14743" builtinId="8" hidden="1"/>
    <cellStyle name="Hyperlink" xfId="14745" builtinId="8" hidden="1"/>
    <cellStyle name="Hyperlink" xfId="14747" builtinId="8" hidden="1"/>
    <cellStyle name="Hyperlink" xfId="14749" builtinId="8" hidden="1"/>
    <cellStyle name="Hyperlink" xfId="14751" builtinId="8" hidden="1"/>
    <cellStyle name="Hyperlink" xfId="14753" builtinId="8" hidden="1"/>
    <cellStyle name="Hyperlink" xfId="14755" builtinId="8" hidden="1"/>
    <cellStyle name="Hyperlink" xfId="14757" builtinId="8" hidden="1"/>
    <cellStyle name="Hyperlink" xfId="14759" builtinId="8" hidden="1"/>
    <cellStyle name="Hyperlink" xfId="14761" builtinId="8" hidden="1"/>
    <cellStyle name="Hyperlink" xfId="14763" builtinId="8" hidden="1"/>
    <cellStyle name="Hyperlink" xfId="14765" builtinId="8" hidden="1"/>
    <cellStyle name="Hyperlink" xfId="14767" builtinId="8" hidden="1"/>
    <cellStyle name="Hyperlink" xfId="14769" builtinId="8" hidden="1"/>
    <cellStyle name="Hyperlink" xfId="14771" builtinId="8" hidden="1"/>
    <cellStyle name="Hyperlink" xfId="14773" builtinId="8" hidden="1"/>
    <cellStyle name="Hyperlink" xfId="14775" builtinId="8" hidden="1"/>
    <cellStyle name="Hyperlink" xfId="14777" builtinId="8" hidden="1"/>
    <cellStyle name="Hyperlink" xfId="14779" builtinId="8" hidden="1"/>
    <cellStyle name="Hyperlink" xfId="14781" builtinId="8" hidden="1"/>
    <cellStyle name="Hyperlink" xfId="14783" builtinId="8" hidden="1"/>
    <cellStyle name="Hyperlink" xfId="14785" builtinId="8" hidden="1"/>
    <cellStyle name="Hyperlink" xfId="14787" builtinId="8" hidden="1"/>
    <cellStyle name="Hyperlink" xfId="14789" builtinId="8" hidden="1"/>
    <cellStyle name="Hyperlink" xfId="14791" builtinId="8" hidden="1"/>
    <cellStyle name="Hyperlink" xfId="14793" builtinId="8" hidden="1"/>
    <cellStyle name="Hyperlink" xfId="14795" builtinId="8" hidden="1"/>
    <cellStyle name="Hyperlink" xfId="14797" builtinId="8" hidden="1"/>
    <cellStyle name="Hyperlink" xfId="14799" builtinId="8" hidden="1"/>
    <cellStyle name="Hyperlink" xfId="14801" builtinId="8" hidden="1"/>
    <cellStyle name="Hyperlink" xfId="14803" builtinId="8" hidden="1"/>
    <cellStyle name="Hyperlink" xfId="14805" builtinId="8" hidden="1"/>
    <cellStyle name="Hyperlink" xfId="14807" builtinId="8" hidden="1"/>
    <cellStyle name="Hyperlink" xfId="14809" builtinId="8" hidden="1"/>
    <cellStyle name="Hyperlink" xfId="14811" builtinId="8" hidden="1"/>
    <cellStyle name="Hyperlink" xfId="14813" builtinId="8" hidden="1"/>
    <cellStyle name="Hyperlink" xfId="14815" builtinId="8" hidden="1"/>
    <cellStyle name="Hyperlink" xfId="14817" builtinId="8" hidden="1"/>
    <cellStyle name="Hyperlink" xfId="14819" builtinId="8" hidden="1"/>
    <cellStyle name="Hyperlink" xfId="14821" builtinId="8" hidden="1"/>
    <cellStyle name="Hyperlink" xfId="14823" builtinId="8" hidden="1"/>
    <cellStyle name="Hyperlink" xfId="14825" builtinId="8" hidden="1"/>
    <cellStyle name="Hyperlink" xfId="14827" builtinId="8" hidden="1"/>
    <cellStyle name="Hyperlink" xfId="14829" builtinId="8" hidden="1"/>
    <cellStyle name="Hyperlink" xfId="14831" builtinId="8" hidden="1"/>
    <cellStyle name="Hyperlink" xfId="14833" builtinId="8" hidden="1"/>
    <cellStyle name="Hyperlink" xfId="14835" builtinId="8" hidden="1"/>
    <cellStyle name="Hyperlink" xfId="14837" builtinId="8" hidden="1"/>
    <cellStyle name="Hyperlink" xfId="14839" builtinId="8" hidden="1"/>
    <cellStyle name="Hyperlink" xfId="14841" builtinId="8" hidden="1"/>
    <cellStyle name="Hyperlink" xfId="14843" builtinId="8" hidden="1"/>
    <cellStyle name="Hyperlink" xfId="14845" builtinId="8" hidden="1"/>
    <cellStyle name="Hyperlink" xfId="14847" builtinId="8" hidden="1"/>
    <cellStyle name="Hyperlink" xfId="14849" builtinId="8" hidden="1"/>
    <cellStyle name="Hyperlink" xfId="14851" builtinId="8" hidden="1"/>
    <cellStyle name="Hyperlink" xfId="14853" builtinId="8" hidden="1"/>
    <cellStyle name="Hyperlink" xfId="14855" builtinId="8" hidden="1"/>
    <cellStyle name="Hyperlink" xfId="14857" builtinId="8" hidden="1"/>
    <cellStyle name="Hyperlink" xfId="14859" builtinId="8" hidden="1"/>
    <cellStyle name="Hyperlink" xfId="14861" builtinId="8" hidden="1"/>
    <cellStyle name="Hyperlink" xfId="14863" builtinId="8" hidden="1"/>
    <cellStyle name="Hyperlink" xfId="14865" builtinId="8" hidden="1"/>
    <cellStyle name="Hyperlink" xfId="14867" builtinId="8" hidden="1"/>
    <cellStyle name="Hyperlink" xfId="14869" builtinId="8" hidden="1"/>
    <cellStyle name="Hyperlink" xfId="14871" builtinId="8" hidden="1"/>
    <cellStyle name="Hyperlink" xfId="14873" builtinId="8" hidden="1"/>
    <cellStyle name="Hyperlink" xfId="14875" builtinId="8" hidden="1"/>
    <cellStyle name="Hyperlink" xfId="14877" builtinId="8" hidden="1"/>
    <cellStyle name="Hyperlink" xfId="14879" builtinId="8" hidden="1"/>
    <cellStyle name="Hyperlink" xfId="14881" builtinId="8" hidden="1"/>
    <cellStyle name="Hyperlink" xfId="14883" builtinId="8" hidden="1"/>
    <cellStyle name="Hyperlink" xfId="14885" builtinId="8" hidden="1"/>
    <cellStyle name="Hyperlink" xfId="14887" builtinId="8" hidden="1"/>
    <cellStyle name="Hyperlink" xfId="14889" builtinId="8" hidden="1"/>
    <cellStyle name="Hyperlink" xfId="14891" builtinId="8" hidden="1"/>
    <cellStyle name="Hyperlink" xfId="14893" builtinId="8" hidden="1"/>
    <cellStyle name="Hyperlink" xfId="14895" builtinId="8" hidden="1"/>
    <cellStyle name="Hyperlink" xfId="14897" builtinId="8" hidden="1"/>
    <cellStyle name="Hyperlink" xfId="14899" builtinId="8" hidden="1"/>
    <cellStyle name="Hyperlink" xfId="14901" builtinId="8" hidden="1"/>
    <cellStyle name="Hyperlink" xfId="14903" builtinId="8" hidden="1"/>
    <cellStyle name="Hyperlink" xfId="14905" builtinId="8" hidden="1"/>
    <cellStyle name="Hyperlink" xfId="14907" builtinId="8" hidden="1"/>
    <cellStyle name="Hyperlink" xfId="14909" builtinId="8" hidden="1"/>
    <cellStyle name="Hyperlink" xfId="14911" builtinId="8" hidden="1"/>
    <cellStyle name="Hyperlink" xfId="14913" builtinId="8" hidden="1"/>
    <cellStyle name="Hyperlink" xfId="14915" builtinId="8" hidden="1"/>
    <cellStyle name="Hyperlink" xfId="14917" builtinId="8" hidden="1"/>
    <cellStyle name="Hyperlink" xfId="14919" builtinId="8" hidden="1"/>
    <cellStyle name="Hyperlink" xfId="14921" builtinId="8" hidden="1"/>
    <cellStyle name="Hyperlink" xfId="14923" builtinId="8" hidden="1"/>
    <cellStyle name="Hyperlink" xfId="14925" builtinId="8" hidden="1"/>
    <cellStyle name="Hyperlink" xfId="14927" builtinId="8" hidden="1"/>
    <cellStyle name="Hyperlink" xfId="14929" builtinId="8" hidden="1"/>
    <cellStyle name="Hyperlink" xfId="14931" builtinId="8" hidden="1"/>
    <cellStyle name="Hyperlink" xfId="14933" builtinId="8" hidden="1"/>
    <cellStyle name="Hyperlink" xfId="14935" builtinId="8" hidden="1"/>
    <cellStyle name="Hyperlink" xfId="14937" builtinId="8" hidden="1"/>
    <cellStyle name="Hyperlink" xfId="14939" builtinId="8" hidden="1"/>
    <cellStyle name="Hyperlink" xfId="14941" builtinId="8" hidden="1"/>
    <cellStyle name="Hyperlink" xfId="14943" builtinId="8" hidden="1"/>
    <cellStyle name="Hyperlink" xfId="14945" builtinId="8" hidden="1"/>
    <cellStyle name="Hyperlink" xfId="14947" builtinId="8" hidden="1"/>
    <cellStyle name="Hyperlink" xfId="14949" builtinId="8" hidden="1"/>
    <cellStyle name="Hyperlink" xfId="14951" builtinId="8" hidden="1"/>
    <cellStyle name="Hyperlink" xfId="14953" builtinId="8" hidden="1"/>
    <cellStyle name="Hyperlink" xfId="14955" builtinId="8" hidden="1"/>
    <cellStyle name="Hyperlink" xfId="14957" builtinId="8" hidden="1"/>
    <cellStyle name="Hyperlink" xfId="14959" builtinId="8" hidden="1"/>
    <cellStyle name="Hyperlink" xfId="14961" builtinId="8" hidden="1"/>
    <cellStyle name="Hyperlink" xfId="14963" builtinId="8" hidden="1"/>
    <cellStyle name="Hyperlink" xfId="14965" builtinId="8" hidden="1"/>
    <cellStyle name="Hyperlink" xfId="14967" builtinId="8" hidden="1"/>
    <cellStyle name="Hyperlink" xfId="14969" builtinId="8" hidden="1"/>
    <cellStyle name="Hyperlink" xfId="14971" builtinId="8" hidden="1"/>
    <cellStyle name="Hyperlink" xfId="14973" builtinId="8" hidden="1"/>
    <cellStyle name="Hyperlink" xfId="14975" builtinId="8" hidden="1"/>
    <cellStyle name="Hyperlink" xfId="14977" builtinId="8" hidden="1"/>
    <cellStyle name="Hyperlink" xfId="14979" builtinId="8" hidden="1"/>
    <cellStyle name="Hyperlink" xfId="14981" builtinId="8" hidden="1"/>
    <cellStyle name="Hyperlink" xfId="14983" builtinId="8" hidden="1"/>
    <cellStyle name="Hyperlink" xfId="14985" builtinId="8" hidden="1"/>
    <cellStyle name="Hyperlink" xfId="14987" builtinId="8" hidden="1"/>
    <cellStyle name="Hyperlink" xfId="14989" builtinId="8" hidden="1"/>
    <cellStyle name="Hyperlink" xfId="14991" builtinId="8" hidden="1"/>
    <cellStyle name="Hyperlink" xfId="14993" builtinId="8" hidden="1"/>
    <cellStyle name="Hyperlink" xfId="14995" builtinId="8" hidden="1"/>
    <cellStyle name="Hyperlink" xfId="14997" builtinId="8" hidden="1"/>
    <cellStyle name="Hyperlink" xfId="14999" builtinId="8" hidden="1"/>
    <cellStyle name="Hyperlink" xfId="15001" builtinId="8" hidden="1"/>
    <cellStyle name="Hyperlink" xfId="15003" builtinId="8" hidden="1"/>
    <cellStyle name="Hyperlink" xfId="15005" builtinId="8" hidden="1"/>
    <cellStyle name="Hyperlink" xfId="15007" builtinId="8" hidden="1"/>
    <cellStyle name="Hyperlink" xfId="15009" builtinId="8" hidden="1"/>
    <cellStyle name="Hyperlink" xfId="15011" builtinId="8" hidden="1"/>
    <cellStyle name="Hyperlink" xfId="15013" builtinId="8" hidden="1"/>
    <cellStyle name="Hyperlink" xfId="15015" builtinId="8" hidden="1"/>
    <cellStyle name="Hyperlink" xfId="15017" builtinId="8" hidden="1"/>
    <cellStyle name="Hyperlink" xfId="15019" builtinId="8" hidden="1"/>
    <cellStyle name="Hyperlink" xfId="15021" builtinId="8" hidden="1"/>
    <cellStyle name="Hyperlink" xfId="15023" builtinId="8" hidden="1"/>
    <cellStyle name="Hyperlink" xfId="15025" builtinId="8" hidden="1"/>
    <cellStyle name="Hyperlink" xfId="15027" builtinId="8" hidden="1"/>
    <cellStyle name="Hyperlink" xfId="15029" builtinId="8" hidden="1"/>
    <cellStyle name="Hyperlink" xfId="15031" builtinId="8" hidden="1"/>
    <cellStyle name="Hyperlink" xfId="15033" builtinId="8" hidden="1"/>
    <cellStyle name="Hyperlink" xfId="15035" builtinId="8" hidden="1"/>
    <cellStyle name="Hyperlink" xfId="15037" builtinId="8" hidden="1"/>
    <cellStyle name="Hyperlink" xfId="15039" builtinId="8" hidden="1"/>
    <cellStyle name="Hyperlink" xfId="15041" builtinId="8" hidden="1"/>
    <cellStyle name="Hyperlink" xfId="15043" builtinId="8" hidden="1"/>
    <cellStyle name="Hyperlink" xfId="15045" builtinId="8" hidden="1"/>
    <cellStyle name="Hyperlink" xfId="15047" builtinId="8" hidden="1"/>
    <cellStyle name="Hyperlink" xfId="15049" builtinId="8" hidden="1"/>
    <cellStyle name="Hyperlink" xfId="15051" builtinId="8" hidden="1"/>
    <cellStyle name="Hyperlink" xfId="15053" builtinId="8" hidden="1"/>
    <cellStyle name="Hyperlink" xfId="15055" builtinId="8" hidden="1"/>
    <cellStyle name="Hyperlink" xfId="15057" builtinId="8" hidden="1"/>
    <cellStyle name="Hyperlink" xfId="15059" builtinId="8" hidden="1"/>
    <cellStyle name="Hyperlink" xfId="15061" builtinId="8" hidden="1"/>
    <cellStyle name="Hyperlink" xfId="15063" builtinId="8" hidden="1"/>
    <cellStyle name="Hyperlink" xfId="15065" builtinId="8" hidden="1"/>
    <cellStyle name="Hyperlink" xfId="15067" builtinId="8" hidden="1"/>
    <cellStyle name="Hyperlink" xfId="15069" builtinId="8" hidden="1"/>
    <cellStyle name="Hyperlink" xfId="15071" builtinId="8" hidden="1"/>
    <cellStyle name="Hyperlink" xfId="15073" builtinId="8" hidden="1"/>
    <cellStyle name="Hyperlink" xfId="15075" builtinId="8" hidden="1"/>
    <cellStyle name="Hyperlink" xfId="15077" builtinId="8" hidden="1"/>
    <cellStyle name="Hyperlink" xfId="15079" builtinId="8" hidden="1"/>
    <cellStyle name="Hyperlink" xfId="15081" builtinId="8" hidden="1"/>
    <cellStyle name="Hyperlink" xfId="15083" builtinId="8" hidden="1"/>
    <cellStyle name="Hyperlink" xfId="15085" builtinId="8" hidden="1"/>
    <cellStyle name="Hyperlink" xfId="15087" builtinId="8" hidden="1"/>
    <cellStyle name="Hyperlink" xfId="15089" builtinId="8" hidden="1"/>
    <cellStyle name="Hyperlink" xfId="15091" builtinId="8" hidden="1"/>
    <cellStyle name="Hyperlink" xfId="15093" builtinId="8" hidden="1"/>
    <cellStyle name="Hyperlink" xfId="15095" builtinId="8" hidden="1"/>
    <cellStyle name="Hyperlink" xfId="15097" builtinId="8" hidden="1"/>
    <cellStyle name="Hyperlink" xfId="15099" builtinId="8" hidden="1"/>
    <cellStyle name="Hyperlink" xfId="15101" builtinId="8" hidden="1"/>
    <cellStyle name="Hyperlink" xfId="15103" builtinId="8" hidden="1"/>
    <cellStyle name="Hyperlink" xfId="15105" builtinId="8" hidden="1"/>
    <cellStyle name="Hyperlink" xfId="15107" builtinId="8" hidden="1"/>
    <cellStyle name="Hyperlink" xfId="15109" builtinId="8" hidden="1"/>
    <cellStyle name="Hyperlink" xfId="15111" builtinId="8" hidden="1"/>
    <cellStyle name="Hyperlink" xfId="15113" builtinId="8" hidden="1"/>
    <cellStyle name="Hyperlink" xfId="15115" builtinId="8" hidden="1"/>
    <cellStyle name="Hyperlink" xfId="15117" builtinId="8" hidden="1"/>
    <cellStyle name="Hyperlink" xfId="15119" builtinId="8" hidden="1"/>
    <cellStyle name="Hyperlink" xfId="15121" builtinId="8" hidden="1"/>
    <cellStyle name="Hyperlink" xfId="15123" builtinId="8" hidden="1"/>
    <cellStyle name="Hyperlink" xfId="15125" builtinId="8" hidden="1"/>
    <cellStyle name="Hyperlink" xfId="15127" builtinId="8" hidden="1"/>
    <cellStyle name="Hyperlink" xfId="15129" builtinId="8" hidden="1"/>
    <cellStyle name="Hyperlink" xfId="15131" builtinId="8" hidden="1"/>
    <cellStyle name="Hyperlink" xfId="15133" builtinId="8" hidden="1"/>
    <cellStyle name="Hyperlink" xfId="15135" builtinId="8" hidden="1"/>
    <cellStyle name="Hyperlink" xfId="15137" builtinId="8" hidden="1"/>
    <cellStyle name="Hyperlink" xfId="15139" builtinId="8" hidden="1"/>
    <cellStyle name="Hyperlink" xfId="15141" builtinId="8" hidden="1"/>
    <cellStyle name="Hyperlink" xfId="15143" builtinId="8" hidden="1"/>
    <cellStyle name="Hyperlink" xfId="15145" builtinId="8" hidden="1"/>
    <cellStyle name="Hyperlink" xfId="15147" builtinId="8" hidden="1"/>
    <cellStyle name="Hyperlink" xfId="15149" builtinId="8" hidden="1"/>
    <cellStyle name="Hyperlink" xfId="15151" builtinId="8" hidden="1"/>
    <cellStyle name="Hyperlink" xfId="15153" builtinId="8" hidden="1"/>
    <cellStyle name="Hyperlink" xfId="15155" builtinId="8" hidden="1"/>
    <cellStyle name="Hyperlink" xfId="15157" builtinId="8" hidden="1"/>
    <cellStyle name="Hyperlink" xfId="15159" builtinId="8" hidden="1"/>
    <cellStyle name="Hyperlink" xfId="15161" builtinId="8" hidden="1"/>
    <cellStyle name="Hyperlink" xfId="15163" builtinId="8" hidden="1"/>
    <cellStyle name="Hyperlink" xfId="15165" builtinId="8" hidden="1"/>
    <cellStyle name="Hyperlink" xfId="15167" builtinId="8" hidden="1"/>
    <cellStyle name="Hyperlink" xfId="15169" builtinId="8" hidden="1"/>
    <cellStyle name="Hyperlink" xfId="15171" builtinId="8" hidden="1"/>
    <cellStyle name="Hyperlink" xfId="15173" builtinId="8" hidden="1"/>
    <cellStyle name="Hyperlink" xfId="15175" builtinId="8" hidden="1"/>
    <cellStyle name="Hyperlink" xfId="15177" builtinId="8" hidden="1"/>
    <cellStyle name="Hyperlink" xfId="15179" builtinId="8" hidden="1"/>
    <cellStyle name="Hyperlink" xfId="15181" builtinId="8" hidden="1"/>
    <cellStyle name="Hyperlink" xfId="15183" builtinId="8" hidden="1"/>
    <cellStyle name="Hyperlink" xfId="15185" builtinId="8" hidden="1"/>
    <cellStyle name="Hyperlink" xfId="15187" builtinId="8" hidden="1"/>
    <cellStyle name="Hyperlink" xfId="15189" builtinId="8" hidden="1"/>
    <cellStyle name="Hyperlink" xfId="15191" builtinId="8" hidden="1"/>
    <cellStyle name="Hyperlink" xfId="15193" builtinId="8" hidden="1"/>
    <cellStyle name="Hyperlink" xfId="15195" builtinId="8" hidden="1"/>
    <cellStyle name="Hyperlink" xfId="15197" builtinId="8" hidden="1"/>
    <cellStyle name="Hyperlink" xfId="15199" builtinId="8" hidden="1"/>
    <cellStyle name="Hyperlink" xfId="15201" builtinId="8" hidden="1"/>
    <cellStyle name="Hyperlink" xfId="15203" builtinId="8" hidden="1"/>
    <cellStyle name="Hyperlink" xfId="15205" builtinId="8" hidden="1"/>
    <cellStyle name="Hyperlink" xfId="15207" builtinId="8" hidden="1"/>
    <cellStyle name="Hyperlink" xfId="15209" builtinId="8" hidden="1"/>
    <cellStyle name="Hyperlink" xfId="15211" builtinId="8" hidden="1"/>
    <cellStyle name="Hyperlink" xfId="15213" builtinId="8" hidden="1"/>
    <cellStyle name="Hyperlink" xfId="15215" builtinId="8" hidden="1"/>
    <cellStyle name="Hyperlink" xfId="15217" builtinId="8" hidden="1"/>
    <cellStyle name="Hyperlink" xfId="15219" builtinId="8" hidden="1"/>
    <cellStyle name="Hyperlink" xfId="15221" builtinId="8" hidden="1"/>
    <cellStyle name="Hyperlink" xfId="15223" builtinId="8" hidden="1"/>
    <cellStyle name="Hyperlink" xfId="15225" builtinId="8" hidden="1"/>
    <cellStyle name="Hyperlink" xfId="15227" builtinId="8" hidden="1"/>
    <cellStyle name="Hyperlink" xfId="15229" builtinId="8" hidden="1"/>
    <cellStyle name="Hyperlink" xfId="15231" builtinId="8" hidden="1"/>
    <cellStyle name="Hyperlink" xfId="15233" builtinId="8" hidden="1"/>
    <cellStyle name="Hyperlink" xfId="15235" builtinId="8" hidden="1"/>
    <cellStyle name="Hyperlink" xfId="15237" builtinId="8" hidden="1"/>
    <cellStyle name="Hyperlink" xfId="15239" builtinId="8" hidden="1"/>
    <cellStyle name="Hyperlink" xfId="15241" builtinId="8" hidden="1"/>
    <cellStyle name="Hyperlink" xfId="15243" builtinId="8" hidden="1"/>
    <cellStyle name="Hyperlink" xfId="15245" builtinId="8" hidden="1"/>
    <cellStyle name="Hyperlink" xfId="15247" builtinId="8" hidden="1"/>
    <cellStyle name="Hyperlink" xfId="15249" builtinId="8" hidden="1"/>
    <cellStyle name="Hyperlink" xfId="15251" builtinId="8" hidden="1"/>
    <cellStyle name="Hyperlink" xfId="15253" builtinId="8" hidden="1"/>
    <cellStyle name="Hyperlink" xfId="15255" builtinId="8" hidden="1"/>
    <cellStyle name="Hyperlink" xfId="15257" builtinId="8" hidden="1"/>
    <cellStyle name="Hyperlink" xfId="15259" builtinId="8" hidden="1"/>
    <cellStyle name="Hyperlink" xfId="15261" builtinId="8" hidden="1"/>
    <cellStyle name="Hyperlink" xfId="15263" builtinId="8" hidden="1"/>
    <cellStyle name="Hyperlink" xfId="15265" builtinId="8" hidden="1"/>
    <cellStyle name="Hyperlink" xfId="15267" builtinId="8" hidden="1"/>
    <cellStyle name="Hyperlink" xfId="15269" builtinId="8" hidden="1"/>
    <cellStyle name="Hyperlink" xfId="15271" builtinId="8" hidden="1"/>
    <cellStyle name="Hyperlink" xfId="15273" builtinId="8" hidden="1"/>
    <cellStyle name="Hyperlink" xfId="15275" builtinId="8" hidden="1"/>
    <cellStyle name="Hyperlink" xfId="15277" builtinId="8" hidden="1"/>
    <cellStyle name="Hyperlink" xfId="15279" builtinId="8" hidden="1"/>
    <cellStyle name="Hyperlink" xfId="15281" builtinId="8" hidden="1"/>
    <cellStyle name="Hyperlink" xfId="15283" builtinId="8" hidden="1"/>
    <cellStyle name="Hyperlink" xfId="15285" builtinId="8" hidden="1"/>
    <cellStyle name="Hyperlink" xfId="15287" builtinId="8" hidden="1"/>
    <cellStyle name="Hyperlink" xfId="15289" builtinId="8" hidden="1"/>
    <cellStyle name="Hyperlink" xfId="15291" builtinId="8" hidden="1"/>
    <cellStyle name="Hyperlink" xfId="15293" builtinId="8" hidden="1"/>
    <cellStyle name="Hyperlink" xfId="15295" builtinId="8" hidden="1"/>
    <cellStyle name="Hyperlink" xfId="15297" builtinId="8" hidden="1"/>
    <cellStyle name="Hyperlink" xfId="15299" builtinId="8" hidden="1"/>
    <cellStyle name="Hyperlink" xfId="15301" builtinId="8" hidden="1"/>
    <cellStyle name="Hyperlink" xfId="15303" builtinId="8" hidden="1"/>
    <cellStyle name="Hyperlink" xfId="15305" builtinId="8" hidden="1"/>
    <cellStyle name="Hyperlink" xfId="15307" builtinId="8" hidden="1"/>
    <cellStyle name="Hyperlink" xfId="15309" builtinId="8" hidden="1"/>
    <cellStyle name="Hyperlink" xfId="15311" builtinId="8" hidden="1"/>
    <cellStyle name="Hyperlink" xfId="15313" builtinId="8" hidden="1"/>
    <cellStyle name="Hyperlink" xfId="15315" builtinId="8" hidden="1"/>
    <cellStyle name="Hyperlink" xfId="15317" builtinId="8" hidden="1"/>
    <cellStyle name="Hyperlink" xfId="15319" builtinId="8" hidden="1"/>
    <cellStyle name="Hyperlink" xfId="15321" builtinId="8" hidden="1"/>
    <cellStyle name="Hyperlink" xfId="15323" builtinId="8" hidden="1"/>
    <cellStyle name="Hyperlink" xfId="15325" builtinId="8" hidden="1"/>
    <cellStyle name="Hyperlink" xfId="15327" builtinId="8" hidden="1"/>
    <cellStyle name="Hyperlink" xfId="15329" builtinId="8" hidden="1"/>
    <cellStyle name="Hyperlink" xfId="15331" builtinId="8" hidden="1"/>
    <cellStyle name="Hyperlink" xfId="15333" builtinId="8" hidden="1"/>
    <cellStyle name="Hyperlink" xfId="15335" builtinId="8" hidden="1"/>
    <cellStyle name="Hyperlink" xfId="15337" builtinId="8" hidden="1"/>
    <cellStyle name="Hyperlink" xfId="15339" builtinId="8" hidden="1"/>
    <cellStyle name="Hyperlink" xfId="15341" builtinId="8" hidden="1"/>
    <cellStyle name="Hyperlink" xfId="15343" builtinId="8" hidden="1"/>
    <cellStyle name="Hyperlink" xfId="15345" builtinId="8" hidden="1"/>
    <cellStyle name="Hyperlink" xfId="15347" builtinId="8" hidden="1"/>
    <cellStyle name="Hyperlink" xfId="15349" builtinId="8" hidden="1"/>
    <cellStyle name="Hyperlink" xfId="15351" builtinId="8" hidden="1"/>
    <cellStyle name="Hyperlink" xfId="15353" builtinId="8" hidden="1"/>
    <cellStyle name="Hyperlink" xfId="15355" builtinId="8" hidden="1"/>
    <cellStyle name="Hyperlink" xfId="15357" builtinId="8" hidden="1"/>
    <cellStyle name="Hyperlink" xfId="15359" builtinId="8" hidden="1"/>
    <cellStyle name="Hyperlink" xfId="15361" builtinId="8" hidden="1"/>
    <cellStyle name="Hyperlink" xfId="15363" builtinId="8" hidden="1"/>
    <cellStyle name="Hyperlink" xfId="15365" builtinId="8" hidden="1"/>
    <cellStyle name="Hyperlink" xfId="15367" builtinId="8" hidden="1"/>
    <cellStyle name="Hyperlink" xfId="15369" builtinId="8" hidden="1"/>
    <cellStyle name="Hyperlink" xfId="15371" builtinId="8" hidden="1"/>
    <cellStyle name="Hyperlink" xfId="15373" builtinId="8" hidden="1"/>
    <cellStyle name="Hyperlink" xfId="15375" builtinId="8" hidden="1"/>
    <cellStyle name="Hyperlink" xfId="15377" builtinId="8" hidden="1"/>
    <cellStyle name="Hyperlink" xfId="15379" builtinId="8" hidden="1"/>
    <cellStyle name="Hyperlink" xfId="15381" builtinId="8" hidden="1"/>
    <cellStyle name="Hyperlink" xfId="15383" builtinId="8" hidden="1"/>
    <cellStyle name="Hyperlink" xfId="15385" builtinId="8" hidden="1"/>
    <cellStyle name="Hyperlink" xfId="15387" builtinId="8" hidden="1"/>
    <cellStyle name="Hyperlink" xfId="15389" builtinId="8" hidden="1"/>
    <cellStyle name="Hyperlink" xfId="15391" builtinId="8" hidden="1"/>
    <cellStyle name="Hyperlink" xfId="15393" builtinId="8" hidden="1"/>
    <cellStyle name="Hyperlink" xfId="15395" builtinId="8" hidden="1"/>
    <cellStyle name="Hyperlink" xfId="15397" builtinId="8" hidden="1"/>
    <cellStyle name="Hyperlink" xfId="15399" builtinId="8" hidden="1"/>
    <cellStyle name="Hyperlink" xfId="15401" builtinId="8" hidden="1"/>
    <cellStyle name="Hyperlink" xfId="15403" builtinId="8" hidden="1"/>
    <cellStyle name="Hyperlink" xfId="15405" builtinId="8" hidden="1"/>
    <cellStyle name="Hyperlink" xfId="15407" builtinId="8" hidden="1"/>
    <cellStyle name="Hyperlink" xfId="15409" builtinId="8" hidden="1"/>
    <cellStyle name="Hyperlink" xfId="15411" builtinId="8" hidden="1"/>
    <cellStyle name="Hyperlink" xfId="15413" builtinId="8" hidden="1"/>
    <cellStyle name="Hyperlink" xfId="15415" builtinId="8" hidden="1"/>
    <cellStyle name="Hyperlink" xfId="15417" builtinId="8" hidden="1"/>
    <cellStyle name="Hyperlink" xfId="15419" builtinId="8" hidden="1"/>
    <cellStyle name="Hyperlink" xfId="15421" builtinId="8" hidden="1"/>
    <cellStyle name="Hyperlink" xfId="15423" builtinId="8" hidden="1"/>
    <cellStyle name="Hyperlink" xfId="15425" builtinId="8" hidden="1"/>
    <cellStyle name="Hyperlink" xfId="15427" builtinId="8" hidden="1"/>
    <cellStyle name="Hyperlink" xfId="15429" builtinId="8" hidden="1"/>
    <cellStyle name="Hyperlink" xfId="15431" builtinId="8" hidden="1"/>
    <cellStyle name="Hyperlink" xfId="15433" builtinId="8" hidden="1"/>
    <cellStyle name="Hyperlink" xfId="15435" builtinId="8" hidden="1"/>
    <cellStyle name="Hyperlink" xfId="15437" builtinId="8" hidden="1"/>
    <cellStyle name="Hyperlink" xfId="15439" builtinId="8" hidden="1"/>
    <cellStyle name="Hyperlink" xfId="15441" builtinId="8" hidden="1"/>
    <cellStyle name="Hyperlink" xfId="15443" builtinId="8" hidden="1"/>
    <cellStyle name="Hyperlink" xfId="15445" builtinId="8" hidden="1"/>
    <cellStyle name="Hyperlink" xfId="15447" builtinId="8" hidden="1"/>
    <cellStyle name="Hyperlink" xfId="15449" builtinId="8" hidden="1"/>
    <cellStyle name="Hyperlink" xfId="15451" builtinId="8" hidden="1"/>
    <cellStyle name="Hyperlink" xfId="15453" builtinId="8" hidden="1"/>
    <cellStyle name="Hyperlink" xfId="15455" builtinId="8" hidden="1"/>
    <cellStyle name="Hyperlink" xfId="15457" builtinId="8" hidden="1"/>
    <cellStyle name="Hyperlink" xfId="15459" builtinId="8" hidden="1"/>
    <cellStyle name="Hyperlink" xfId="15461" builtinId="8" hidden="1"/>
    <cellStyle name="Hyperlink" xfId="15463" builtinId="8" hidden="1"/>
    <cellStyle name="Hyperlink" xfId="15465" builtinId="8" hidden="1"/>
    <cellStyle name="Hyperlink" xfId="15467" builtinId="8" hidden="1"/>
    <cellStyle name="Hyperlink" xfId="15469" builtinId="8" hidden="1"/>
    <cellStyle name="Hyperlink" xfId="15471" builtinId="8" hidden="1"/>
    <cellStyle name="Hyperlink" xfId="15473" builtinId="8" hidden="1"/>
    <cellStyle name="Hyperlink" xfId="15475" builtinId="8" hidden="1"/>
    <cellStyle name="Hyperlink" xfId="15477" builtinId="8" hidden="1"/>
    <cellStyle name="Hyperlink" xfId="15479" builtinId="8" hidden="1"/>
    <cellStyle name="Hyperlink" xfId="15481" builtinId="8" hidden="1"/>
    <cellStyle name="Hyperlink" xfId="15483" builtinId="8" hidden="1"/>
    <cellStyle name="Hyperlink" xfId="15485" builtinId="8" hidden="1"/>
    <cellStyle name="Hyperlink" xfId="15487" builtinId="8" hidden="1"/>
    <cellStyle name="Hyperlink" xfId="15489" builtinId="8" hidden="1"/>
    <cellStyle name="Hyperlink" xfId="15491" builtinId="8" hidden="1"/>
    <cellStyle name="Hyperlink" xfId="15493" builtinId="8" hidden="1"/>
    <cellStyle name="Hyperlink" xfId="15495" builtinId="8" hidden="1"/>
    <cellStyle name="Hyperlink" xfId="15497" builtinId="8" hidden="1"/>
    <cellStyle name="Hyperlink" xfId="15499" builtinId="8" hidden="1"/>
    <cellStyle name="Hyperlink" xfId="15501" builtinId="8" hidden="1"/>
    <cellStyle name="Hyperlink" xfId="15503" builtinId="8" hidden="1"/>
    <cellStyle name="Hyperlink" xfId="15505" builtinId="8" hidden="1"/>
    <cellStyle name="Hyperlink" xfId="15507" builtinId="8" hidden="1"/>
    <cellStyle name="Hyperlink" xfId="15509" builtinId="8" hidden="1"/>
    <cellStyle name="Hyperlink" xfId="15511" builtinId="8" hidden="1"/>
    <cellStyle name="Hyperlink" xfId="15513" builtinId="8" hidden="1"/>
    <cellStyle name="Hyperlink" xfId="15515" builtinId="8" hidden="1"/>
    <cellStyle name="Hyperlink" xfId="15517" builtinId="8" hidden="1"/>
    <cellStyle name="Hyperlink" xfId="15519" builtinId="8" hidden="1"/>
    <cellStyle name="Hyperlink" xfId="15521" builtinId="8" hidden="1"/>
    <cellStyle name="Hyperlink" xfId="15523" builtinId="8" hidden="1"/>
    <cellStyle name="Hyperlink" xfId="15525" builtinId="8" hidden="1"/>
    <cellStyle name="Hyperlink" xfId="15527" builtinId="8" hidden="1"/>
    <cellStyle name="Hyperlink" xfId="15529" builtinId="8" hidden="1"/>
    <cellStyle name="Hyperlink" xfId="15531" builtinId="8" hidden="1"/>
    <cellStyle name="Hyperlink" xfId="15533" builtinId="8" hidden="1"/>
    <cellStyle name="Hyperlink" xfId="15535" builtinId="8" hidden="1"/>
    <cellStyle name="Hyperlink" xfId="15537" builtinId="8" hidden="1"/>
    <cellStyle name="Hyperlink" xfId="15539" builtinId="8" hidden="1"/>
    <cellStyle name="Hyperlink" xfId="15541" builtinId="8" hidden="1"/>
    <cellStyle name="Hyperlink" xfId="15543" builtinId="8" hidden="1"/>
    <cellStyle name="Hyperlink" xfId="15545" builtinId="8" hidden="1"/>
    <cellStyle name="Hyperlink" xfId="15547" builtinId="8" hidden="1"/>
    <cellStyle name="Hyperlink" xfId="15549" builtinId="8" hidden="1"/>
    <cellStyle name="Hyperlink" xfId="15551" builtinId="8" hidden="1"/>
    <cellStyle name="Hyperlink" xfId="15553" builtinId="8" hidden="1"/>
    <cellStyle name="Hyperlink" xfId="15555" builtinId="8" hidden="1"/>
    <cellStyle name="Hyperlink" xfId="15557" builtinId="8" hidden="1"/>
    <cellStyle name="Hyperlink" xfId="15559" builtinId="8" hidden="1"/>
    <cellStyle name="Hyperlink" xfId="15561" builtinId="8" hidden="1"/>
    <cellStyle name="Hyperlink" xfId="15563" builtinId="8" hidden="1"/>
    <cellStyle name="Hyperlink" xfId="15565" builtinId="8" hidden="1"/>
    <cellStyle name="Hyperlink" xfId="15567" builtinId="8" hidden="1"/>
    <cellStyle name="Hyperlink" xfId="15569" builtinId="8" hidden="1"/>
    <cellStyle name="Hyperlink" xfId="15571" builtinId="8" hidden="1"/>
    <cellStyle name="Hyperlink" xfId="15573" builtinId="8" hidden="1"/>
    <cellStyle name="Hyperlink" xfId="15575" builtinId="8" hidden="1"/>
    <cellStyle name="Hyperlink" xfId="15577" builtinId="8" hidden="1"/>
    <cellStyle name="Hyperlink" xfId="15579" builtinId="8" hidden="1"/>
    <cellStyle name="Hyperlink" xfId="15581" builtinId="8" hidden="1"/>
    <cellStyle name="Hyperlink" xfId="15583" builtinId="8" hidden="1"/>
    <cellStyle name="Hyperlink" xfId="15585" builtinId="8" hidden="1"/>
    <cellStyle name="Hyperlink" xfId="15587" builtinId="8" hidden="1"/>
    <cellStyle name="Hyperlink" xfId="15589" builtinId="8" hidden="1"/>
    <cellStyle name="Hyperlink" xfId="15591" builtinId="8" hidden="1"/>
    <cellStyle name="Hyperlink" xfId="15593" builtinId="8" hidden="1"/>
    <cellStyle name="Hyperlink" xfId="15595" builtinId="8" hidden="1"/>
    <cellStyle name="Hyperlink" xfId="15597" builtinId="8" hidden="1"/>
    <cellStyle name="Hyperlink" xfId="15599" builtinId="8" hidden="1"/>
    <cellStyle name="Hyperlink" xfId="15601" builtinId="8" hidden="1"/>
    <cellStyle name="Hyperlink" xfId="15603" builtinId="8" hidden="1"/>
    <cellStyle name="Hyperlink" xfId="15605" builtinId="8" hidden="1"/>
    <cellStyle name="Hyperlink" xfId="15607" builtinId="8" hidden="1"/>
    <cellStyle name="Hyperlink" xfId="15609" builtinId="8" hidden="1"/>
    <cellStyle name="Hyperlink" xfId="15611" builtinId="8" hidden="1"/>
    <cellStyle name="Hyperlink" xfId="15613" builtinId="8" hidden="1"/>
    <cellStyle name="Hyperlink" xfId="15615" builtinId="8" hidden="1"/>
    <cellStyle name="Hyperlink" xfId="15617" builtinId="8" hidden="1"/>
    <cellStyle name="Hyperlink" xfId="15619" builtinId="8" hidden="1"/>
    <cellStyle name="Hyperlink" xfId="15621" builtinId="8" hidden="1"/>
    <cellStyle name="Hyperlink" xfId="15623" builtinId="8" hidden="1"/>
    <cellStyle name="Hyperlink" xfId="15625" builtinId="8" hidden="1"/>
    <cellStyle name="Hyperlink" xfId="15627" builtinId="8" hidden="1"/>
    <cellStyle name="Hyperlink" xfId="15629" builtinId="8" hidden="1"/>
    <cellStyle name="Hyperlink" xfId="15631" builtinId="8" hidden="1"/>
    <cellStyle name="Hyperlink" xfId="15633" builtinId="8" hidden="1"/>
    <cellStyle name="Hyperlink" xfId="15635" builtinId="8" hidden="1"/>
    <cellStyle name="Hyperlink" xfId="15637" builtinId="8" hidden="1"/>
    <cellStyle name="Hyperlink" xfId="15639" builtinId="8" hidden="1"/>
    <cellStyle name="Hyperlink" xfId="15641" builtinId="8" hidden="1"/>
    <cellStyle name="Hyperlink" xfId="15643" builtinId="8" hidden="1"/>
    <cellStyle name="Hyperlink" xfId="15645" builtinId="8" hidden="1"/>
    <cellStyle name="Hyperlink" xfId="15647" builtinId="8" hidden="1"/>
    <cellStyle name="Hyperlink" xfId="15649" builtinId="8" hidden="1"/>
    <cellStyle name="Hyperlink" xfId="15651" builtinId="8" hidden="1"/>
    <cellStyle name="Hyperlink" xfId="15653" builtinId="8" hidden="1"/>
    <cellStyle name="Hyperlink" xfId="15655" builtinId="8" hidden="1"/>
    <cellStyle name="Hyperlink" xfId="15657" builtinId="8" hidden="1"/>
    <cellStyle name="Hyperlink" xfId="15659" builtinId="8" hidden="1"/>
    <cellStyle name="Hyperlink" xfId="15661" builtinId="8" hidden="1"/>
    <cellStyle name="Hyperlink" xfId="15663" builtinId="8" hidden="1"/>
    <cellStyle name="Hyperlink" xfId="15665" builtinId="8" hidden="1"/>
    <cellStyle name="Hyperlink" xfId="15667" builtinId="8" hidden="1"/>
    <cellStyle name="Hyperlink" xfId="15669" builtinId="8" hidden="1"/>
    <cellStyle name="Hyperlink" xfId="15671" builtinId="8" hidden="1"/>
    <cellStyle name="Hyperlink" xfId="15673" builtinId="8" hidden="1"/>
    <cellStyle name="Hyperlink" xfId="15675" builtinId="8" hidden="1"/>
    <cellStyle name="Hyperlink" xfId="15677" builtinId="8" hidden="1"/>
    <cellStyle name="Hyperlink" xfId="15679" builtinId="8" hidden="1"/>
    <cellStyle name="Hyperlink" xfId="15681" builtinId="8" hidden="1"/>
    <cellStyle name="Hyperlink" xfId="15683" builtinId="8" hidden="1"/>
    <cellStyle name="Hyperlink" xfId="15685" builtinId="8" hidden="1"/>
    <cellStyle name="Hyperlink" xfId="15687" builtinId="8" hidden="1"/>
    <cellStyle name="Hyperlink" xfId="15689" builtinId="8" hidden="1"/>
    <cellStyle name="Hyperlink" xfId="15691" builtinId="8" hidden="1"/>
    <cellStyle name="Hyperlink" xfId="15693" builtinId="8" hidden="1"/>
    <cellStyle name="Hyperlink" xfId="15695" builtinId="8" hidden="1"/>
    <cellStyle name="Hyperlink" xfId="15697" builtinId="8" hidden="1"/>
    <cellStyle name="Hyperlink" xfId="15699" builtinId="8" hidden="1"/>
    <cellStyle name="Hyperlink" xfId="15701" builtinId="8" hidden="1"/>
    <cellStyle name="Hyperlink" xfId="15703" builtinId="8" hidden="1"/>
    <cellStyle name="Hyperlink" xfId="15705" builtinId="8" hidden="1"/>
    <cellStyle name="Hyperlink" xfId="15707" builtinId="8" hidden="1"/>
    <cellStyle name="Hyperlink" xfId="15709" builtinId="8" hidden="1"/>
    <cellStyle name="Hyperlink" xfId="15711" builtinId="8" hidden="1"/>
    <cellStyle name="Hyperlink" xfId="15713" builtinId="8" hidden="1"/>
    <cellStyle name="Hyperlink" xfId="15715" builtinId="8" hidden="1"/>
    <cellStyle name="Hyperlink" xfId="15717" builtinId="8" hidden="1"/>
    <cellStyle name="Hyperlink" xfId="15719" builtinId="8" hidden="1"/>
    <cellStyle name="Hyperlink" xfId="15721" builtinId="8" hidden="1"/>
    <cellStyle name="Hyperlink" xfId="15723" builtinId="8" hidden="1"/>
    <cellStyle name="Hyperlink" xfId="15725" builtinId="8" hidden="1"/>
    <cellStyle name="Hyperlink" xfId="15727" builtinId="8" hidden="1"/>
    <cellStyle name="Hyperlink" xfId="15729" builtinId="8" hidden="1"/>
    <cellStyle name="Hyperlink" xfId="15731" builtinId="8" hidden="1"/>
    <cellStyle name="Hyperlink" xfId="15733" builtinId="8" hidden="1"/>
    <cellStyle name="Hyperlink" xfId="15735" builtinId="8" hidden="1"/>
    <cellStyle name="Hyperlink" xfId="15737" builtinId="8" hidden="1"/>
    <cellStyle name="Hyperlink" xfId="15739" builtinId="8" hidden="1"/>
    <cellStyle name="Hyperlink" xfId="15741" builtinId="8" hidden="1"/>
    <cellStyle name="Hyperlink" xfId="15743" builtinId="8" hidden="1"/>
    <cellStyle name="Hyperlink" xfId="15745" builtinId="8" hidden="1"/>
    <cellStyle name="Hyperlink" xfId="15747" builtinId="8" hidden="1"/>
    <cellStyle name="Hyperlink" xfId="15749" builtinId="8" hidden="1"/>
    <cellStyle name="Hyperlink" xfId="15751" builtinId="8" hidden="1"/>
    <cellStyle name="Hyperlink" xfId="15753" builtinId="8" hidden="1"/>
    <cellStyle name="Hyperlink" xfId="15755" builtinId="8" hidden="1"/>
    <cellStyle name="Hyperlink" xfId="15757" builtinId="8" hidden="1"/>
    <cellStyle name="Hyperlink" xfId="15759" builtinId="8" hidden="1"/>
    <cellStyle name="Hyperlink" xfId="15761" builtinId="8" hidden="1"/>
    <cellStyle name="Hyperlink" xfId="15763" builtinId="8" hidden="1"/>
    <cellStyle name="Hyperlink" xfId="15765" builtinId="8" hidden="1"/>
    <cellStyle name="Hyperlink" xfId="15767" builtinId="8" hidden="1"/>
    <cellStyle name="Hyperlink" xfId="15769" builtinId="8" hidden="1"/>
    <cellStyle name="Hyperlink" xfId="15771" builtinId="8" hidden="1"/>
    <cellStyle name="Hyperlink" xfId="15773" builtinId="8" hidden="1"/>
    <cellStyle name="Hyperlink" xfId="15775" builtinId="8" hidden="1"/>
    <cellStyle name="Hyperlink" xfId="15777" builtinId="8" hidden="1"/>
    <cellStyle name="Hyperlink" xfId="15779" builtinId="8" hidden="1"/>
    <cellStyle name="Hyperlink" xfId="15781" builtinId="8" hidden="1"/>
    <cellStyle name="Hyperlink" xfId="15783" builtinId="8" hidden="1"/>
    <cellStyle name="Hyperlink" xfId="15785" builtinId="8" hidden="1"/>
    <cellStyle name="Hyperlink" xfId="15787" builtinId="8" hidden="1"/>
    <cellStyle name="Hyperlink" xfId="15789" builtinId="8" hidden="1"/>
    <cellStyle name="Hyperlink" xfId="15791" builtinId="8" hidden="1"/>
    <cellStyle name="Hyperlink" xfId="15793" builtinId="8" hidden="1"/>
    <cellStyle name="Hyperlink" xfId="15795" builtinId="8" hidden="1"/>
    <cellStyle name="Hyperlink" xfId="15797" builtinId="8" hidden="1"/>
    <cellStyle name="Hyperlink" xfId="15799" builtinId="8" hidden="1"/>
    <cellStyle name="Hyperlink" xfId="15801" builtinId="8" hidden="1"/>
    <cellStyle name="Hyperlink" xfId="15803" builtinId="8" hidden="1"/>
    <cellStyle name="Hyperlink" xfId="15805" builtinId="8" hidden="1"/>
    <cellStyle name="Hyperlink" xfId="15807" builtinId="8" hidden="1"/>
    <cellStyle name="Hyperlink" xfId="15809" builtinId="8" hidden="1"/>
    <cellStyle name="Hyperlink" xfId="15811" builtinId="8" hidden="1"/>
    <cellStyle name="Hyperlink" xfId="15813" builtinId="8" hidden="1"/>
    <cellStyle name="Hyperlink" xfId="15815" builtinId="8" hidden="1"/>
    <cellStyle name="Hyperlink" xfId="15817" builtinId="8" hidden="1"/>
    <cellStyle name="Hyperlink" xfId="15819" builtinId="8" hidden="1"/>
    <cellStyle name="Hyperlink" xfId="15821" builtinId="8" hidden="1"/>
    <cellStyle name="Hyperlink" xfId="15823" builtinId="8" hidden="1"/>
    <cellStyle name="Hyperlink" xfId="15825" builtinId="8" hidden="1"/>
    <cellStyle name="Hyperlink" xfId="15827" builtinId="8" hidden="1"/>
    <cellStyle name="Hyperlink" xfId="15829" builtinId="8" hidden="1"/>
    <cellStyle name="Hyperlink" xfId="15831" builtinId="8" hidden="1"/>
    <cellStyle name="Hyperlink" xfId="15833" builtinId="8" hidden="1"/>
    <cellStyle name="Hyperlink" xfId="15835" builtinId="8" hidden="1"/>
    <cellStyle name="Hyperlink" xfId="15837" builtinId="8" hidden="1"/>
    <cellStyle name="Hyperlink" xfId="15839" builtinId="8" hidden="1"/>
    <cellStyle name="Hyperlink" xfId="15841" builtinId="8" hidden="1"/>
    <cellStyle name="Hyperlink" xfId="15843" builtinId="8" hidden="1"/>
    <cellStyle name="Hyperlink" xfId="15845" builtinId="8" hidden="1"/>
    <cellStyle name="Hyperlink" xfId="15847" builtinId="8" hidden="1"/>
    <cellStyle name="Hyperlink" xfId="15849" builtinId="8" hidden="1"/>
    <cellStyle name="Hyperlink" xfId="15851" builtinId="8" hidden="1"/>
    <cellStyle name="Hyperlink" xfId="15853" builtinId="8" hidden="1"/>
    <cellStyle name="Hyperlink" xfId="15855" builtinId="8" hidden="1"/>
    <cellStyle name="Hyperlink" xfId="15857" builtinId="8" hidden="1"/>
    <cellStyle name="Hyperlink" xfId="15859" builtinId="8" hidden="1"/>
    <cellStyle name="Hyperlink" xfId="15861" builtinId="8" hidden="1"/>
    <cellStyle name="Hyperlink" xfId="15863" builtinId="8" hidden="1"/>
    <cellStyle name="Hyperlink" xfId="15865" builtinId="8" hidden="1"/>
    <cellStyle name="Hyperlink" xfId="15867" builtinId="8" hidden="1"/>
    <cellStyle name="Hyperlink" xfId="15869" builtinId="8" hidden="1"/>
    <cellStyle name="Hyperlink" xfId="15871" builtinId="8" hidden="1"/>
    <cellStyle name="Hyperlink" xfId="15873" builtinId="8" hidden="1"/>
    <cellStyle name="Hyperlink" xfId="15875" builtinId="8" hidden="1"/>
    <cellStyle name="Hyperlink" xfId="15877" builtinId="8" hidden="1"/>
    <cellStyle name="Hyperlink" xfId="15879" builtinId="8" hidden="1"/>
    <cellStyle name="Hyperlink" xfId="15881" builtinId="8" hidden="1"/>
    <cellStyle name="Hyperlink" xfId="15883" builtinId="8" hidden="1"/>
    <cellStyle name="Hyperlink" xfId="15885" builtinId="8" hidden="1"/>
    <cellStyle name="Hyperlink" xfId="15887" builtinId="8" hidden="1"/>
    <cellStyle name="Hyperlink" xfId="15889" builtinId="8" hidden="1"/>
    <cellStyle name="Hyperlink" xfId="15891" builtinId="8" hidden="1"/>
    <cellStyle name="Hyperlink" xfId="15893" builtinId="8" hidden="1"/>
    <cellStyle name="Hyperlink" xfId="15895" builtinId="8" hidden="1"/>
    <cellStyle name="Hyperlink" xfId="15897" builtinId="8" hidden="1"/>
    <cellStyle name="Hyperlink" xfId="15899" builtinId="8" hidden="1"/>
    <cellStyle name="Hyperlink" xfId="15901" builtinId="8" hidden="1"/>
    <cellStyle name="Hyperlink" xfId="15903" builtinId="8" hidden="1"/>
    <cellStyle name="Hyperlink" xfId="15905" builtinId="8" hidden="1"/>
    <cellStyle name="Hyperlink" xfId="15907" builtinId="8" hidden="1"/>
    <cellStyle name="Hyperlink" xfId="15909" builtinId="8" hidden="1"/>
    <cellStyle name="Hyperlink" xfId="15911" builtinId="8" hidden="1"/>
    <cellStyle name="Hyperlink" xfId="15913" builtinId="8" hidden="1"/>
    <cellStyle name="Hyperlink" xfId="15915" builtinId="8" hidden="1"/>
    <cellStyle name="Hyperlink" xfId="15917" builtinId="8" hidden="1"/>
    <cellStyle name="Hyperlink" xfId="15919" builtinId="8" hidden="1"/>
    <cellStyle name="Hyperlink" xfId="15921" builtinId="8" hidden="1"/>
    <cellStyle name="Hyperlink" xfId="15923" builtinId="8" hidden="1"/>
    <cellStyle name="Hyperlink" xfId="15925" builtinId="8" hidden="1"/>
    <cellStyle name="Hyperlink" xfId="15927" builtinId="8" hidden="1"/>
    <cellStyle name="Hyperlink" xfId="15929" builtinId="8" hidden="1"/>
    <cellStyle name="Hyperlink" xfId="15931" builtinId="8" hidden="1"/>
    <cellStyle name="Hyperlink" xfId="15933" builtinId="8" hidden="1"/>
    <cellStyle name="Hyperlink" xfId="15935" builtinId="8" hidden="1"/>
    <cellStyle name="Hyperlink" xfId="15937" builtinId="8" hidden="1"/>
    <cellStyle name="Hyperlink" xfId="15939" builtinId="8" hidden="1"/>
    <cellStyle name="Hyperlink" xfId="15941" builtinId="8" hidden="1"/>
    <cellStyle name="Hyperlink" xfId="15943" builtinId="8" hidden="1"/>
    <cellStyle name="Hyperlink" xfId="15945" builtinId="8" hidden="1"/>
    <cellStyle name="Hyperlink" xfId="15947" builtinId="8" hidden="1"/>
    <cellStyle name="Hyperlink" xfId="15949" builtinId="8" hidden="1"/>
    <cellStyle name="Hyperlink" xfId="15951" builtinId="8" hidden="1"/>
    <cellStyle name="Hyperlink" xfId="15953" builtinId="8" hidden="1"/>
    <cellStyle name="Hyperlink" xfId="15955" builtinId="8" hidden="1"/>
    <cellStyle name="Hyperlink" xfId="15957" builtinId="8" hidden="1"/>
    <cellStyle name="Hyperlink" xfId="15959" builtinId="8" hidden="1"/>
    <cellStyle name="Hyperlink" xfId="15961" builtinId="8" hidden="1"/>
    <cellStyle name="Hyperlink" xfId="15963" builtinId="8" hidden="1"/>
    <cellStyle name="Hyperlink" xfId="15965" builtinId="8" hidden="1"/>
    <cellStyle name="Hyperlink" xfId="15967" builtinId="8" hidden="1"/>
    <cellStyle name="Hyperlink" xfId="15969" builtinId="8" hidden="1"/>
    <cellStyle name="Hyperlink" xfId="15971" builtinId="8" hidden="1"/>
    <cellStyle name="Hyperlink" xfId="15973" builtinId="8" hidden="1"/>
    <cellStyle name="Hyperlink" xfId="15975" builtinId="8" hidden="1"/>
    <cellStyle name="Hyperlink" xfId="15977" builtinId="8" hidden="1"/>
    <cellStyle name="Hyperlink" xfId="15979" builtinId="8" hidden="1"/>
    <cellStyle name="Hyperlink" xfId="15981" builtinId="8" hidden="1"/>
    <cellStyle name="Hyperlink" xfId="15983" builtinId="8" hidden="1"/>
    <cellStyle name="Hyperlink" xfId="15985" builtinId="8" hidden="1"/>
    <cellStyle name="Hyperlink" xfId="15987" builtinId="8" hidden="1"/>
    <cellStyle name="Hyperlink" xfId="15989" builtinId="8" hidden="1"/>
    <cellStyle name="Hyperlink" xfId="15991" builtinId="8" hidden="1"/>
    <cellStyle name="Hyperlink" xfId="15993" builtinId="8" hidden="1"/>
    <cellStyle name="Hyperlink" xfId="15995" builtinId="8" hidden="1"/>
    <cellStyle name="Hyperlink" xfId="15997" builtinId="8" hidden="1"/>
    <cellStyle name="Hyperlink" xfId="15999" builtinId="8" hidden="1"/>
    <cellStyle name="Hyperlink" xfId="16001" builtinId="8" hidden="1"/>
    <cellStyle name="Hyperlink" xfId="16003" builtinId="8" hidden="1"/>
    <cellStyle name="Hyperlink" xfId="16005" builtinId="8" hidden="1"/>
    <cellStyle name="Hyperlink" xfId="16007" builtinId="8" hidden="1"/>
    <cellStyle name="Hyperlink" xfId="16009" builtinId="8" hidden="1"/>
    <cellStyle name="Hyperlink" xfId="16011" builtinId="8" hidden="1"/>
    <cellStyle name="Hyperlink" xfId="16013" builtinId="8" hidden="1"/>
    <cellStyle name="Hyperlink" xfId="16015" builtinId="8" hidden="1"/>
    <cellStyle name="Hyperlink" xfId="16017" builtinId="8" hidden="1"/>
    <cellStyle name="Hyperlink" xfId="16019" builtinId="8" hidden="1"/>
    <cellStyle name="Hyperlink" xfId="16021" builtinId="8" hidden="1"/>
    <cellStyle name="Hyperlink" xfId="16023" builtinId="8" hidden="1"/>
    <cellStyle name="Hyperlink" xfId="16025" builtinId="8" hidden="1"/>
    <cellStyle name="Hyperlink" xfId="16027" builtinId="8" hidden="1"/>
    <cellStyle name="Hyperlink" xfId="16029" builtinId="8" hidden="1"/>
    <cellStyle name="Hyperlink" xfId="16031" builtinId="8" hidden="1"/>
    <cellStyle name="Hyperlink" xfId="16033" builtinId="8" hidden="1"/>
    <cellStyle name="Hyperlink" xfId="16035" builtinId="8" hidden="1"/>
    <cellStyle name="Hyperlink" xfId="16037" builtinId="8" hidden="1"/>
    <cellStyle name="Hyperlink" xfId="16039" builtinId="8" hidden="1"/>
    <cellStyle name="Hyperlink" xfId="16041" builtinId="8" hidden="1"/>
    <cellStyle name="Hyperlink" xfId="16043" builtinId="8" hidden="1"/>
    <cellStyle name="Hyperlink" xfId="16045" builtinId="8" hidden="1"/>
    <cellStyle name="Hyperlink" xfId="16047" builtinId="8" hidden="1"/>
    <cellStyle name="Hyperlink" xfId="16049" builtinId="8" hidden="1"/>
    <cellStyle name="Hyperlink" xfId="16051" builtinId="8" hidden="1"/>
    <cellStyle name="Hyperlink" xfId="16053" builtinId="8" hidden="1"/>
    <cellStyle name="Hyperlink" xfId="16055" builtinId="8" hidden="1"/>
    <cellStyle name="Hyperlink" xfId="16057" builtinId="8" hidden="1"/>
    <cellStyle name="Hyperlink" xfId="16059" builtinId="8" hidden="1"/>
    <cellStyle name="Hyperlink" xfId="16061" builtinId="8" hidden="1"/>
    <cellStyle name="Hyperlink" xfId="16063" builtinId="8" hidden="1"/>
    <cellStyle name="Hyperlink" xfId="16065" builtinId="8" hidden="1"/>
    <cellStyle name="Hyperlink" xfId="16067" builtinId="8" hidden="1"/>
    <cellStyle name="Hyperlink" xfId="16069" builtinId="8" hidden="1"/>
    <cellStyle name="Hyperlink" xfId="16071" builtinId="8" hidden="1"/>
    <cellStyle name="Hyperlink" xfId="16073" builtinId="8" hidden="1"/>
    <cellStyle name="Hyperlink" xfId="16075" builtinId="8" hidden="1"/>
    <cellStyle name="Hyperlink" xfId="16077" builtinId="8" hidden="1"/>
    <cellStyle name="Hyperlink" xfId="16079" builtinId="8" hidden="1"/>
    <cellStyle name="Hyperlink" xfId="16081" builtinId="8" hidden="1"/>
    <cellStyle name="Hyperlink" xfId="16083" builtinId="8" hidden="1"/>
    <cellStyle name="Hyperlink" xfId="16085" builtinId="8" hidden="1"/>
    <cellStyle name="Hyperlink" xfId="16087" builtinId="8" hidden="1"/>
    <cellStyle name="Hyperlink" xfId="16089" builtinId="8" hidden="1"/>
    <cellStyle name="Hyperlink" xfId="16091" builtinId="8" hidden="1"/>
    <cellStyle name="Hyperlink" xfId="16093" builtinId="8" hidden="1"/>
    <cellStyle name="Hyperlink" xfId="16095" builtinId="8" hidden="1"/>
    <cellStyle name="Hyperlink" xfId="16097" builtinId="8" hidden="1"/>
    <cellStyle name="Hyperlink" xfId="16099" builtinId="8" hidden="1"/>
    <cellStyle name="Hyperlink" xfId="16101" builtinId="8" hidden="1"/>
    <cellStyle name="Hyperlink" xfId="16103" builtinId="8" hidden="1"/>
    <cellStyle name="Hyperlink" xfId="16105" builtinId="8" hidden="1"/>
    <cellStyle name="Hyperlink" xfId="16107" builtinId="8" hidden="1"/>
    <cellStyle name="Hyperlink" xfId="16109" builtinId="8" hidden="1"/>
    <cellStyle name="Hyperlink" xfId="16111" builtinId="8" hidden="1"/>
    <cellStyle name="Hyperlink" xfId="16113" builtinId="8" hidden="1"/>
    <cellStyle name="Hyperlink" xfId="16115" builtinId="8" hidden="1"/>
    <cellStyle name="Hyperlink" xfId="16117" builtinId="8" hidden="1"/>
    <cellStyle name="Hyperlink" xfId="16119" builtinId="8" hidden="1"/>
    <cellStyle name="Hyperlink" xfId="16121" builtinId="8" hidden="1"/>
    <cellStyle name="Hyperlink" xfId="16123" builtinId="8" hidden="1"/>
    <cellStyle name="Hyperlink" xfId="16125" builtinId="8" hidden="1"/>
    <cellStyle name="Hyperlink" xfId="16127" builtinId="8" hidden="1"/>
    <cellStyle name="Hyperlink" xfId="16129" builtinId="8" hidden="1"/>
    <cellStyle name="Hyperlink" xfId="16131" builtinId="8" hidden="1"/>
    <cellStyle name="Hyperlink" xfId="16133" builtinId="8" hidden="1"/>
    <cellStyle name="Hyperlink" xfId="16135" builtinId="8" hidden="1"/>
    <cellStyle name="Hyperlink" xfId="16137" builtinId="8" hidden="1"/>
    <cellStyle name="Hyperlink" xfId="16139" builtinId="8" hidden="1"/>
    <cellStyle name="Hyperlink" xfId="16141" builtinId="8" hidden="1"/>
    <cellStyle name="Hyperlink" xfId="16143" builtinId="8" hidden="1"/>
    <cellStyle name="Hyperlink" xfId="16145" builtinId="8" hidden="1"/>
    <cellStyle name="Hyperlink" xfId="16147" builtinId="8" hidden="1"/>
    <cellStyle name="Hyperlink" xfId="16149" builtinId="8" hidden="1"/>
    <cellStyle name="Hyperlink" xfId="16151" builtinId="8" hidden="1"/>
    <cellStyle name="Hyperlink" xfId="16153" builtinId="8" hidden="1"/>
    <cellStyle name="Hyperlink" xfId="16155" builtinId="8" hidden="1"/>
    <cellStyle name="Hyperlink" xfId="16157" builtinId="8" hidden="1"/>
    <cellStyle name="Hyperlink" xfId="16159" builtinId="8" hidden="1"/>
    <cellStyle name="Hyperlink" xfId="16161" builtinId="8" hidden="1"/>
    <cellStyle name="Hyperlink" xfId="16163" builtinId="8" hidden="1"/>
    <cellStyle name="Hyperlink" xfId="16165" builtinId="8" hidden="1"/>
    <cellStyle name="Hyperlink" xfId="16167" builtinId="8" hidden="1"/>
    <cellStyle name="Hyperlink" xfId="16169" builtinId="8" hidden="1"/>
    <cellStyle name="Hyperlink" xfId="16171" builtinId="8" hidden="1"/>
    <cellStyle name="Hyperlink" xfId="16173" builtinId="8" hidden="1"/>
    <cellStyle name="Hyperlink" xfId="16175" builtinId="8" hidden="1"/>
    <cellStyle name="Hyperlink" xfId="16177" builtinId="8" hidden="1"/>
    <cellStyle name="Hyperlink" xfId="16179" builtinId="8" hidden="1"/>
    <cellStyle name="Hyperlink" xfId="16181" builtinId="8" hidden="1"/>
    <cellStyle name="Hyperlink" xfId="16183" builtinId="8" hidden="1"/>
    <cellStyle name="Hyperlink" xfId="16185" builtinId="8" hidden="1"/>
    <cellStyle name="Hyperlink" xfId="16187" builtinId="8" hidden="1"/>
    <cellStyle name="Hyperlink" xfId="16189" builtinId="8" hidden="1"/>
    <cellStyle name="Hyperlink" xfId="16191" builtinId="8" hidden="1"/>
    <cellStyle name="Hyperlink" xfId="16193" builtinId="8" hidden="1"/>
    <cellStyle name="Hyperlink" xfId="16195" builtinId="8" hidden="1"/>
    <cellStyle name="Hyperlink" xfId="16197" builtinId="8" hidden="1"/>
    <cellStyle name="Hyperlink" xfId="16199" builtinId="8" hidden="1"/>
    <cellStyle name="Hyperlink" xfId="16201" builtinId="8" hidden="1"/>
    <cellStyle name="Hyperlink" xfId="16203" builtinId="8" hidden="1"/>
    <cellStyle name="Hyperlink" xfId="16205" builtinId="8" hidden="1"/>
    <cellStyle name="Hyperlink" xfId="16207" builtinId="8" hidden="1"/>
    <cellStyle name="Hyperlink" xfId="16209" builtinId="8" hidden="1"/>
    <cellStyle name="Hyperlink" xfId="16211" builtinId="8" hidden="1"/>
    <cellStyle name="Hyperlink" xfId="16213" builtinId="8" hidden="1"/>
    <cellStyle name="Hyperlink" xfId="16215" builtinId="8" hidden="1"/>
    <cellStyle name="Hyperlink" xfId="16217" builtinId="8" hidden="1"/>
    <cellStyle name="Hyperlink" xfId="16219" builtinId="8" hidden="1"/>
    <cellStyle name="Hyperlink" xfId="16221" builtinId="8" hidden="1"/>
    <cellStyle name="Hyperlink" xfId="16223" builtinId="8" hidden="1"/>
    <cellStyle name="Hyperlink" xfId="16225" builtinId="8" hidden="1"/>
    <cellStyle name="Hyperlink" xfId="16227" builtinId="8" hidden="1"/>
    <cellStyle name="Hyperlink" xfId="16229" builtinId="8" hidden="1"/>
    <cellStyle name="Hyperlink" xfId="16231" builtinId="8" hidden="1"/>
    <cellStyle name="Hyperlink" xfId="16233" builtinId="8" hidden="1"/>
    <cellStyle name="Hyperlink" xfId="16235" builtinId="8" hidden="1"/>
    <cellStyle name="Hyperlink" xfId="16237" builtinId="8" hidden="1"/>
    <cellStyle name="Hyperlink" xfId="16239" builtinId="8" hidden="1"/>
    <cellStyle name="Hyperlink" xfId="16241" builtinId="8" hidden="1"/>
    <cellStyle name="Hyperlink" xfId="16243" builtinId="8" hidden="1"/>
    <cellStyle name="Hyperlink" xfId="16245" builtinId="8" hidden="1"/>
    <cellStyle name="Hyperlink" xfId="16247" builtinId="8" hidden="1"/>
    <cellStyle name="Hyperlink" xfId="16249" builtinId="8" hidden="1"/>
    <cellStyle name="Hyperlink" xfId="16251" builtinId="8" hidden="1"/>
    <cellStyle name="Hyperlink" xfId="16253" builtinId="8" hidden="1"/>
    <cellStyle name="Hyperlink" xfId="16255" builtinId="8" hidden="1"/>
    <cellStyle name="Hyperlink" xfId="16257" builtinId="8" hidden="1"/>
    <cellStyle name="Hyperlink" xfId="16259" builtinId="8" hidden="1"/>
    <cellStyle name="Hyperlink" xfId="16261" builtinId="8" hidden="1"/>
    <cellStyle name="Hyperlink" xfId="16263" builtinId="8" hidden="1"/>
    <cellStyle name="Hyperlink" xfId="16265" builtinId="8" hidden="1"/>
    <cellStyle name="Hyperlink" xfId="16267" builtinId="8" hidden="1"/>
    <cellStyle name="Hyperlink" xfId="16269" builtinId="8" hidden="1"/>
    <cellStyle name="Hyperlink" xfId="16271" builtinId="8" hidden="1"/>
    <cellStyle name="Hyperlink" xfId="16273" builtinId="8" hidden="1"/>
    <cellStyle name="Hyperlink" xfId="16275" builtinId="8" hidden="1"/>
    <cellStyle name="Hyperlink" xfId="16277" builtinId="8" hidden="1"/>
    <cellStyle name="Hyperlink" xfId="16279" builtinId="8" hidden="1"/>
    <cellStyle name="Hyperlink" xfId="16281" builtinId="8" hidden="1"/>
    <cellStyle name="Hyperlink" xfId="16283" builtinId="8" hidden="1"/>
    <cellStyle name="Hyperlink" xfId="16285" builtinId="8" hidden="1"/>
    <cellStyle name="Hyperlink" xfId="16287" builtinId="8" hidden="1"/>
    <cellStyle name="Hyperlink" xfId="16289" builtinId="8" hidden="1"/>
    <cellStyle name="Hyperlink" xfId="16291" builtinId="8" hidden="1"/>
    <cellStyle name="Hyperlink" xfId="16293" builtinId="8" hidden="1"/>
    <cellStyle name="Hyperlink" xfId="16295" builtinId="8" hidden="1"/>
    <cellStyle name="Hyperlink" xfId="16297" builtinId="8" hidden="1"/>
    <cellStyle name="Hyperlink" xfId="16299" builtinId="8" hidden="1"/>
    <cellStyle name="Hyperlink" xfId="16301" builtinId="8" hidden="1"/>
    <cellStyle name="Hyperlink" xfId="16303" builtinId="8" hidden="1"/>
    <cellStyle name="Hyperlink" xfId="16305" builtinId="8" hidden="1"/>
    <cellStyle name="Hyperlink" xfId="16307" builtinId="8" hidden="1"/>
    <cellStyle name="Hyperlink" xfId="16309" builtinId="8" hidden="1"/>
    <cellStyle name="Hyperlink" xfId="16311" builtinId="8" hidden="1"/>
    <cellStyle name="Hyperlink" xfId="16313" builtinId="8" hidden="1"/>
    <cellStyle name="Hyperlink" xfId="16315" builtinId="8" hidden="1"/>
    <cellStyle name="Hyperlink" xfId="16317" builtinId="8" hidden="1"/>
    <cellStyle name="Hyperlink" xfId="16319" builtinId="8" hidden="1"/>
    <cellStyle name="Hyperlink" xfId="16321" builtinId="8" hidden="1"/>
    <cellStyle name="Hyperlink" xfId="16323" builtinId="8" hidden="1"/>
    <cellStyle name="Hyperlink" xfId="16325" builtinId="8" hidden="1"/>
    <cellStyle name="Hyperlink" xfId="16327" builtinId="8" hidden="1"/>
    <cellStyle name="Hyperlink" xfId="16329" builtinId="8" hidden="1"/>
    <cellStyle name="Hyperlink" xfId="16331" builtinId="8" hidden="1"/>
    <cellStyle name="Hyperlink" xfId="16333" builtinId="8" hidden="1"/>
    <cellStyle name="Hyperlink" xfId="16335" builtinId="8" hidden="1"/>
    <cellStyle name="Hyperlink" xfId="16337" builtinId="8" hidden="1"/>
    <cellStyle name="Hyperlink" xfId="16339" builtinId="8" hidden="1"/>
    <cellStyle name="Hyperlink" xfId="16341" builtinId="8" hidden="1"/>
    <cellStyle name="Hyperlink" xfId="16343" builtinId="8" hidden="1"/>
    <cellStyle name="Hyperlink" xfId="16345" builtinId="8" hidden="1"/>
    <cellStyle name="Hyperlink" xfId="16347" builtinId="8" hidden="1"/>
    <cellStyle name="Hyperlink" xfId="16349" builtinId="8" hidden="1"/>
    <cellStyle name="Hyperlink" xfId="16351" builtinId="8" hidden="1"/>
    <cellStyle name="Hyperlink" xfId="16353" builtinId="8" hidden="1"/>
    <cellStyle name="Hyperlink" xfId="16355" builtinId="8" hidden="1"/>
    <cellStyle name="Hyperlink" xfId="16357" builtinId="8" hidden="1"/>
    <cellStyle name="Hyperlink" xfId="16359" builtinId="8" hidden="1"/>
    <cellStyle name="Hyperlink" xfId="16361" builtinId="8" hidden="1"/>
    <cellStyle name="Hyperlink" xfId="16363" builtinId="8" hidden="1"/>
    <cellStyle name="Hyperlink" xfId="16365" builtinId="8" hidden="1"/>
    <cellStyle name="Hyperlink" xfId="16367" builtinId="8" hidden="1"/>
    <cellStyle name="Hyperlink" xfId="16369" builtinId="8" hidden="1"/>
    <cellStyle name="Hyperlink" xfId="16371" builtinId="8" hidden="1"/>
    <cellStyle name="Hyperlink" xfId="16373" builtinId="8" hidden="1"/>
    <cellStyle name="Hyperlink" xfId="16375" builtinId="8" hidden="1"/>
    <cellStyle name="Hyperlink" xfId="16377" builtinId="8" hidden="1"/>
    <cellStyle name="Hyperlink" xfId="16379" builtinId="8" hidden="1"/>
    <cellStyle name="Hyperlink" xfId="16381" builtinId="8" hidden="1"/>
    <cellStyle name="Hyperlink" xfId="16383" builtinId="8" hidden="1"/>
    <cellStyle name="Hyperlink" xfId="16385" builtinId="8" hidden="1"/>
    <cellStyle name="Hyperlink" xfId="16387" builtinId="8" hidden="1"/>
    <cellStyle name="Hyperlink" xfId="16389" builtinId="8" hidden="1"/>
    <cellStyle name="Hyperlink" xfId="16391" builtinId="8" hidden="1"/>
    <cellStyle name="Hyperlink" xfId="16393" builtinId="8" hidden="1"/>
    <cellStyle name="Hyperlink" xfId="16395" builtinId="8" hidden="1"/>
    <cellStyle name="Hyperlink" xfId="16397" builtinId="8" hidden="1"/>
    <cellStyle name="Hyperlink" xfId="16399" builtinId="8" hidden="1"/>
    <cellStyle name="Hyperlink" xfId="16401" builtinId="8" hidden="1"/>
    <cellStyle name="Hyperlink" xfId="16403" builtinId="8" hidden="1"/>
    <cellStyle name="Hyperlink" xfId="16405" builtinId="8" hidden="1"/>
    <cellStyle name="Hyperlink" xfId="16407" builtinId="8" hidden="1"/>
    <cellStyle name="Hyperlink" xfId="16409" builtinId="8" hidden="1"/>
    <cellStyle name="Hyperlink" xfId="16411" builtinId="8" hidden="1"/>
    <cellStyle name="Hyperlink" xfId="16413" builtinId="8" hidden="1"/>
    <cellStyle name="Hyperlink" xfId="16415" builtinId="8" hidden="1"/>
    <cellStyle name="Hyperlink" xfId="16417" builtinId="8" hidden="1"/>
    <cellStyle name="Hyperlink" xfId="16419" builtinId="8" hidden="1"/>
    <cellStyle name="Hyperlink" xfId="16421" builtinId="8" hidden="1"/>
    <cellStyle name="Hyperlink" xfId="16423" builtinId="8" hidden="1"/>
    <cellStyle name="Hyperlink" xfId="16425" builtinId="8" hidden="1"/>
    <cellStyle name="Hyperlink" xfId="16427" builtinId="8" hidden="1"/>
    <cellStyle name="Hyperlink" xfId="16429" builtinId="8" hidden="1"/>
    <cellStyle name="Hyperlink" xfId="16431" builtinId="8" hidden="1"/>
    <cellStyle name="Hyperlink" xfId="16433" builtinId="8" hidden="1"/>
    <cellStyle name="Hyperlink" xfId="16435" builtinId="8" hidden="1"/>
    <cellStyle name="Hyperlink" xfId="16437" builtinId="8" hidden="1"/>
    <cellStyle name="Hyperlink" xfId="16439" builtinId="8" hidden="1"/>
    <cellStyle name="Hyperlink" xfId="16441" builtinId="8" hidden="1"/>
    <cellStyle name="Hyperlink" xfId="16443" builtinId="8" hidden="1"/>
    <cellStyle name="Hyperlink" xfId="16445" builtinId="8" hidden="1"/>
    <cellStyle name="Hyperlink" xfId="16447" builtinId="8" hidden="1"/>
    <cellStyle name="Hyperlink" xfId="16449" builtinId="8" hidden="1"/>
    <cellStyle name="Hyperlink" xfId="16451" builtinId="8" hidden="1"/>
    <cellStyle name="Hyperlink" xfId="16453" builtinId="8" hidden="1"/>
    <cellStyle name="Hyperlink" xfId="16455" builtinId="8" hidden="1"/>
    <cellStyle name="Hyperlink" xfId="16457" builtinId="8" hidden="1"/>
    <cellStyle name="Hyperlink" xfId="16459" builtinId="8" hidden="1"/>
    <cellStyle name="Hyperlink" xfId="16461" builtinId="8" hidden="1"/>
    <cellStyle name="Hyperlink" xfId="16463" builtinId="8" hidden="1"/>
    <cellStyle name="Hyperlink" xfId="16465" builtinId="8" hidden="1"/>
    <cellStyle name="Hyperlink" xfId="16467" builtinId="8" hidden="1"/>
    <cellStyle name="Hyperlink" xfId="16469" builtinId="8" hidden="1"/>
    <cellStyle name="Hyperlink" xfId="16471" builtinId="8" hidden="1"/>
    <cellStyle name="Hyperlink" xfId="16473" builtinId="8" hidden="1"/>
    <cellStyle name="Hyperlink" xfId="16475" builtinId="8" hidden="1"/>
    <cellStyle name="Hyperlink" xfId="16477" builtinId="8" hidden="1"/>
    <cellStyle name="Hyperlink" xfId="16479" builtinId="8" hidden="1"/>
    <cellStyle name="Hyperlink" xfId="16481" builtinId="8" hidden="1"/>
    <cellStyle name="Hyperlink" xfId="16483" builtinId="8" hidden="1"/>
    <cellStyle name="Hyperlink" xfId="16485" builtinId="8" hidden="1"/>
    <cellStyle name="Hyperlink" xfId="16487" builtinId="8" hidden="1"/>
    <cellStyle name="Hyperlink" xfId="16489" builtinId="8" hidden="1"/>
    <cellStyle name="Hyperlink" xfId="16491" builtinId="8" hidden="1"/>
    <cellStyle name="Hyperlink" xfId="16493" builtinId="8" hidden="1"/>
    <cellStyle name="Hyperlink" xfId="16495" builtinId="8" hidden="1"/>
    <cellStyle name="Hyperlink" xfId="16497" builtinId="8" hidden="1"/>
    <cellStyle name="Hyperlink" xfId="16499" builtinId="8" hidden="1"/>
    <cellStyle name="Hyperlink" xfId="16501" builtinId="8" hidden="1"/>
    <cellStyle name="Hyperlink" xfId="16503" builtinId="8" hidden="1"/>
    <cellStyle name="Hyperlink" xfId="16505" builtinId="8" hidden="1"/>
    <cellStyle name="Hyperlink" xfId="16507" builtinId="8" hidden="1"/>
    <cellStyle name="Hyperlink" xfId="16509" builtinId="8" hidden="1"/>
    <cellStyle name="Hyperlink" xfId="16511" builtinId="8" hidden="1"/>
    <cellStyle name="Hyperlink" xfId="16513" builtinId="8" hidden="1"/>
    <cellStyle name="Hyperlink" xfId="16515" builtinId="8" hidden="1"/>
    <cellStyle name="Hyperlink" xfId="16517" builtinId="8" hidden="1"/>
    <cellStyle name="Hyperlink" xfId="16519" builtinId="8" hidden="1"/>
    <cellStyle name="Hyperlink" xfId="16521" builtinId="8" hidden="1"/>
    <cellStyle name="Hyperlink" xfId="16523" builtinId="8" hidden="1"/>
    <cellStyle name="Hyperlink" xfId="16525" builtinId="8" hidden="1"/>
    <cellStyle name="Hyperlink" xfId="16527" builtinId="8" hidden="1"/>
    <cellStyle name="Hyperlink" xfId="16529" builtinId="8" hidden="1"/>
    <cellStyle name="Hyperlink" xfId="16531" builtinId="8" hidden="1"/>
    <cellStyle name="Hyperlink" xfId="16533" builtinId="8" hidden="1"/>
    <cellStyle name="Hyperlink" xfId="16535" builtinId="8" hidden="1"/>
    <cellStyle name="Hyperlink" xfId="16537" builtinId="8" hidden="1"/>
    <cellStyle name="Hyperlink" xfId="16539" builtinId="8" hidden="1"/>
    <cellStyle name="Hyperlink" xfId="16541" builtinId="8" hidden="1"/>
    <cellStyle name="Hyperlink" xfId="16543" builtinId="8" hidden="1"/>
    <cellStyle name="Hyperlink" xfId="16545" builtinId="8" hidden="1"/>
    <cellStyle name="Hyperlink" xfId="16547" builtinId="8" hidden="1"/>
    <cellStyle name="Hyperlink" xfId="16549" builtinId="8" hidden="1"/>
    <cellStyle name="Hyperlink" xfId="16551" builtinId="8" hidden="1"/>
    <cellStyle name="Hyperlink" xfId="16553" builtinId="8" hidden="1"/>
    <cellStyle name="Hyperlink" xfId="16555" builtinId="8" hidden="1"/>
    <cellStyle name="Hyperlink" xfId="16557" builtinId="8" hidden="1"/>
    <cellStyle name="Hyperlink" xfId="16559" builtinId="8" hidden="1"/>
    <cellStyle name="Hyperlink" xfId="16561" builtinId="8" hidden="1"/>
    <cellStyle name="Hyperlink" xfId="16563" builtinId="8" hidden="1"/>
    <cellStyle name="Hyperlink" xfId="16565" builtinId="8" hidden="1"/>
    <cellStyle name="Hyperlink" xfId="16567" builtinId="8" hidden="1"/>
    <cellStyle name="Hyperlink" xfId="16569" builtinId="8" hidden="1"/>
    <cellStyle name="Hyperlink" xfId="16571" builtinId="8" hidden="1"/>
    <cellStyle name="Hyperlink" xfId="16573" builtinId="8" hidden="1"/>
    <cellStyle name="Hyperlink" xfId="16575" builtinId="8" hidden="1"/>
    <cellStyle name="Hyperlink" xfId="16577" builtinId="8" hidden="1"/>
    <cellStyle name="Hyperlink" xfId="16579" builtinId="8" hidden="1"/>
    <cellStyle name="Hyperlink" xfId="16581" builtinId="8" hidden="1"/>
    <cellStyle name="Hyperlink" xfId="16583" builtinId="8" hidden="1"/>
    <cellStyle name="Hyperlink" xfId="16585" builtinId="8" hidden="1"/>
    <cellStyle name="Hyperlink" xfId="16587" builtinId="8" hidden="1"/>
    <cellStyle name="Hyperlink" xfId="16589" builtinId="8" hidden="1"/>
    <cellStyle name="Hyperlink" xfId="16591" builtinId="8" hidden="1"/>
    <cellStyle name="Hyperlink" xfId="16593" builtinId="8" hidden="1"/>
    <cellStyle name="Hyperlink" xfId="16595" builtinId="8" hidden="1"/>
    <cellStyle name="Hyperlink" xfId="16597" builtinId="8" hidden="1"/>
    <cellStyle name="Hyperlink" xfId="16599" builtinId="8" hidden="1"/>
    <cellStyle name="Hyperlink" xfId="16601" builtinId="8" hidden="1"/>
    <cellStyle name="Hyperlink" xfId="16603" builtinId="8" hidden="1"/>
    <cellStyle name="Hyperlink" xfId="16605" builtinId="8" hidden="1"/>
    <cellStyle name="Hyperlink" xfId="16607" builtinId="8" hidden="1"/>
    <cellStyle name="Hyperlink" xfId="16609" builtinId="8" hidden="1"/>
    <cellStyle name="Hyperlink" xfId="16611" builtinId="8" hidden="1"/>
    <cellStyle name="Hyperlink" xfId="16613" builtinId="8" hidden="1"/>
    <cellStyle name="Hyperlink" xfId="16615" builtinId="8" hidden="1"/>
    <cellStyle name="Hyperlink" xfId="16617" builtinId="8" hidden="1"/>
    <cellStyle name="Hyperlink" xfId="16619" builtinId="8" hidden="1"/>
    <cellStyle name="Hyperlink" xfId="16621" builtinId="8" hidden="1"/>
    <cellStyle name="Hyperlink" xfId="16623" builtinId="8" hidden="1"/>
    <cellStyle name="Hyperlink" xfId="16625" builtinId="8" hidden="1"/>
    <cellStyle name="Hyperlink" xfId="16627" builtinId="8" hidden="1"/>
    <cellStyle name="Hyperlink" xfId="16629" builtinId="8" hidden="1"/>
    <cellStyle name="Hyperlink" xfId="16631" builtinId="8" hidden="1"/>
    <cellStyle name="Hyperlink" xfId="16633" builtinId="8" hidden="1"/>
    <cellStyle name="Hyperlink" xfId="16635" builtinId="8" hidden="1"/>
    <cellStyle name="Hyperlink" xfId="16637" builtinId="8" hidden="1"/>
    <cellStyle name="Hyperlink" xfId="16639" builtinId="8" hidden="1"/>
    <cellStyle name="Hyperlink" xfId="16641" builtinId="8" hidden="1"/>
    <cellStyle name="Hyperlink" xfId="16643" builtinId="8" hidden="1"/>
    <cellStyle name="Hyperlink" xfId="16645" builtinId="8" hidden="1"/>
    <cellStyle name="Hyperlink" xfId="16647" builtinId="8" hidden="1"/>
    <cellStyle name="Hyperlink" xfId="16649" builtinId="8" hidden="1"/>
    <cellStyle name="Hyperlink" xfId="16651" builtinId="8" hidden="1"/>
    <cellStyle name="Hyperlink" xfId="16653" builtinId="8" hidden="1"/>
    <cellStyle name="Hyperlink" xfId="16655" builtinId="8" hidden="1"/>
    <cellStyle name="Hyperlink" xfId="16657" builtinId="8" hidden="1"/>
    <cellStyle name="Hyperlink" xfId="16659" builtinId="8" hidden="1"/>
    <cellStyle name="Hyperlink" xfId="16661" builtinId="8" hidden="1"/>
    <cellStyle name="Hyperlink" xfId="16663" builtinId="8" hidden="1"/>
    <cellStyle name="Hyperlink" xfId="16665" builtinId="8" hidden="1"/>
    <cellStyle name="Hyperlink" xfId="16667" builtinId="8" hidden="1"/>
    <cellStyle name="Hyperlink" xfId="16669" builtinId="8" hidden="1"/>
    <cellStyle name="Hyperlink" xfId="16671" builtinId="8" hidden="1"/>
    <cellStyle name="Hyperlink" xfId="16673" builtinId="8" hidden="1"/>
    <cellStyle name="Hyperlink" xfId="16675" builtinId="8" hidden="1"/>
    <cellStyle name="Hyperlink" xfId="16677" builtinId="8" hidden="1"/>
    <cellStyle name="Hyperlink" xfId="16679" builtinId="8" hidden="1"/>
    <cellStyle name="Hyperlink" xfId="16681" builtinId="8" hidden="1"/>
    <cellStyle name="Hyperlink" xfId="16683" builtinId="8" hidden="1"/>
    <cellStyle name="Hyperlink" xfId="16685" builtinId="8" hidden="1"/>
    <cellStyle name="Hyperlink" xfId="16687" builtinId="8" hidden="1"/>
    <cellStyle name="Hyperlink" xfId="16689" builtinId="8" hidden="1"/>
    <cellStyle name="Hyperlink" xfId="16691" builtinId="8" hidden="1"/>
    <cellStyle name="Hyperlink" xfId="16693" builtinId="8" hidden="1"/>
    <cellStyle name="Hyperlink" xfId="16695" builtinId="8" hidden="1"/>
    <cellStyle name="Hyperlink" xfId="16697" builtinId="8" hidden="1"/>
    <cellStyle name="Hyperlink" xfId="16699" builtinId="8" hidden="1"/>
    <cellStyle name="Hyperlink" xfId="16701" builtinId="8" hidden="1"/>
    <cellStyle name="Hyperlink" xfId="16703" builtinId="8" hidden="1"/>
    <cellStyle name="Hyperlink" xfId="16705" builtinId="8" hidden="1"/>
    <cellStyle name="Hyperlink" xfId="16707" builtinId="8" hidden="1"/>
    <cellStyle name="Hyperlink" xfId="16709" builtinId="8" hidden="1"/>
    <cellStyle name="Hyperlink" xfId="16711" builtinId="8" hidden="1"/>
    <cellStyle name="Hyperlink" xfId="16713" builtinId="8" hidden="1"/>
    <cellStyle name="Hyperlink" xfId="16715" builtinId="8" hidden="1"/>
    <cellStyle name="Hyperlink" xfId="16717" builtinId="8" hidden="1"/>
    <cellStyle name="Hyperlink" xfId="16719" builtinId="8" hidden="1"/>
    <cellStyle name="Hyperlink" xfId="16721" builtinId="8" hidden="1"/>
    <cellStyle name="Hyperlink" xfId="16723" builtinId="8" hidden="1"/>
    <cellStyle name="Hyperlink" xfId="16725" builtinId="8" hidden="1"/>
    <cellStyle name="Hyperlink" xfId="16727" builtinId="8" hidden="1"/>
    <cellStyle name="Hyperlink" xfId="16729" builtinId="8" hidden="1"/>
    <cellStyle name="Hyperlink" xfId="16731" builtinId="8" hidden="1"/>
    <cellStyle name="Hyperlink" xfId="16733" builtinId="8" hidden="1"/>
    <cellStyle name="Hyperlink" xfId="16735" builtinId="8" hidden="1"/>
    <cellStyle name="Hyperlink" xfId="16737" builtinId="8" hidden="1"/>
    <cellStyle name="Hyperlink" xfId="16739" builtinId="8" hidden="1"/>
    <cellStyle name="Hyperlink" xfId="16741" builtinId="8" hidden="1"/>
    <cellStyle name="Hyperlink" xfId="16743" builtinId="8" hidden="1"/>
    <cellStyle name="Hyperlink" xfId="16745" builtinId="8" hidden="1"/>
    <cellStyle name="Hyperlink" xfId="16747" builtinId="8" hidden="1"/>
    <cellStyle name="Hyperlink" xfId="16749" builtinId="8" hidden="1"/>
    <cellStyle name="Hyperlink" xfId="16751" builtinId="8" hidden="1"/>
    <cellStyle name="Hyperlink" xfId="16753" builtinId="8" hidden="1"/>
    <cellStyle name="Hyperlink" xfId="16755" builtinId="8" hidden="1"/>
    <cellStyle name="Hyperlink" xfId="16757" builtinId="8" hidden="1"/>
    <cellStyle name="Hyperlink" xfId="16759" builtinId="8" hidden="1"/>
    <cellStyle name="Hyperlink" xfId="16761" builtinId="8" hidden="1"/>
    <cellStyle name="Hyperlink" xfId="16763" builtinId="8" hidden="1"/>
    <cellStyle name="Hyperlink" xfId="16765" builtinId="8" hidden="1"/>
    <cellStyle name="Hyperlink" xfId="16767" builtinId="8" hidden="1"/>
    <cellStyle name="Hyperlink" xfId="16769" builtinId="8" hidden="1"/>
    <cellStyle name="Hyperlink" xfId="16771" builtinId="8" hidden="1"/>
    <cellStyle name="Hyperlink" xfId="16773" builtinId="8" hidden="1"/>
    <cellStyle name="Hyperlink" xfId="16775" builtinId="8" hidden="1"/>
    <cellStyle name="Hyperlink" xfId="16777" builtinId="8" hidden="1"/>
    <cellStyle name="Hyperlink" xfId="16779" builtinId="8" hidden="1"/>
    <cellStyle name="Hyperlink" xfId="16781" builtinId="8" hidden="1"/>
    <cellStyle name="Hyperlink" xfId="16783" builtinId="8" hidden="1"/>
    <cellStyle name="Hyperlink" xfId="16785" builtinId="8" hidden="1"/>
    <cellStyle name="Hyperlink" xfId="16787" builtinId="8" hidden="1"/>
    <cellStyle name="Hyperlink" xfId="16789" builtinId="8" hidden="1"/>
    <cellStyle name="Hyperlink" xfId="16791" builtinId="8" hidden="1"/>
    <cellStyle name="Hyperlink" xfId="16793" builtinId="8" hidden="1"/>
    <cellStyle name="Hyperlink" xfId="16795" builtinId="8" hidden="1"/>
    <cellStyle name="Hyperlink" xfId="16797" builtinId="8" hidden="1"/>
    <cellStyle name="Hyperlink" xfId="16799" builtinId="8" hidden="1"/>
    <cellStyle name="Hyperlink" xfId="16801" builtinId="8" hidden="1"/>
    <cellStyle name="Hyperlink" xfId="16803" builtinId="8" hidden="1"/>
    <cellStyle name="Hyperlink" xfId="16805" builtinId="8" hidden="1"/>
    <cellStyle name="Hyperlink" xfId="16807" builtinId="8" hidden="1"/>
    <cellStyle name="Hyperlink" xfId="16809" builtinId="8" hidden="1"/>
    <cellStyle name="Hyperlink" xfId="16811" builtinId="8" hidden="1"/>
    <cellStyle name="Hyperlink" xfId="16813" builtinId="8" hidden="1"/>
    <cellStyle name="Hyperlink" xfId="16815" builtinId="8" hidden="1"/>
    <cellStyle name="Hyperlink" xfId="16817" builtinId="8" hidden="1"/>
    <cellStyle name="Hyperlink" xfId="16819" builtinId="8" hidden="1"/>
    <cellStyle name="Hyperlink" xfId="16821" builtinId="8" hidden="1"/>
    <cellStyle name="Hyperlink" xfId="16823" builtinId="8" hidden="1"/>
    <cellStyle name="Hyperlink" xfId="16825" builtinId="8" hidden="1"/>
    <cellStyle name="Hyperlink" xfId="16827" builtinId="8" hidden="1"/>
    <cellStyle name="Hyperlink" xfId="16829" builtinId="8" hidden="1"/>
    <cellStyle name="Hyperlink" xfId="16831" builtinId="8" hidden="1"/>
    <cellStyle name="Hyperlink" xfId="16833" builtinId="8" hidden="1"/>
    <cellStyle name="Hyperlink" xfId="16835" builtinId="8" hidden="1"/>
    <cellStyle name="Hyperlink" xfId="16837" builtinId="8" hidden="1"/>
    <cellStyle name="Hyperlink" xfId="16839" builtinId="8" hidden="1"/>
    <cellStyle name="Hyperlink" xfId="16841" builtinId="8" hidden="1"/>
    <cellStyle name="Hyperlink" xfId="16843" builtinId="8" hidden="1"/>
    <cellStyle name="Hyperlink" xfId="16845" builtinId="8" hidden="1"/>
    <cellStyle name="Hyperlink" xfId="16847" builtinId="8" hidden="1"/>
    <cellStyle name="Hyperlink" xfId="16849" builtinId="8" hidden="1"/>
    <cellStyle name="Hyperlink" xfId="16851" builtinId="8" hidden="1"/>
    <cellStyle name="Hyperlink" xfId="16853" builtinId="8" hidden="1"/>
    <cellStyle name="Hyperlink" xfId="16855" builtinId="8" hidden="1"/>
    <cellStyle name="Hyperlink" xfId="16857" builtinId="8" hidden="1"/>
    <cellStyle name="Hyperlink" xfId="16859" builtinId="8" hidden="1"/>
    <cellStyle name="Hyperlink" xfId="16861" builtinId="8" hidden="1"/>
    <cellStyle name="Hyperlink" xfId="16863" builtinId="8" hidden="1"/>
    <cellStyle name="Hyperlink" xfId="16865" builtinId="8" hidden="1"/>
    <cellStyle name="Hyperlink" xfId="16867" builtinId="8" hidden="1"/>
    <cellStyle name="Hyperlink" xfId="16869" builtinId="8" hidden="1"/>
    <cellStyle name="Hyperlink" xfId="16871" builtinId="8" hidden="1"/>
    <cellStyle name="Hyperlink" xfId="16873" builtinId="8" hidden="1"/>
    <cellStyle name="Hyperlink" xfId="16875" builtinId="8" hidden="1"/>
    <cellStyle name="Hyperlink" xfId="16877" builtinId="8" hidden="1"/>
    <cellStyle name="Hyperlink" xfId="16879" builtinId="8" hidden="1"/>
    <cellStyle name="Hyperlink" xfId="16881" builtinId="8" hidden="1"/>
    <cellStyle name="Hyperlink" xfId="16883" builtinId="8" hidden="1"/>
    <cellStyle name="Hyperlink" xfId="16885" builtinId="8" hidden="1"/>
    <cellStyle name="Hyperlink" xfId="16887" builtinId="8" hidden="1"/>
    <cellStyle name="Hyperlink" xfId="16889" builtinId="8" hidden="1"/>
    <cellStyle name="Hyperlink" xfId="16891" builtinId="8" hidden="1"/>
    <cellStyle name="Hyperlink" xfId="16893" builtinId="8" hidden="1"/>
    <cellStyle name="Hyperlink" xfId="16895" builtinId="8" hidden="1"/>
    <cellStyle name="Hyperlink" xfId="16897" builtinId="8" hidden="1"/>
    <cellStyle name="Hyperlink" xfId="16899" builtinId="8" hidden="1"/>
    <cellStyle name="Hyperlink" xfId="16901" builtinId="8" hidden="1"/>
    <cellStyle name="Hyperlink" xfId="16903" builtinId="8" hidden="1"/>
    <cellStyle name="Hyperlink" xfId="16905" builtinId="8" hidden="1"/>
    <cellStyle name="Hyperlink" xfId="16907" builtinId="8" hidden="1"/>
    <cellStyle name="Hyperlink" xfId="16909" builtinId="8" hidden="1"/>
    <cellStyle name="Hyperlink" xfId="16911" builtinId="8" hidden="1"/>
    <cellStyle name="Hyperlink" xfId="16913" builtinId="8" hidden="1"/>
    <cellStyle name="Hyperlink" xfId="16915" builtinId="8" hidden="1"/>
    <cellStyle name="Hyperlink" xfId="16917" builtinId="8" hidden="1"/>
    <cellStyle name="Hyperlink" xfId="16919" builtinId="8" hidden="1"/>
    <cellStyle name="Hyperlink" xfId="16921" builtinId="8" hidden="1"/>
    <cellStyle name="Hyperlink" xfId="16923" builtinId="8" hidden="1"/>
    <cellStyle name="Hyperlink" xfId="16925" builtinId="8" hidden="1"/>
    <cellStyle name="Hyperlink" xfId="16927" builtinId="8" hidden="1"/>
    <cellStyle name="Hyperlink" xfId="16929" builtinId="8" hidden="1"/>
    <cellStyle name="Hyperlink" xfId="16931" builtinId="8" hidden="1"/>
    <cellStyle name="Hyperlink" xfId="16933" builtinId="8" hidden="1"/>
    <cellStyle name="Hyperlink" xfId="16935" builtinId="8" hidden="1"/>
    <cellStyle name="Hyperlink" xfId="16937" builtinId="8" hidden="1"/>
    <cellStyle name="Hyperlink" xfId="16939" builtinId="8" hidden="1"/>
    <cellStyle name="Hyperlink" xfId="16941" builtinId="8" hidden="1"/>
    <cellStyle name="Hyperlink" xfId="16943" builtinId="8" hidden="1"/>
    <cellStyle name="Hyperlink" xfId="16945" builtinId="8" hidden="1"/>
    <cellStyle name="Hyperlink" xfId="16947" builtinId="8" hidden="1"/>
    <cellStyle name="Hyperlink" xfId="16949" builtinId="8" hidden="1"/>
    <cellStyle name="Hyperlink" xfId="16951" builtinId="8" hidden="1"/>
    <cellStyle name="Hyperlink" xfId="16953" builtinId="8" hidden="1"/>
    <cellStyle name="Hyperlink" xfId="16955" builtinId="8" hidden="1"/>
    <cellStyle name="Hyperlink" xfId="16957" builtinId="8" hidden="1"/>
    <cellStyle name="Hyperlink" xfId="16959" builtinId="8" hidden="1"/>
    <cellStyle name="Hyperlink" xfId="16961" builtinId="8" hidden="1"/>
    <cellStyle name="Hyperlink" xfId="16963" builtinId="8" hidden="1"/>
    <cellStyle name="Hyperlink" xfId="16965" builtinId="8" hidden="1"/>
    <cellStyle name="Hyperlink" xfId="16967" builtinId="8" hidden="1"/>
    <cellStyle name="Hyperlink" xfId="16969" builtinId="8" hidden="1"/>
    <cellStyle name="Hyperlink" xfId="16971" builtinId="8" hidden="1"/>
    <cellStyle name="Hyperlink" xfId="16973" builtinId="8" hidden="1"/>
    <cellStyle name="Hyperlink" xfId="16975" builtinId="8" hidden="1"/>
    <cellStyle name="Hyperlink" xfId="16977" builtinId="8" hidden="1"/>
    <cellStyle name="Hyperlink" xfId="16979" builtinId="8" hidden="1"/>
    <cellStyle name="Hyperlink" xfId="16981" builtinId="8" hidden="1"/>
    <cellStyle name="Hyperlink" xfId="16983" builtinId="8" hidden="1"/>
    <cellStyle name="Hyperlink" xfId="16985" builtinId="8" hidden="1"/>
    <cellStyle name="Hyperlink" xfId="16987" builtinId="8" hidden="1"/>
    <cellStyle name="Hyperlink" xfId="16989" builtinId="8" hidden="1"/>
    <cellStyle name="Hyperlink" xfId="16991" builtinId="8" hidden="1"/>
    <cellStyle name="Hyperlink" xfId="16993" builtinId="8" hidden="1"/>
    <cellStyle name="Hyperlink" xfId="16995" builtinId="8" hidden="1"/>
    <cellStyle name="Hyperlink" xfId="16997" builtinId="8" hidden="1"/>
    <cellStyle name="Hyperlink" xfId="16999" builtinId="8" hidden="1"/>
    <cellStyle name="Hyperlink" xfId="17001" builtinId="8" hidden="1"/>
    <cellStyle name="Hyperlink" xfId="17003" builtinId="8" hidden="1"/>
    <cellStyle name="Hyperlink" xfId="17005" builtinId="8" hidden="1"/>
    <cellStyle name="Hyperlink" xfId="17007" builtinId="8" hidden="1"/>
    <cellStyle name="Hyperlink" xfId="17009" builtinId="8" hidden="1"/>
    <cellStyle name="Hyperlink" xfId="17011" builtinId="8" hidden="1"/>
    <cellStyle name="Hyperlink" xfId="17013" builtinId="8" hidden="1"/>
    <cellStyle name="Hyperlink" xfId="17015" builtinId="8" hidden="1"/>
    <cellStyle name="Hyperlink" xfId="17017" builtinId="8" hidden="1"/>
    <cellStyle name="Hyperlink" xfId="17019" builtinId="8" hidden="1"/>
    <cellStyle name="Hyperlink" xfId="17021" builtinId="8" hidden="1"/>
    <cellStyle name="Hyperlink" xfId="17023" builtinId="8" hidden="1"/>
    <cellStyle name="Hyperlink" xfId="17025" builtinId="8" hidden="1"/>
    <cellStyle name="Hyperlink" xfId="17027" builtinId="8" hidden="1"/>
    <cellStyle name="Hyperlink" xfId="17029" builtinId="8" hidden="1"/>
    <cellStyle name="Hyperlink" xfId="17031" builtinId="8" hidden="1"/>
    <cellStyle name="Hyperlink" xfId="17033" builtinId="8" hidden="1"/>
    <cellStyle name="Hyperlink" xfId="17035" builtinId="8" hidden="1"/>
    <cellStyle name="Hyperlink" xfId="17037" builtinId="8" hidden="1"/>
    <cellStyle name="Hyperlink" xfId="17039" builtinId="8" hidden="1"/>
    <cellStyle name="Hyperlink" xfId="17041" builtinId="8" hidden="1"/>
    <cellStyle name="Hyperlink" xfId="17043" builtinId="8" hidden="1"/>
    <cellStyle name="Hyperlink" xfId="17045" builtinId="8" hidden="1"/>
    <cellStyle name="Hyperlink" xfId="17047" builtinId="8" hidden="1"/>
    <cellStyle name="Hyperlink" xfId="17049" builtinId="8" hidden="1"/>
    <cellStyle name="Hyperlink" xfId="17051" builtinId="8" hidden="1"/>
    <cellStyle name="Hyperlink" xfId="17053" builtinId="8" hidden="1"/>
    <cellStyle name="Hyperlink" xfId="17055" builtinId="8" hidden="1"/>
    <cellStyle name="Hyperlink" xfId="17057" builtinId="8" hidden="1"/>
    <cellStyle name="Hyperlink" xfId="17059" builtinId="8" hidden="1"/>
    <cellStyle name="Hyperlink" xfId="17061" builtinId="8" hidden="1"/>
    <cellStyle name="Hyperlink" xfId="17063" builtinId="8" hidden="1"/>
    <cellStyle name="Hyperlink" xfId="17065" builtinId="8" hidden="1"/>
    <cellStyle name="Hyperlink" xfId="17067" builtinId="8" hidden="1"/>
    <cellStyle name="Hyperlink" xfId="17069" builtinId="8" hidden="1"/>
    <cellStyle name="Hyperlink" xfId="17071" builtinId="8" hidden="1"/>
    <cellStyle name="Hyperlink" xfId="17073" builtinId="8" hidden="1"/>
    <cellStyle name="Hyperlink" xfId="17075" builtinId="8" hidden="1"/>
    <cellStyle name="Hyperlink" xfId="17077" builtinId="8" hidden="1"/>
    <cellStyle name="Hyperlink" xfId="17079" builtinId="8" hidden="1"/>
    <cellStyle name="Hyperlink" xfId="17081" builtinId="8" hidden="1"/>
    <cellStyle name="Hyperlink" xfId="17083" builtinId="8" hidden="1"/>
    <cellStyle name="Hyperlink" xfId="17085" builtinId="8" hidden="1"/>
    <cellStyle name="Hyperlink" xfId="17087" builtinId="8" hidden="1"/>
    <cellStyle name="Hyperlink" xfId="17089" builtinId="8" hidden="1"/>
    <cellStyle name="Hyperlink" xfId="17091" builtinId="8" hidden="1"/>
    <cellStyle name="Hyperlink" xfId="17093" builtinId="8" hidden="1"/>
    <cellStyle name="Hyperlink" xfId="17095" builtinId="8" hidden="1"/>
    <cellStyle name="Hyperlink" xfId="17097" builtinId="8" hidden="1"/>
    <cellStyle name="Hyperlink" xfId="17099" builtinId="8" hidden="1"/>
    <cellStyle name="Hyperlink" xfId="17101" builtinId="8" hidden="1"/>
    <cellStyle name="Hyperlink" xfId="17103" builtinId="8" hidden="1"/>
    <cellStyle name="Hyperlink" xfId="17105" builtinId="8" hidden="1"/>
    <cellStyle name="Hyperlink" xfId="17107" builtinId="8" hidden="1"/>
    <cellStyle name="Hyperlink" xfId="17109" builtinId="8" hidden="1"/>
    <cellStyle name="Hyperlink" xfId="17111" builtinId="8" hidden="1"/>
    <cellStyle name="Hyperlink" xfId="17113" builtinId="8" hidden="1"/>
    <cellStyle name="Hyperlink" xfId="17115" builtinId="8" hidden="1"/>
    <cellStyle name="Hyperlink" xfId="17117" builtinId="8" hidden="1"/>
    <cellStyle name="Hyperlink" xfId="17119" builtinId="8" hidden="1"/>
    <cellStyle name="Hyperlink" xfId="17121" builtinId="8" hidden="1"/>
    <cellStyle name="Hyperlink" xfId="17123" builtinId="8" hidden="1"/>
    <cellStyle name="Hyperlink" xfId="17125" builtinId="8" hidden="1"/>
    <cellStyle name="Hyperlink" xfId="17127" builtinId="8" hidden="1"/>
    <cellStyle name="Hyperlink" xfId="17129" builtinId="8" hidden="1"/>
    <cellStyle name="Hyperlink" xfId="17131" builtinId="8" hidden="1"/>
    <cellStyle name="Hyperlink" xfId="17133" builtinId="8" hidden="1"/>
    <cellStyle name="Hyperlink" xfId="17135" builtinId="8" hidden="1"/>
    <cellStyle name="Hyperlink" xfId="17137" builtinId="8" hidden="1"/>
    <cellStyle name="Hyperlink" xfId="17139" builtinId="8" hidden="1"/>
    <cellStyle name="Hyperlink" xfId="17141" builtinId="8" hidden="1"/>
    <cellStyle name="Hyperlink" xfId="17143" builtinId="8" hidden="1"/>
    <cellStyle name="Hyperlink" xfId="17145" builtinId="8" hidden="1"/>
    <cellStyle name="Hyperlink" xfId="17147" builtinId="8" hidden="1"/>
    <cellStyle name="Hyperlink" xfId="17149" builtinId="8" hidden="1"/>
    <cellStyle name="Hyperlink" xfId="17151" builtinId="8" hidden="1"/>
    <cellStyle name="Hyperlink" xfId="17153" builtinId="8" hidden="1"/>
    <cellStyle name="Hyperlink" xfId="17155" builtinId="8" hidden="1"/>
    <cellStyle name="Hyperlink" xfId="17157" builtinId="8" hidden="1"/>
    <cellStyle name="Hyperlink" xfId="17159" builtinId="8" hidden="1"/>
    <cellStyle name="Hyperlink" xfId="17161" builtinId="8" hidden="1"/>
    <cellStyle name="Hyperlink" xfId="17163" builtinId="8" hidden="1"/>
    <cellStyle name="Hyperlink" xfId="17165" builtinId="8" hidden="1"/>
    <cellStyle name="Hyperlink" xfId="17167" builtinId="8" hidden="1"/>
    <cellStyle name="Hyperlink" xfId="17169" builtinId="8" hidden="1"/>
    <cellStyle name="Hyperlink" xfId="17171" builtinId="8" hidden="1"/>
    <cellStyle name="Hyperlink" xfId="17173" builtinId="8" hidden="1"/>
    <cellStyle name="Hyperlink" xfId="17175" builtinId="8" hidden="1"/>
    <cellStyle name="Hyperlink" xfId="17177" builtinId="8" hidden="1"/>
    <cellStyle name="Hyperlink" xfId="17179" builtinId="8" hidden="1"/>
    <cellStyle name="Hyperlink" xfId="17181" builtinId="8" hidden="1"/>
    <cellStyle name="Hyperlink" xfId="17183" builtinId="8" hidden="1"/>
    <cellStyle name="Hyperlink" xfId="17185" builtinId="8" hidden="1"/>
    <cellStyle name="Hyperlink" xfId="17187" builtinId="8" hidden="1"/>
    <cellStyle name="Hyperlink" xfId="17189" builtinId="8" hidden="1"/>
    <cellStyle name="Hyperlink" xfId="17191" builtinId="8" hidden="1"/>
    <cellStyle name="Hyperlink" xfId="17193" builtinId="8" hidden="1"/>
    <cellStyle name="Hyperlink" xfId="17195" builtinId="8" hidden="1"/>
    <cellStyle name="Hyperlink" xfId="17197" builtinId="8" hidden="1"/>
    <cellStyle name="Hyperlink" xfId="17199" builtinId="8" hidden="1"/>
    <cellStyle name="Hyperlink" xfId="17201" builtinId="8" hidden="1"/>
    <cellStyle name="Hyperlink" xfId="17203" builtinId="8" hidden="1"/>
    <cellStyle name="Hyperlink" xfId="17205" builtinId="8" hidden="1"/>
    <cellStyle name="Hyperlink" xfId="17207" builtinId="8" hidden="1"/>
    <cellStyle name="Hyperlink" xfId="17209" builtinId="8" hidden="1"/>
    <cellStyle name="Hyperlink" xfId="17211" builtinId="8" hidden="1"/>
    <cellStyle name="Hyperlink" xfId="17213" builtinId="8" hidden="1"/>
    <cellStyle name="Hyperlink" xfId="17215" builtinId="8" hidden="1"/>
    <cellStyle name="Hyperlink" xfId="17217" builtinId="8" hidden="1"/>
    <cellStyle name="Hyperlink" xfId="17219" builtinId="8" hidden="1"/>
    <cellStyle name="Hyperlink" xfId="17221" builtinId="8" hidden="1"/>
    <cellStyle name="Hyperlink" xfId="17223" builtinId="8" hidden="1"/>
    <cellStyle name="Hyperlink" xfId="17225" builtinId="8" hidden="1"/>
    <cellStyle name="Hyperlink" xfId="17227" builtinId="8" hidden="1"/>
    <cellStyle name="Hyperlink" xfId="17229" builtinId="8" hidden="1"/>
    <cellStyle name="Hyperlink" xfId="17231" builtinId="8" hidden="1"/>
    <cellStyle name="Hyperlink" xfId="17233" builtinId="8" hidden="1"/>
    <cellStyle name="Hyperlink" xfId="17235" builtinId="8" hidden="1"/>
    <cellStyle name="Hyperlink" xfId="17237" builtinId="8" hidden="1"/>
    <cellStyle name="Hyperlink" xfId="17239" builtinId="8" hidden="1"/>
    <cellStyle name="Hyperlink" xfId="17241" builtinId="8" hidden="1"/>
    <cellStyle name="Hyperlink" xfId="17243" builtinId="8" hidden="1"/>
    <cellStyle name="Hyperlink" xfId="17245" builtinId="8" hidden="1"/>
    <cellStyle name="Hyperlink" xfId="17247" builtinId="8" hidden="1"/>
    <cellStyle name="Hyperlink" xfId="17249" builtinId="8" hidden="1"/>
    <cellStyle name="Hyperlink" xfId="17251" builtinId="8" hidden="1"/>
    <cellStyle name="Hyperlink" xfId="17253" builtinId="8" hidden="1"/>
    <cellStyle name="Hyperlink" xfId="17255" builtinId="8" hidden="1"/>
    <cellStyle name="Hyperlink" xfId="17257" builtinId="8" hidden="1"/>
    <cellStyle name="Hyperlink" xfId="17259" builtinId="8" hidden="1"/>
    <cellStyle name="Hyperlink" xfId="17261" builtinId="8" hidden="1"/>
    <cellStyle name="Hyperlink" xfId="17263" builtinId="8" hidden="1"/>
    <cellStyle name="Hyperlink" xfId="17265" builtinId="8" hidden="1"/>
    <cellStyle name="Hyperlink" xfId="17267" builtinId="8" hidden="1"/>
    <cellStyle name="Hyperlink" xfId="17269" builtinId="8" hidden="1"/>
    <cellStyle name="Hyperlink" xfId="17271" builtinId="8" hidden="1"/>
    <cellStyle name="Hyperlink" xfId="17273" builtinId="8" hidden="1"/>
    <cellStyle name="Hyperlink" xfId="17275" builtinId="8" hidden="1"/>
    <cellStyle name="Hyperlink" xfId="17277" builtinId="8" hidden="1"/>
    <cellStyle name="Hyperlink" xfId="17279" builtinId="8" hidden="1"/>
    <cellStyle name="Hyperlink" xfId="17281" builtinId="8" hidden="1"/>
    <cellStyle name="Hyperlink" xfId="17283" builtinId="8" hidden="1"/>
    <cellStyle name="Hyperlink" xfId="17285" builtinId="8" hidden="1"/>
    <cellStyle name="Hyperlink" xfId="17287" builtinId="8" hidden="1"/>
    <cellStyle name="Hyperlink" xfId="17289" builtinId="8" hidden="1"/>
    <cellStyle name="Hyperlink" xfId="17291" builtinId="8" hidden="1"/>
    <cellStyle name="Hyperlink" xfId="17293" builtinId="8" hidden="1"/>
    <cellStyle name="Hyperlink" xfId="17295" builtinId="8" hidden="1"/>
    <cellStyle name="Hyperlink" xfId="17297" builtinId="8" hidden="1"/>
    <cellStyle name="Hyperlink" xfId="17299" builtinId="8" hidden="1"/>
    <cellStyle name="Hyperlink" xfId="17301" builtinId="8" hidden="1"/>
    <cellStyle name="Hyperlink" xfId="17303" builtinId="8" hidden="1"/>
    <cellStyle name="Hyperlink" xfId="17305" builtinId="8" hidden="1"/>
    <cellStyle name="Hyperlink" xfId="17307" builtinId="8" hidden="1"/>
    <cellStyle name="Hyperlink" xfId="17309" builtinId="8" hidden="1"/>
    <cellStyle name="Hyperlink" xfId="17311" builtinId="8" hidden="1"/>
    <cellStyle name="Hyperlink" xfId="17313" builtinId="8" hidden="1"/>
    <cellStyle name="Hyperlink" xfId="17315" builtinId="8" hidden="1"/>
    <cellStyle name="Hyperlink" xfId="17317" builtinId="8" hidden="1"/>
    <cellStyle name="Hyperlink" xfId="17319" builtinId="8" hidden="1"/>
    <cellStyle name="Hyperlink" xfId="17321" builtinId="8" hidden="1"/>
    <cellStyle name="Hyperlink" xfId="17323" builtinId="8" hidden="1"/>
    <cellStyle name="Hyperlink" xfId="17325" builtinId="8" hidden="1"/>
    <cellStyle name="Hyperlink" xfId="17327" builtinId="8" hidden="1"/>
    <cellStyle name="Hyperlink" xfId="17329" builtinId="8" hidden="1"/>
    <cellStyle name="Hyperlink" xfId="17331" builtinId="8" hidden="1"/>
    <cellStyle name="Hyperlink" xfId="17333" builtinId="8" hidden="1"/>
    <cellStyle name="Hyperlink" xfId="17335" builtinId="8" hidden="1"/>
    <cellStyle name="Hyperlink" xfId="17337" builtinId="8" hidden="1"/>
    <cellStyle name="Hyperlink" xfId="17339" builtinId="8" hidden="1"/>
    <cellStyle name="Hyperlink" xfId="17341" builtinId="8" hidden="1"/>
    <cellStyle name="Hyperlink" xfId="17343" builtinId="8" hidden="1"/>
    <cellStyle name="Hyperlink" xfId="17345" builtinId="8" hidden="1"/>
    <cellStyle name="Hyperlink" xfId="17347" builtinId="8" hidden="1"/>
    <cellStyle name="Hyperlink" xfId="17349" builtinId="8" hidden="1"/>
    <cellStyle name="Hyperlink" xfId="17351" builtinId="8" hidden="1"/>
    <cellStyle name="Hyperlink" xfId="17353" builtinId="8" hidden="1"/>
    <cellStyle name="Hyperlink" xfId="17355" builtinId="8" hidden="1"/>
    <cellStyle name="Hyperlink" xfId="17357" builtinId="8" hidden="1"/>
    <cellStyle name="Hyperlink" xfId="17359" builtinId="8" hidden="1"/>
    <cellStyle name="Hyperlink" xfId="17361" builtinId="8" hidden="1"/>
    <cellStyle name="Hyperlink" xfId="17363" builtinId="8" hidden="1"/>
    <cellStyle name="Hyperlink" xfId="17365" builtinId="8" hidden="1"/>
    <cellStyle name="Hyperlink" xfId="17367" builtinId="8" hidden="1"/>
    <cellStyle name="Hyperlink" xfId="17369" builtinId="8" hidden="1"/>
    <cellStyle name="Hyperlink" xfId="17371" builtinId="8" hidden="1"/>
    <cellStyle name="Hyperlink" xfId="17373" builtinId="8" hidden="1"/>
    <cellStyle name="Hyperlink" xfId="17375" builtinId="8" hidden="1"/>
    <cellStyle name="Hyperlink" xfId="17377" builtinId="8" hidden="1"/>
    <cellStyle name="Hyperlink" xfId="17379" builtinId="8" hidden="1"/>
    <cellStyle name="Hyperlink" xfId="17381" builtinId="8" hidden="1"/>
    <cellStyle name="Hyperlink" xfId="17383" builtinId="8" hidden="1"/>
    <cellStyle name="Hyperlink" xfId="17385" builtinId="8" hidden="1"/>
    <cellStyle name="Hyperlink" xfId="17387" builtinId="8" hidden="1"/>
    <cellStyle name="Hyperlink" xfId="17389" builtinId="8" hidden="1"/>
    <cellStyle name="Hyperlink" xfId="17391" builtinId="8" hidden="1"/>
    <cellStyle name="Hyperlink" xfId="17393" builtinId="8" hidden="1"/>
    <cellStyle name="Hyperlink" xfId="17395" builtinId="8" hidden="1"/>
    <cellStyle name="Hyperlink" xfId="17397" builtinId="8" hidden="1"/>
    <cellStyle name="Hyperlink" xfId="17399" builtinId="8" hidden="1"/>
    <cellStyle name="Hyperlink" xfId="17401" builtinId="8" hidden="1"/>
    <cellStyle name="Hyperlink" xfId="17403" builtinId="8" hidden="1"/>
    <cellStyle name="Hyperlink" xfId="17405" builtinId="8" hidden="1"/>
    <cellStyle name="Hyperlink" xfId="17407" builtinId="8" hidden="1"/>
    <cellStyle name="Hyperlink" xfId="17409" builtinId="8" hidden="1"/>
    <cellStyle name="Hyperlink" xfId="17411" builtinId="8" hidden="1"/>
    <cellStyle name="Hyperlink" xfId="17413" builtinId="8" hidden="1"/>
    <cellStyle name="Hyperlink" xfId="17415" builtinId="8" hidden="1"/>
    <cellStyle name="Hyperlink" xfId="17417" builtinId="8" hidden="1"/>
    <cellStyle name="Hyperlink" xfId="17419" builtinId="8" hidden="1"/>
    <cellStyle name="Hyperlink" xfId="17421" builtinId="8" hidden="1"/>
    <cellStyle name="Hyperlink" xfId="17423" builtinId="8" hidden="1"/>
    <cellStyle name="Hyperlink" xfId="17425" builtinId="8" hidden="1"/>
    <cellStyle name="Hyperlink" xfId="17427" builtinId="8" hidden="1"/>
    <cellStyle name="Hyperlink" xfId="17429" builtinId="8" hidden="1"/>
    <cellStyle name="Hyperlink" xfId="17431" builtinId="8" hidden="1"/>
    <cellStyle name="Hyperlink" xfId="17433" builtinId="8" hidden="1"/>
    <cellStyle name="Hyperlink" xfId="17435" builtinId="8" hidden="1"/>
    <cellStyle name="Hyperlink" xfId="17437" builtinId="8" hidden="1"/>
    <cellStyle name="Hyperlink" xfId="17439" builtinId="8" hidden="1"/>
    <cellStyle name="Hyperlink" xfId="17441" builtinId="8" hidden="1"/>
    <cellStyle name="Hyperlink" xfId="17443" builtinId="8" hidden="1"/>
    <cellStyle name="Hyperlink" xfId="17445" builtinId="8" hidden="1"/>
    <cellStyle name="Hyperlink" xfId="17447" builtinId="8" hidden="1"/>
    <cellStyle name="Hyperlink" xfId="17449" builtinId="8" hidden="1"/>
    <cellStyle name="Hyperlink" xfId="17451" builtinId="8" hidden="1"/>
    <cellStyle name="Hyperlink" xfId="17453" builtinId="8" hidden="1"/>
    <cellStyle name="Hyperlink" xfId="17455" builtinId="8" hidden="1"/>
    <cellStyle name="Hyperlink" xfId="17457" builtinId="8" hidden="1"/>
    <cellStyle name="Hyperlink" xfId="17459" builtinId="8" hidden="1"/>
    <cellStyle name="Hyperlink" xfId="17461" builtinId="8" hidden="1"/>
    <cellStyle name="Hyperlink" xfId="17463" builtinId="8" hidden="1"/>
    <cellStyle name="Hyperlink" xfId="17465" builtinId="8" hidden="1"/>
    <cellStyle name="Hyperlink" xfId="17467" builtinId="8" hidden="1"/>
    <cellStyle name="Hyperlink" xfId="17469" builtinId="8" hidden="1"/>
    <cellStyle name="Hyperlink" xfId="17471" builtinId="8" hidden="1"/>
    <cellStyle name="Hyperlink" xfId="17473" builtinId="8" hidden="1"/>
    <cellStyle name="Hyperlink" xfId="17475" builtinId="8" hidden="1"/>
    <cellStyle name="Hyperlink" xfId="17477" builtinId="8" hidden="1"/>
    <cellStyle name="Hyperlink" xfId="17479" builtinId="8" hidden="1"/>
    <cellStyle name="Hyperlink" xfId="17481" builtinId="8" hidden="1"/>
    <cellStyle name="Hyperlink" xfId="17483" builtinId="8" hidden="1"/>
    <cellStyle name="Hyperlink" xfId="17485" builtinId="8" hidden="1"/>
    <cellStyle name="Hyperlink" xfId="17487" builtinId="8" hidden="1"/>
    <cellStyle name="Hyperlink" xfId="17489" builtinId="8" hidden="1"/>
    <cellStyle name="Hyperlink" xfId="17491" builtinId="8" hidden="1"/>
    <cellStyle name="Hyperlink" xfId="17493" builtinId="8" hidden="1"/>
    <cellStyle name="Hyperlink" xfId="17495" builtinId="8" hidden="1"/>
    <cellStyle name="Hyperlink" xfId="17497" builtinId="8" hidden="1"/>
    <cellStyle name="Hyperlink" xfId="17499" builtinId="8" hidden="1"/>
    <cellStyle name="Hyperlink" xfId="17501" builtinId="8" hidden="1"/>
    <cellStyle name="Hyperlink" xfId="17503" builtinId="8" hidden="1"/>
    <cellStyle name="Hyperlink" xfId="17505" builtinId="8" hidden="1"/>
    <cellStyle name="Hyperlink" xfId="17507" builtinId="8" hidden="1"/>
    <cellStyle name="Hyperlink" xfId="17509" builtinId="8" hidden="1"/>
    <cellStyle name="Hyperlink" xfId="17511" builtinId="8" hidden="1"/>
    <cellStyle name="Hyperlink" xfId="17513" builtinId="8" hidden="1"/>
    <cellStyle name="Hyperlink" xfId="17515" builtinId="8" hidden="1"/>
    <cellStyle name="Hyperlink" xfId="17517" builtinId="8" hidden="1"/>
    <cellStyle name="Hyperlink" xfId="17519" builtinId="8" hidden="1"/>
    <cellStyle name="Hyperlink" xfId="17521" builtinId="8" hidden="1"/>
    <cellStyle name="Hyperlink" xfId="17523" builtinId="8" hidden="1"/>
    <cellStyle name="Hyperlink" xfId="17525" builtinId="8" hidden="1"/>
    <cellStyle name="Hyperlink" xfId="17527" builtinId="8" hidden="1"/>
    <cellStyle name="Hyperlink" xfId="17529" builtinId="8" hidden="1"/>
    <cellStyle name="Hyperlink" xfId="17531" builtinId="8" hidden="1"/>
    <cellStyle name="Hyperlink" xfId="17533" builtinId="8" hidden="1"/>
    <cellStyle name="Hyperlink" xfId="17535" builtinId="8" hidden="1"/>
    <cellStyle name="Hyperlink" xfId="17537" builtinId="8" hidden="1"/>
    <cellStyle name="Hyperlink" xfId="17539" builtinId="8" hidden="1"/>
    <cellStyle name="Hyperlink" xfId="17541" builtinId="8" hidden="1"/>
    <cellStyle name="Hyperlink" xfId="17543" builtinId="8" hidden="1"/>
    <cellStyle name="Hyperlink" xfId="17545" builtinId="8" hidden="1"/>
    <cellStyle name="Hyperlink" xfId="17547" builtinId="8" hidden="1"/>
    <cellStyle name="Hyperlink" xfId="17549" builtinId="8" hidden="1"/>
    <cellStyle name="Hyperlink" xfId="17551" builtinId="8" hidden="1"/>
    <cellStyle name="Hyperlink" xfId="17553" builtinId="8" hidden="1"/>
    <cellStyle name="Hyperlink" xfId="17555" builtinId="8" hidden="1"/>
    <cellStyle name="Hyperlink" xfId="17557" builtinId="8" hidden="1"/>
    <cellStyle name="Hyperlink" xfId="17559" builtinId="8" hidden="1"/>
    <cellStyle name="Hyperlink" xfId="17561" builtinId="8" hidden="1"/>
    <cellStyle name="Hyperlink" xfId="17563" builtinId="8" hidden="1"/>
    <cellStyle name="Hyperlink" xfId="17565" builtinId="8" hidden="1"/>
    <cellStyle name="Hyperlink" xfId="17567" builtinId="8" hidden="1"/>
    <cellStyle name="Hyperlink" xfId="17569" builtinId="8" hidden="1"/>
    <cellStyle name="Hyperlink" xfId="17571" builtinId="8" hidden="1"/>
    <cellStyle name="Hyperlink" xfId="17573" builtinId="8" hidden="1"/>
    <cellStyle name="Hyperlink" xfId="17575" builtinId="8" hidden="1"/>
    <cellStyle name="Hyperlink" xfId="17577" builtinId="8" hidden="1"/>
    <cellStyle name="Hyperlink" xfId="17579" builtinId="8" hidden="1"/>
    <cellStyle name="Hyperlink" xfId="17581" builtinId="8" hidden="1"/>
    <cellStyle name="Hyperlink" xfId="17583" builtinId="8" hidden="1"/>
    <cellStyle name="Hyperlink" xfId="17585" builtinId="8" hidden="1"/>
    <cellStyle name="Hyperlink" xfId="17587" builtinId="8" hidden="1"/>
    <cellStyle name="Hyperlink" xfId="17589" builtinId="8" hidden="1"/>
    <cellStyle name="Hyperlink" xfId="17591" builtinId="8" hidden="1"/>
    <cellStyle name="Hyperlink" xfId="17593" builtinId="8" hidden="1"/>
    <cellStyle name="Hyperlink" xfId="17595" builtinId="8" hidden="1"/>
    <cellStyle name="Hyperlink" xfId="17597" builtinId="8" hidden="1"/>
    <cellStyle name="Hyperlink" xfId="17599" builtinId="8" hidden="1"/>
    <cellStyle name="Hyperlink" xfId="17601" builtinId="8" hidden="1"/>
    <cellStyle name="Hyperlink" xfId="17603" builtinId="8" hidden="1"/>
    <cellStyle name="Hyperlink" xfId="17605" builtinId="8" hidden="1"/>
    <cellStyle name="Hyperlink" xfId="17607" builtinId="8" hidden="1"/>
    <cellStyle name="Hyperlink" xfId="17609" builtinId="8" hidden="1"/>
    <cellStyle name="Hyperlink" xfId="17611" builtinId="8" hidden="1"/>
    <cellStyle name="Hyperlink" xfId="17613" builtinId="8" hidden="1"/>
    <cellStyle name="Hyperlink" xfId="17615" builtinId="8" hidden="1"/>
    <cellStyle name="Hyperlink" xfId="17617" builtinId="8" hidden="1"/>
    <cellStyle name="Hyperlink" xfId="17619" builtinId="8" hidden="1"/>
    <cellStyle name="Hyperlink" xfId="17621" builtinId="8" hidden="1"/>
    <cellStyle name="Hyperlink" xfId="17623" builtinId="8" hidden="1"/>
    <cellStyle name="Hyperlink" xfId="17625" builtinId="8" hidden="1"/>
    <cellStyle name="Hyperlink" xfId="17627" builtinId="8" hidden="1"/>
    <cellStyle name="Hyperlink" xfId="17629" builtinId="8" hidden="1"/>
    <cellStyle name="Hyperlink" xfId="17631" builtinId="8" hidden="1"/>
    <cellStyle name="Hyperlink" xfId="17633" builtinId="8" hidden="1"/>
    <cellStyle name="Hyperlink" xfId="17635" builtinId="8" hidden="1"/>
    <cellStyle name="Hyperlink" xfId="17637" builtinId="8" hidden="1"/>
    <cellStyle name="Hyperlink" xfId="17639" builtinId="8" hidden="1"/>
    <cellStyle name="Hyperlink" xfId="17641" builtinId="8" hidden="1"/>
    <cellStyle name="Hyperlink" xfId="17643" builtinId="8" hidden="1"/>
    <cellStyle name="Hyperlink" xfId="17645" builtinId="8" hidden="1"/>
    <cellStyle name="Hyperlink" xfId="17647" builtinId="8" hidden="1"/>
    <cellStyle name="Hyperlink" xfId="17649" builtinId="8" hidden="1"/>
    <cellStyle name="Hyperlink" xfId="17651" builtinId="8" hidden="1"/>
    <cellStyle name="Hyperlink" xfId="17653" builtinId="8" hidden="1"/>
    <cellStyle name="Hyperlink" xfId="17655" builtinId="8" hidden="1"/>
    <cellStyle name="Hyperlink" xfId="17657" builtinId="8" hidden="1"/>
    <cellStyle name="Hyperlink" xfId="17659" builtinId="8" hidden="1"/>
    <cellStyle name="Hyperlink" xfId="17661" builtinId="8" hidden="1"/>
    <cellStyle name="Hyperlink" xfId="17663" builtinId="8" hidden="1"/>
    <cellStyle name="Hyperlink" xfId="17665" builtinId="8" hidden="1"/>
    <cellStyle name="Hyperlink" xfId="17667" builtinId="8" hidden="1"/>
    <cellStyle name="Hyperlink" xfId="17669" builtinId="8" hidden="1"/>
    <cellStyle name="Hyperlink" xfId="17671" builtinId="8" hidden="1"/>
    <cellStyle name="Hyperlink" xfId="17673" builtinId="8" hidden="1"/>
    <cellStyle name="Hyperlink" xfId="17675" builtinId="8" hidden="1"/>
    <cellStyle name="Hyperlink" xfId="17677" builtinId="8" hidden="1"/>
    <cellStyle name="Hyperlink" xfId="17679" builtinId="8" hidden="1"/>
    <cellStyle name="Hyperlink" xfId="17681" builtinId="8" hidden="1"/>
    <cellStyle name="Hyperlink" xfId="17683" builtinId="8" hidden="1"/>
    <cellStyle name="Hyperlink" xfId="17685" builtinId="8" hidden="1"/>
    <cellStyle name="Hyperlink" xfId="17687" builtinId="8" hidden="1"/>
    <cellStyle name="Hyperlink" xfId="17689" builtinId="8" hidden="1"/>
    <cellStyle name="Hyperlink" xfId="17691" builtinId="8" hidden="1"/>
    <cellStyle name="Hyperlink" xfId="17693" builtinId="8" hidden="1"/>
    <cellStyle name="Hyperlink" xfId="17695" builtinId="8" hidden="1"/>
    <cellStyle name="Hyperlink" xfId="17697" builtinId="8" hidden="1"/>
    <cellStyle name="Hyperlink" xfId="17699" builtinId="8" hidden="1"/>
    <cellStyle name="Hyperlink" xfId="17701" builtinId="8" hidden="1"/>
    <cellStyle name="Hyperlink" xfId="17703" builtinId="8" hidden="1"/>
    <cellStyle name="Hyperlink" xfId="17705" builtinId="8" hidden="1"/>
    <cellStyle name="Hyperlink" xfId="17707" builtinId="8" hidden="1"/>
    <cellStyle name="Hyperlink" xfId="17709" builtinId="8" hidden="1"/>
    <cellStyle name="Hyperlink" xfId="17711" builtinId="8" hidden="1"/>
    <cellStyle name="Hyperlink" xfId="17713" builtinId="8" hidden="1"/>
    <cellStyle name="Hyperlink" xfId="17715" builtinId="8" hidden="1"/>
    <cellStyle name="Hyperlink" xfId="17717" builtinId="8" hidden="1"/>
    <cellStyle name="Hyperlink" xfId="17719" builtinId="8" hidden="1"/>
    <cellStyle name="Hyperlink" xfId="17721" builtinId="8" hidden="1"/>
    <cellStyle name="Hyperlink" xfId="17723" builtinId="8" hidden="1"/>
    <cellStyle name="Hyperlink" xfId="17725" builtinId="8" hidden="1"/>
    <cellStyle name="Hyperlink" xfId="17727" builtinId="8" hidden="1"/>
    <cellStyle name="Hyperlink" xfId="17729" builtinId="8" hidden="1"/>
    <cellStyle name="Hyperlink" xfId="17731" builtinId="8" hidden="1"/>
    <cellStyle name="Hyperlink" xfId="17733" builtinId="8" hidden="1"/>
    <cellStyle name="Hyperlink" xfId="17735" builtinId="8" hidden="1"/>
    <cellStyle name="Hyperlink" xfId="17737" builtinId="8" hidden="1"/>
    <cellStyle name="Hyperlink" xfId="17739" builtinId="8" hidden="1"/>
    <cellStyle name="Hyperlink" xfId="17741" builtinId="8" hidden="1"/>
    <cellStyle name="Hyperlink" xfId="17743" builtinId="8" hidden="1"/>
    <cellStyle name="Hyperlink" xfId="17745" builtinId="8" hidden="1"/>
    <cellStyle name="Hyperlink" xfId="17747" builtinId="8" hidden="1"/>
    <cellStyle name="Hyperlink" xfId="17749" builtinId="8" hidden="1"/>
    <cellStyle name="Hyperlink" xfId="17751" builtinId="8" hidden="1"/>
    <cellStyle name="Hyperlink" xfId="17753" builtinId="8" hidden="1"/>
    <cellStyle name="Hyperlink" xfId="17755" builtinId="8" hidden="1"/>
    <cellStyle name="Hyperlink" xfId="17757" builtinId="8" hidden="1"/>
    <cellStyle name="Hyperlink" xfId="17759" builtinId="8" hidden="1"/>
    <cellStyle name="Hyperlink" xfId="17761" builtinId="8" hidden="1"/>
    <cellStyle name="Hyperlink" xfId="17763" builtinId="8" hidden="1"/>
    <cellStyle name="Hyperlink" xfId="17765" builtinId="8" hidden="1"/>
    <cellStyle name="Hyperlink" xfId="17767" builtinId="8" hidden="1"/>
    <cellStyle name="Hyperlink" xfId="17769" builtinId="8" hidden="1"/>
    <cellStyle name="Hyperlink" xfId="17771" builtinId="8" hidden="1"/>
    <cellStyle name="Hyperlink" xfId="17773" builtinId="8" hidden="1"/>
    <cellStyle name="Hyperlink" xfId="17775" builtinId="8" hidden="1"/>
    <cellStyle name="Hyperlink" xfId="17777" builtinId="8" hidden="1"/>
    <cellStyle name="Hyperlink" xfId="17779" builtinId="8" hidden="1"/>
    <cellStyle name="Hyperlink" xfId="17781" builtinId="8" hidden="1"/>
    <cellStyle name="Hyperlink" xfId="17783" builtinId="8" hidden="1"/>
    <cellStyle name="Hyperlink" xfId="17785" builtinId="8" hidden="1"/>
    <cellStyle name="Hyperlink" xfId="17787" builtinId="8" hidden="1"/>
    <cellStyle name="Hyperlink" xfId="17789" builtinId="8" hidden="1"/>
    <cellStyle name="Hyperlink" xfId="17791" builtinId="8" hidden="1"/>
    <cellStyle name="Hyperlink" xfId="17793" builtinId="8" hidden="1"/>
    <cellStyle name="Hyperlink" xfId="17795" builtinId="8" hidden="1"/>
    <cellStyle name="Hyperlink" xfId="17797" builtinId="8" hidden="1"/>
    <cellStyle name="Hyperlink" xfId="17799" builtinId="8" hidden="1"/>
    <cellStyle name="Hyperlink" xfId="17801" builtinId="8" hidden="1"/>
    <cellStyle name="Hyperlink" xfId="17803" builtinId="8" hidden="1"/>
    <cellStyle name="Hyperlink" xfId="17805" builtinId="8" hidden="1"/>
    <cellStyle name="Hyperlink" xfId="17807" builtinId="8" hidden="1"/>
    <cellStyle name="Hyperlink" xfId="17809" builtinId="8" hidden="1"/>
    <cellStyle name="Hyperlink" xfId="17811" builtinId="8" hidden="1"/>
    <cellStyle name="Hyperlink" xfId="17813" builtinId="8" hidden="1"/>
    <cellStyle name="Hyperlink" xfId="17815" builtinId="8" hidden="1"/>
    <cellStyle name="Hyperlink" xfId="17817" builtinId="8" hidden="1"/>
    <cellStyle name="Hyperlink" xfId="17819" builtinId="8" hidden="1"/>
    <cellStyle name="Hyperlink" xfId="17821" builtinId="8" hidden="1"/>
    <cellStyle name="Hyperlink" xfId="17823" builtinId="8" hidden="1"/>
    <cellStyle name="Hyperlink" xfId="17825" builtinId="8" hidden="1"/>
    <cellStyle name="Hyperlink" xfId="17827" builtinId="8" hidden="1"/>
    <cellStyle name="Hyperlink" xfId="17829" builtinId="8" hidden="1"/>
    <cellStyle name="Hyperlink" xfId="17831" builtinId="8" hidden="1"/>
    <cellStyle name="Hyperlink" xfId="17833" builtinId="8" hidden="1"/>
    <cellStyle name="Hyperlink" xfId="17835" builtinId="8" hidden="1"/>
    <cellStyle name="Hyperlink" xfId="17837" builtinId="8" hidden="1"/>
    <cellStyle name="Hyperlink" xfId="17839" builtinId="8" hidden="1"/>
    <cellStyle name="Hyperlink" xfId="17841" builtinId="8" hidden="1"/>
    <cellStyle name="Hyperlink" xfId="17843" builtinId="8" hidden="1"/>
    <cellStyle name="Hyperlink" xfId="17845" builtinId="8" hidden="1"/>
    <cellStyle name="Hyperlink" xfId="17847" builtinId="8" hidden="1"/>
    <cellStyle name="Hyperlink" xfId="17849" builtinId="8" hidden="1"/>
    <cellStyle name="Hyperlink" xfId="17851" builtinId="8" hidden="1"/>
    <cellStyle name="Hyperlink" xfId="17853" builtinId="8" hidden="1"/>
    <cellStyle name="Hyperlink" xfId="17855" builtinId="8" hidden="1"/>
    <cellStyle name="Hyperlink" xfId="17857" builtinId="8" hidden="1"/>
    <cellStyle name="Hyperlink" xfId="17859" builtinId="8" hidden="1"/>
    <cellStyle name="Hyperlink" xfId="17861" builtinId="8" hidden="1"/>
    <cellStyle name="Hyperlink" xfId="17863" builtinId="8" hidden="1"/>
    <cellStyle name="Hyperlink" xfId="17865" builtinId="8" hidden="1"/>
    <cellStyle name="Hyperlink" xfId="17867" builtinId="8" hidden="1"/>
    <cellStyle name="Hyperlink" xfId="17869" builtinId="8" hidden="1"/>
    <cellStyle name="Hyperlink" xfId="17871" builtinId="8" hidden="1"/>
    <cellStyle name="Hyperlink" xfId="17873" builtinId="8" hidden="1"/>
    <cellStyle name="Hyperlink" xfId="17875" builtinId="8" hidden="1"/>
    <cellStyle name="Hyperlink" xfId="17877" builtinId="8" hidden="1"/>
    <cellStyle name="Hyperlink" xfId="17879" builtinId="8" hidden="1"/>
    <cellStyle name="Hyperlink" xfId="17881" builtinId="8" hidden="1"/>
    <cellStyle name="Hyperlink" xfId="17883" builtinId="8" hidden="1"/>
    <cellStyle name="Hyperlink" xfId="17885" builtinId="8" hidden="1"/>
    <cellStyle name="Hyperlink" xfId="17887" builtinId="8" hidden="1"/>
    <cellStyle name="Hyperlink" xfId="17889" builtinId="8" hidden="1"/>
    <cellStyle name="Hyperlink" xfId="17891" builtinId="8" hidden="1"/>
    <cellStyle name="Hyperlink" xfId="17893" builtinId="8" hidden="1"/>
    <cellStyle name="Hyperlink" xfId="17895" builtinId="8" hidden="1"/>
    <cellStyle name="Hyperlink" xfId="17897" builtinId="8" hidden="1"/>
    <cellStyle name="Hyperlink" xfId="17899" builtinId="8" hidden="1"/>
    <cellStyle name="Hyperlink" xfId="17901" builtinId="8" hidden="1"/>
    <cellStyle name="Hyperlink" xfId="17903" builtinId="8" hidden="1"/>
    <cellStyle name="Hyperlink" xfId="17905" builtinId="8" hidden="1"/>
    <cellStyle name="Hyperlink" xfId="17907" builtinId="8" hidden="1"/>
    <cellStyle name="Hyperlink" xfId="17909" builtinId="8" hidden="1"/>
    <cellStyle name="Hyperlink" xfId="17911" builtinId="8" hidden="1"/>
    <cellStyle name="Hyperlink" xfId="17913" builtinId="8" hidden="1"/>
    <cellStyle name="Hyperlink" xfId="17915" builtinId="8" hidden="1"/>
    <cellStyle name="Hyperlink" xfId="17917" builtinId="8" hidden="1"/>
    <cellStyle name="Hyperlink" xfId="17919" builtinId="8" hidden="1"/>
    <cellStyle name="Hyperlink" xfId="17921" builtinId="8" hidden="1"/>
    <cellStyle name="Hyperlink" xfId="17923" builtinId="8" hidden="1"/>
    <cellStyle name="Hyperlink" xfId="17925" builtinId="8" hidden="1"/>
    <cellStyle name="Hyperlink" xfId="17927" builtinId="8" hidden="1"/>
    <cellStyle name="Hyperlink" xfId="17929" builtinId="8" hidden="1"/>
    <cellStyle name="Hyperlink" xfId="17931" builtinId="8" hidden="1"/>
    <cellStyle name="Hyperlink" xfId="17933" builtinId="8" hidden="1"/>
    <cellStyle name="Hyperlink" xfId="17935" builtinId="8" hidden="1"/>
    <cellStyle name="Hyperlink" xfId="17937" builtinId="8" hidden="1"/>
    <cellStyle name="Hyperlink" xfId="17939" builtinId="8" hidden="1"/>
    <cellStyle name="Hyperlink" xfId="17941" builtinId="8" hidden="1"/>
    <cellStyle name="Hyperlink" xfId="17943" builtinId="8" hidden="1"/>
    <cellStyle name="Hyperlink" xfId="17945" builtinId="8" hidden="1"/>
    <cellStyle name="Hyperlink" xfId="17947" builtinId="8" hidden="1"/>
    <cellStyle name="Hyperlink" xfId="17949" builtinId="8" hidden="1"/>
    <cellStyle name="Hyperlink" xfId="17951" builtinId="8" hidden="1"/>
    <cellStyle name="Hyperlink" xfId="17953" builtinId="8" hidden="1"/>
    <cellStyle name="Hyperlink" xfId="17955" builtinId="8" hidden="1"/>
    <cellStyle name="Hyperlink" xfId="17957" builtinId="8" hidden="1"/>
    <cellStyle name="Hyperlink" xfId="17959" builtinId="8" hidden="1"/>
    <cellStyle name="Hyperlink" xfId="17961" builtinId="8" hidden="1"/>
    <cellStyle name="Hyperlink" xfId="17963" builtinId="8" hidden="1"/>
    <cellStyle name="Hyperlink" xfId="17965" builtinId="8" hidden="1"/>
    <cellStyle name="Hyperlink" xfId="17967" builtinId="8" hidden="1"/>
    <cellStyle name="Hyperlink" xfId="17969" builtinId="8" hidden="1"/>
    <cellStyle name="Hyperlink" xfId="17971" builtinId="8" hidden="1"/>
    <cellStyle name="Hyperlink" xfId="17973" builtinId="8" hidden="1"/>
    <cellStyle name="Hyperlink" xfId="17975" builtinId="8" hidden="1"/>
    <cellStyle name="Hyperlink" xfId="17977" builtinId="8" hidden="1"/>
    <cellStyle name="Hyperlink" xfId="17979" builtinId="8" hidden="1"/>
    <cellStyle name="Hyperlink" xfId="17981" builtinId="8" hidden="1"/>
    <cellStyle name="Hyperlink" xfId="17983" builtinId="8" hidden="1"/>
    <cellStyle name="Hyperlink" xfId="17985" builtinId="8" hidden="1"/>
    <cellStyle name="Hyperlink" xfId="17987" builtinId="8" hidden="1"/>
    <cellStyle name="Hyperlink" xfId="17989" builtinId="8" hidden="1"/>
    <cellStyle name="Hyperlink" xfId="17991" builtinId="8" hidden="1"/>
    <cellStyle name="Hyperlink" xfId="17993" builtinId="8" hidden="1"/>
    <cellStyle name="Hyperlink" xfId="17995" builtinId="8" hidden="1"/>
    <cellStyle name="Hyperlink" xfId="17997" builtinId="8" hidden="1"/>
    <cellStyle name="Hyperlink" xfId="17999" builtinId="8" hidden="1"/>
    <cellStyle name="Hyperlink" xfId="18001" builtinId="8" hidden="1"/>
    <cellStyle name="Hyperlink" xfId="18003" builtinId="8" hidden="1"/>
    <cellStyle name="Hyperlink" xfId="18005" builtinId="8" hidden="1"/>
    <cellStyle name="Hyperlink" xfId="18007" builtinId="8" hidden="1"/>
    <cellStyle name="Hyperlink" xfId="18009" builtinId="8" hidden="1"/>
    <cellStyle name="Hyperlink" xfId="18011" builtinId="8" hidden="1"/>
    <cellStyle name="Hyperlink" xfId="18013" builtinId="8" hidden="1"/>
    <cellStyle name="Hyperlink" xfId="18015" builtinId="8" hidden="1"/>
    <cellStyle name="Hyperlink" xfId="18017" builtinId="8" hidden="1"/>
    <cellStyle name="Hyperlink" xfId="18019" builtinId="8" hidden="1"/>
    <cellStyle name="Hyperlink" xfId="18021" builtinId="8" hidden="1"/>
    <cellStyle name="Hyperlink" xfId="18023" builtinId="8" hidden="1"/>
    <cellStyle name="Hyperlink" xfId="18027" builtinId="8" hidden="1"/>
    <cellStyle name="Hyperlink" xfId="18029" builtinId="8" hidden="1"/>
    <cellStyle name="Hyperlink" xfId="18031" builtinId="8" hidden="1"/>
    <cellStyle name="Hyperlink" xfId="18033" builtinId="8" hidden="1"/>
    <cellStyle name="Hyperlink" xfId="18035" builtinId="8" hidden="1"/>
    <cellStyle name="Hyperlink" xfId="18037" builtinId="8" hidden="1"/>
    <cellStyle name="Hyperlink" xfId="18039" builtinId="8" hidden="1"/>
    <cellStyle name="Hyperlink" xfId="18041" builtinId="8" hidden="1"/>
    <cellStyle name="Hyperlink" xfId="18043" builtinId="8" hidden="1"/>
    <cellStyle name="Hyperlink" xfId="18045" builtinId="8" hidden="1"/>
    <cellStyle name="Hyperlink" xfId="18047" builtinId="8" hidden="1"/>
    <cellStyle name="Hyperlink" xfId="18049" builtinId="8" hidden="1"/>
    <cellStyle name="Hyperlink" xfId="18051" builtinId="8" hidden="1"/>
    <cellStyle name="Hyperlink" xfId="18053" builtinId="8" hidden="1"/>
    <cellStyle name="Hyperlink" xfId="18055" builtinId="8" hidden="1"/>
    <cellStyle name="Hyperlink" xfId="18057" builtinId="8" hidden="1"/>
    <cellStyle name="Hyperlink" xfId="18059" builtinId="8" hidden="1"/>
    <cellStyle name="Hyperlink" xfId="18061" builtinId="8" hidden="1"/>
    <cellStyle name="Hyperlink" xfId="18063" builtinId="8" hidden="1"/>
    <cellStyle name="Hyperlink" xfId="18065" builtinId="8" hidden="1"/>
    <cellStyle name="Hyperlink" xfId="18067" builtinId="8" hidden="1"/>
    <cellStyle name="Hyperlink" xfId="18069" builtinId="8" hidden="1"/>
    <cellStyle name="Hyperlink" xfId="18071" builtinId="8" hidden="1"/>
    <cellStyle name="Hyperlink" xfId="18073" builtinId="8" hidden="1"/>
    <cellStyle name="Hyperlink" xfId="18075" builtinId="8" hidden="1"/>
    <cellStyle name="Hyperlink" xfId="18077" builtinId="8" hidden="1"/>
    <cellStyle name="Hyperlink" xfId="18079" builtinId="8" hidden="1"/>
    <cellStyle name="Hyperlink" xfId="18081" builtinId="8" hidden="1"/>
    <cellStyle name="Hyperlink" xfId="18083" builtinId="8" hidden="1"/>
    <cellStyle name="Hyperlink" xfId="18085" builtinId="8" hidden="1"/>
    <cellStyle name="Hyperlink" xfId="18087" builtinId="8" hidden="1"/>
    <cellStyle name="Hyperlink" xfId="18089" builtinId="8" hidden="1"/>
    <cellStyle name="Hyperlink" xfId="18091" builtinId="8" hidden="1"/>
    <cellStyle name="Hyperlink" xfId="18093" builtinId="8" hidden="1"/>
    <cellStyle name="Hyperlink" xfId="18095" builtinId="8" hidden="1"/>
    <cellStyle name="Hyperlink" xfId="18097" builtinId="8" hidden="1"/>
    <cellStyle name="Hyperlink" xfId="18099" builtinId="8" hidden="1"/>
    <cellStyle name="Hyperlink" xfId="18101" builtinId="8" hidden="1"/>
    <cellStyle name="Hyperlink" xfId="18103" builtinId="8" hidden="1"/>
    <cellStyle name="Hyperlink" xfId="18105" builtinId="8" hidden="1"/>
    <cellStyle name="Hyperlink" xfId="18107" builtinId="8" hidden="1"/>
    <cellStyle name="Hyperlink" xfId="18109" builtinId="8" hidden="1"/>
    <cellStyle name="Hyperlink" xfId="18111" builtinId="8" hidden="1"/>
    <cellStyle name="Hyperlink" xfId="18113" builtinId="8" hidden="1"/>
    <cellStyle name="Hyperlink" xfId="18115" builtinId="8" hidden="1"/>
    <cellStyle name="Hyperlink" xfId="18117" builtinId="8" hidden="1"/>
    <cellStyle name="Hyperlink" xfId="18119" builtinId="8" hidden="1"/>
    <cellStyle name="Hyperlink" xfId="18121" builtinId="8" hidden="1"/>
    <cellStyle name="Hyperlink" xfId="18123" builtinId="8" hidden="1"/>
    <cellStyle name="Hyperlink" xfId="18125" builtinId="8" hidden="1"/>
    <cellStyle name="Hyperlink" xfId="18127" builtinId="8" hidden="1"/>
    <cellStyle name="Hyperlink" xfId="18129" builtinId="8" hidden="1"/>
    <cellStyle name="Hyperlink" xfId="18131" builtinId="8" hidden="1"/>
    <cellStyle name="Hyperlink" xfId="18133" builtinId="8" hidden="1"/>
    <cellStyle name="Hyperlink" xfId="18135" builtinId="8" hidden="1"/>
    <cellStyle name="Hyperlink" xfId="18137" builtinId="8" hidden="1"/>
    <cellStyle name="Hyperlink" xfId="18139" builtinId="8" hidden="1"/>
    <cellStyle name="Hyperlink" xfId="18141" builtinId="8" hidden="1"/>
    <cellStyle name="Hyperlink" xfId="18143" builtinId="8" hidden="1"/>
    <cellStyle name="Hyperlink" xfId="18145" builtinId="8" hidden="1"/>
    <cellStyle name="Hyperlink" xfId="18147" builtinId="8" hidden="1"/>
    <cellStyle name="Hyperlink" xfId="18149" builtinId="8" hidden="1"/>
    <cellStyle name="Hyperlink" xfId="18151" builtinId="8" hidden="1"/>
    <cellStyle name="Hyperlink" xfId="18153" builtinId="8" hidden="1"/>
    <cellStyle name="Hyperlink" xfId="18155" builtinId="8" hidden="1"/>
    <cellStyle name="Hyperlink" xfId="18157" builtinId="8" hidden="1"/>
    <cellStyle name="Hyperlink" xfId="18159" builtinId="8" hidden="1"/>
    <cellStyle name="Hyperlink" xfId="18161" builtinId="8" hidden="1"/>
    <cellStyle name="Hyperlink" xfId="18163" builtinId="8" hidden="1"/>
    <cellStyle name="Hyperlink" xfId="18165" builtinId="8" hidden="1"/>
    <cellStyle name="Hyperlink" xfId="18167" builtinId="8" hidden="1"/>
    <cellStyle name="Hyperlink" xfId="18169" builtinId="8" hidden="1"/>
    <cellStyle name="Hyperlink" xfId="18171" builtinId="8" hidden="1"/>
    <cellStyle name="Hyperlink" xfId="18173" builtinId="8" hidden="1"/>
    <cellStyle name="Hyperlink" xfId="18175" builtinId="8" hidden="1"/>
    <cellStyle name="Hyperlink" xfId="18177" builtinId="8" hidden="1"/>
    <cellStyle name="Hyperlink" xfId="18179" builtinId="8" hidden="1"/>
    <cellStyle name="Hyperlink" xfId="18181" builtinId="8" hidden="1"/>
    <cellStyle name="Hyperlink" xfId="18183" builtinId="8" hidden="1"/>
    <cellStyle name="Hyperlink" xfId="18185" builtinId="8" hidden="1"/>
    <cellStyle name="Hyperlink" xfId="18187" builtinId="8" hidden="1"/>
    <cellStyle name="Hyperlink" xfId="18189" builtinId="8" hidden="1"/>
    <cellStyle name="Hyperlink" xfId="18191" builtinId="8" hidden="1"/>
    <cellStyle name="Hyperlink" xfId="18193" builtinId="8" hidden="1"/>
    <cellStyle name="Hyperlink" xfId="18195" builtinId="8" hidden="1"/>
    <cellStyle name="Hyperlink" xfId="18197" builtinId="8" hidden="1"/>
    <cellStyle name="Hyperlink" xfId="18199" builtinId="8" hidden="1"/>
    <cellStyle name="Hyperlink" xfId="18201" builtinId="8" hidden="1"/>
    <cellStyle name="Hyperlink" xfId="18203" builtinId="8" hidden="1"/>
    <cellStyle name="Hyperlink" xfId="18205" builtinId="8" hidden="1"/>
    <cellStyle name="Hyperlink" xfId="18207" builtinId="8" hidden="1"/>
    <cellStyle name="Hyperlink" xfId="18209" builtinId="8" hidden="1"/>
    <cellStyle name="Hyperlink" xfId="18211" builtinId="8" hidden="1"/>
    <cellStyle name="Hyperlink" xfId="18213" builtinId="8" hidden="1"/>
    <cellStyle name="Hyperlink" xfId="18215" builtinId="8" hidden="1"/>
    <cellStyle name="Hyperlink" xfId="18217" builtinId="8" hidden="1"/>
    <cellStyle name="Hyperlink" xfId="18219" builtinId="8" hidden="1"/>
    <cellStyle name="Hyperlink" xfId="18221" builtinId="8" hidden="1"/>
    <cellStyle name="Hyperlink" xfId="18223" builtinId="8" hidden="1"/>
    <cellStyle name="Hyperlink" xfId="18225" builtinId="8" hidden="1"/>
    <cellStyle name="Hyperlink" xfId="18227" builtinId="8" hidden="1"/>
    <cellStyle name="Hyperlink" xfId="18229" builtinId="8" hidden="1"/>
    <cellStyle name="Hyperlink" xfId="18231" builtinId="8" hidden="1"/>
    <cellStyle name="Hyperlink" xfId="18233" builtinId="8" hidden="1"/>
    <cellStyle name="Hyperlink" xfId="18235" builtinId="8" hidden="1"/>
    <cellStyle name="Hyperlink" xfId="18237" builtinId="8" hidden="1"/>
    <cellStyle name="Hyperlink" xfId="18239" builtinId="8" hidden="1"/>
    <cellStyle name="Hyperlink" xfId="18241" builtinId="8" hidden="1"/>
    <cellStyle name="Hyperlink" xfId="18243" builtinId="8" hidden="1"/>
    <cellStyle name="Hyperlink" xfId="18245" builtinId="8" hidden="1"/>
    <cellStyle name="Hyperlink" xfId="18247" builtinId="8" hidden="1"/>
    <cellStyle name="Hyperlink" xfId="18249" builtinId="8" hidden="1"/>
    <cellStyle name="Hyperlink" xfId="18251" builtinId="8" hidden="1"/>
    <cellStyle name="Hyperlink" xfId="18253" builtinId="8" hidden="1"/>
    <cellStyle name="Hyperlink" xfId="18255" builtinId="8" hidden="1"/>
    <cellStyle name="Hyperlink" xfId="18257" builtinId="8" hidden="1"/>
    <cellStyle name="Hyperlink" xfId="18259" builtinId="8" hidden="1"/>
    <cellStyle name="Hyperlink" xfId="18261" builtinId="8" hidden="1"/>
    <cellStyle name="Hyperlink" xfId="18263" builtinId="8" hidden="1"/>
    <cellStyle name="Hyperlink" xfId="18265" builtinId="8" hidden="1"/>
    <cellStyle name="Hyperlink" xfId="18267" builtinId="8" hidden="1"/>
    <cellStyle name="Hyperlink" xfId="18269" builtinId="8" hidden="1"/>
    <cellStyle name="Hyperlink" xfId="18271" builtinId="8" hidden="1"/>
    <cellStyle name="Hyperlink" xfId="18273" builtinId="8" hidden="1"/>
    <cellStyle name="Hyperlink" xfId="18275" builtinId="8" hidden="1"/>
    <cellStyle name="Hyperlink" xfId="18277" builtinId="8" hidden="1"/>
    <cellStyle name="Hyperlink" xfId="18279" builtinId="8" hidden="1"/>
    <cellStyle name="Hyperlink" xfId="18281" builtinId="8" hidden="1"/>
    <cellStyle name="Hyperlink" xfId="18283" builtinId="8" hidden="1"/>
    <cellStyle name="Hyperlink" xfId="18285" builtinId="8" hidden="1"/>
    <cellStyle name="Hyperlink" xfId="18287" builtinId="8" hidden="1"/>
    <cellStyle name="Hyperlink" xfId="18289" builtinId="8" hidden="1"/>
    <cellStyle name="Hyperlink" xfId="18291" builtinId="8" hidden="1"/>
    <cellStyle name="Hyperlink" xfId="18293" builtinId="8" hidden="1"/>
    <cellStyle name="Hyperlink" xfId="18295" builtinId="8" hidden="1"/>
    <cellStyle name="Hyperlink" xfId="18297" builtinId="8" hidden="1"/>
    <cellStyle name="Hyperlink" xfId="18299" builtinId="8" hidden="1"/>
    <cellStyle name="Hyperlink" xfId="18301" builtinId="8" hidden="1"/>
    <cellStyle name="Hyperlink" xfId="18303" builtinId="8" hidden="1"/>
    <cellStyle name="Hyperlink" xfId="18305" builtinId="8" hidden="1"/>
    <cellStyle name="Hyperlink" xfId="18307" builtinId="8" hidden="1"/>
    <cellStyle name="Hyperlink" xfId="18309" builtinId="8" hidden="1"/>
    <cellStyle name="Hyperlink" xfId="18311" builtinId="8" hidden="1"/>
    <cellStyle name="Hyperlink" xfId="18313" builtinId="8" hidden="1"/>
    <cellStyle name="Hyperlink" xfId="18315" builtinId="8" hidden="1"/>
    <cellStyle name="Hyperlink" xfId="18317" builtinId="8" hidden="1"/>
    <cellStyle name="Hyperlink" xfId="18319" builtinId="8" hidden="1"/>
    <cellStyle name="Hyperlink" xfId="18321" builtinId="8" hidden="1"/>
    <cellStyle name="Hyperlink" xfId="18323" builtinId="8" hidden="1"/>
    <cellStyle name="Hyperlink" xfId="18325" builtinId="8" hidden="1"/>
    <cellStyle name="Hyperlink" xfId="18327" builtinId="8" hidden="1"/>
    <cellStyle name="Hyperlink" xfId="18329" builtinId="8" hidden="1"/>
    <cellStyle name="Hyperlink" xfId="18331" builtinId="8" hidden="1"/>
    <cellStyle name="Hyperlink" xfId="18333" builtinId="8" hidden="1"/>
    <cellStyle name="Hyperlink" xfId="18335" builtinId="8" hidden="1"/>
    <cellStyle name="Hyperlink" xfId="18337" builtinId="8" hidden="1"/>
    <cellStyle name="Hyperlink" xfId="18339" builtinId="8" hidden="1"/>
    <cellStyle name="Hyperlink" xfId="18341" builtinId="8" hidden="1"/>
    <cellStyle name="Hyperlink" xfId="18343" builtinId="8" hidden="1"/>
    <cellStyle name="Hyperlink" xfId="18345" builtinId="8" hidden="1"/>
    <cellStyle name="Hyperlink" xfId="18347" builtinId="8" hidden="1"/>
    <cellStyle name="Hyperlink" xfId="18349" builtinId="8" hidden="1"/>
    <cellStyle name="Hyperlink" xfId="18351" builtinId="8" hidden="1"/>
    <cellStyle name="Hyperlink" xfId="18353" builtinId="8" hidden="1"/>
    <cellStyle name="Hyperlink" xfId="18355" builtinId="8" hidden="1"/>
    <cellStyle name="Hyperlink" xfId="18357" builtinId="8" hidden="1"/>
    <cellStyle name="Hyperlink" xfId="18359" builtinId="8" hidden="1"/>
    <cellStyle name="Hyperlink" xfId="18361" builtinId="8" hidden="1"/>
    <cellStyle name="Hyperlink" xfId="18363" builtinId="8" hidden="1"/>
    <cellStyle name="Hyperlink" xfId="18365" builtinId="8" hidden="1"/>
    <cellStyle name="Hyperlink" xfId="18367" builtinId="8" hidden="1"/>
    <cellStyle name="Hyperlink" xfId="18369" builtinId="8" hidden="1"/>
    <cellStyle name="Hyperlink" xfId="18371" builtinId="8" hidden="1"/>
    <cellStyle name="Hyperlink" xfId="18373" builtinId="8" hidden="1"/>
    <cellStyle name="Hyperlink" xfId="18375" builtinId="8" hidden="1"/>
    <cellStyle name="Hyperlink" xfId="18377" builtinId="8" hidden="1"/>
    <cellStyle name="Hyperlink" xfId="18379" builtinId="8" hidden="1"/>
    <cellStyle name="Hyperlink" xfId="18381" builtinId="8" hidden="1"/>
    <cellStyle name="Hyperlink" xfId="18383" builtinId="8" hidden="1"/>
    <cellStyle name="Hyperlink" xfId="18385" builtinId="8" hidden="1"/>
    <cellStyle name="Hyperlink" xfId="18387" builtinId="8" hidden="1"/>
    <cellStyle name="Hyperlink" xfId="18389" builtinId="8" hidden="1"/>
    <cellStyle name="Hyperlink" xfId="18391" builtinId="8" hidden="1"/>
    <cellStyle name="Hyperlink" xfId="18393" builtinId="8" hidden="1"/>
    <cellStyle name="Hyperlink" xfId="18395" builtinId="8" hidden="1"/>
    <cellStyle name="Hyperlink" xfId="18397" builtinId="8" hidden="1"/>
    <cellStyle name="Hyperlink" xfId="18399" builtinId="8" hidden="1"/>
    <cellStyle name="Hyperlink" xfId="18401" builtinId="8" hidden="1"/>
    <cellStyle name="Hyperlink" xfId="18403" builtinId="8" hidden="1"/>
    <cellStyle name="Hyperlink" xfId="18405" builtinId="8" hidden="1"/>
    <cellStyle name="Hyperlink" xfId="18407" builtinId="8" hidden="1"/>
    <cellStyle name="Hyperlink" xfId="18409" builtinId="8" hidden="1"/>
    <cellStyle name="Hyperlink" xfId="18411" builtinId="8" hidden="1"/>
    <cellStyle name="Hyperlink" xfId="18413" builtinId="8" hidden="1"/>
    <cellStyle name="Hyperlink" xfId="18415" builtinId="8" hidden="1"/>
    <cellStyle name="Hyperlink" xfId="18417" builtinId="8" hidden="1"/>
    <cellStyle name="Hyperlink" xfId="18419" builtinId="8" hidden="1"/>
    <cellStyle name="Hyperlink" xfId="18421" builtinId="8" hidden="1"/>
    <cellStyle name="Hyperlink" xfId="18423" builtinId="8" hidden="1"/>
    <cellStyle name="Hyperlink" xfId="18425" builtinId="8" hidden="1"/>
    <cellStyle name="Hyperlink" xfId="18427" builtinId="8" hidden="1"/>
    <cellStyle name="Hyperlink" xfId="18429" builtinId="8" hidden="1"/>
    <cellStyle name="Hyperlink" xfId="18431" builtinId="8" hidden="1"/>
    <cellStyle name="Hyperlink" xfId="18433" builtinId="8" hidden="1"/>
    <cellStyle name="Hyperlink" xfId="18435" builtinId="8" hidden="1"/>
    <cellStyle name="Hyperlink" xfId="18437" builtinId="8" hidden="1"/>
    <cellStyle name="Hyperlink" xfId="18439" builtinId="8" hidden="1"/>
    <cellStyle name="Hyperlink" xfId="18441" builtinId="8" hidden="1"/>
    <cellStyle name="Hyperlink" xfId="18443" builtinId="8" hidden="1"/>
    <cellStyle name="Hyperlink" xfId="18445" builtinId="8" hidden="1"/>
    <cellStyle name="Hyperlink" xfId="18447" builtinId="8" hidden="1"/>
    <cellStyle name="Hyperlink" xfId="18449" builtinId="8" hidden="1"/>
    <cellStyle name="Hyperlink" xfId="18451" builtinId="8" hidden="1"/>
    <cellStyle name="Hyperlink" xfId="18453" builtinId="8" hidden="1"/>
    <cellStyle name="Hyperlink" xfId="18455" builtinId="8" hidden="1"/>
    <cellStyle name="Hyperlink" xfId="18457" builtinId="8" hidden="1"/>
    <cellStyle name="Hyperlink" xfId="18459" builtinId="8" hidden="1"/>
    <cellStyle name="Hyperlink" xfId="18461" builtinId="8" hidden="1"/>
    <cellStyle name="Hyperlink" xfId="18463" builtinId="8" hidden="1"/>
    <cellStyle name="Hyperlink" xfId="18465" builtinId="8" hidden="1"/>
    <cellStyle name="Hyperlink" xfId="18467" builtinId="8" hidden="1"/>
    <cellStyle name="Hyperlink" xfId="18469" builtinId="8" hidden="1"/>
    <cellStyle name="Hyperlink" xfId="18471" builtinId="8" hidden="1"/>
    <cellStyle name="Hyperlink" xfId="18473" builtinId="8" hidden="1"/>
    <cellStyle name="Hyperlink" xfId="18475" builtinId="8" hidden="1"/>
    <cellStyle name="Hyperlink" xfId="18477" builtinId="8" hidden="1"/>
    <cellStyle name="Hyperlink" xfId="18479" builtinId="8" hidden="1"/>
    <cellStyle name="Hyperlink" xfId="18481" builtinId="8" hidden="1"/>
    <cellStyle name="Hyperlink" xfId="18483" builtinId="8" hidden="1"/>
    <cellStyle name="Hyperlink" xfId="18485" builtinId="8" hidden="1"/>
    <cellStyle name="Hyperlink" xfId="18487" builtinId="8" hidden="1"/>
    <cellStyle name="Hyperlink" xfId="18489" builtinId="8" hidden="1"/>
    <cellStyle name="Hyperlink" xfId="18491" builtinId="8" hidden="1"/>
    <cellStyle name="Hyperlink" xfId="18493" builtinId="8" hidden="1"/>
    <cellStyle name="Hyperlink" xfId="18495" builtinId="8" hidden="1"/>
    <cellStyle name="Hyperlink" xfId="18497" builtinId="8" hidden="1"/>
    <cellStyle name="Hyperlink" xfId="18499" builtinId="8" hidden="1"/>
    <cellStyle name="Hyperlink" xfId="18501" builtinId="8" hidden="1"/>
    <cellStyle name="Hyperlink" xfId="18503" builtinId="8" hidden="1"/>
    <cellStyle name="Hyperlink" xfId="18505" builtinId="8" hidden="1"/>
    <cellStyle name="Hyperlink" xfId="18507" builtinId="8" hidden="1"/>
    <cellStyle name="Hyperlink" xfId="18509" builtinId="8" hidden="1"/>
    <cellStyle name="Hyperlink" xfId="18511" builtinId="8" hidden="1"/>
    <cellStyle name="Hyperlink" xfId="18513" builtinId="8" hidden="1"/>
    <cellStyle name="Hyperlink" xfId="18515" builtinId="8" hidden="1"/>
    <cellStyle name="Hyperlink" xfId="18517" builtinId="8" hidden="1"/>
    <cellStyle name="Hyperlink" xfId="18519" builtinId="8" hidden="1"/>
    <cellStyle name="Hyperlink" xfId="18521" builtinId="8" hidden="1"/>
    <cellStyle name="Hyperlink" xfId="18523" builtinId="8" hidden="1"/>
    <cellStyle name="Hyperlink" xfId="18525" builtinId="8" hidden="1"/>
    <cellStyle name="Hyperlink" xfId="18527" builtinId="8" hidden="1"/>
    <cellStyle name="Hyperlink" xfId="18529" builtinId="8" hidden="1"/>
    <cellStyle name="Hyperlink" xfId="18531" builtinId="8" hidden="1"/>
    <cellStyle name="Hyperlink" xfId="18533" builtinId="8" hidden="1"/>
    <cellStyle name="Hyperlink" xfId="18535" builtinId="8" hidden="1"/>
    <cellStyle name="Hyperlink" xfId="18537" builtinId="8" hidden="1"/>
    <cellStyle name="Hyperlink" xfId="18539" builtinId="8" hidden="1"/>
    <cellStyle name="Hyperlink" xfId="18541" builtinId="8" hidden="1"/>
    <cellStyle name="Hyperlink" xfId="18543" builtinId="8" hidden="1"/>
    <cellStyle name="Hyperlink" xfId="18545" builtinId="8" hidden="1"/>
    <cellStyle name="Hyperlink" xfId="18547" builtinId="8" hidden="1"/>
    <cellStyle name="Hyperlink" xfId="18549" builtinId="8" hidden="1"/>
    <cellStyle name="Hyperlink" xfId="18551" builtinId="8" hidden="1"/>
    <cellStyle name="Hyperlink" xfId="18553" builtinId="8" hidden="1"/>
    <cellStyle name="Hyperlink" xfId="18555" builtinId="8" hidden="1"/>
    <cellStyle name="Hyperlink" xfId="18557" builtinId="8" hidden="1"/>
    <cellStyle name="Hyperlink" xfId="18559" builtinId="8" hidden="1"/>
    <cellStyle name="Hyperlink" xfId="18561" builtinId="8" hidden="1"/>
    <cellStyle name="Hyperlink" xfId="18563" builtinId="8" hidden="1"/>
    <cellStyle name="Hyperlink" xfId="18565" builtinId="8" hidden="1"/>
    <cellStyle name="Hyperlink" xfId="18567" builtinId="8" hidden="1"/>
    <cellStyle name="Hyperlink" xfId="18569" builtinId="8" hidden="1"/>
    <cellStyle name="Hyperlink" xfId="18571" builtinId="8" hidden="1"/>
    <cellStyle name="Hyperlink" xfId="18573" builtinId="8" hidden="1"/>
    <cellStyle name="Hyperlink" xfId="18575" builtinId="8" hidden="1"/>
    <cellStyle name="Hyperlink" xfId="18577" builtinId="8" hidden="1"/>
    <cellStyle name="Hyperlink" xfId="18579" builtinId="8" hidden="1"/>
    <cellStyle name="Hyperlink" xfId="18581" builtinId="8" hidden="1"/>
    <cellStyle name="Hyperlink" xfId="18583" builtinId="8" hidden="1"/>
    <cellStyle name="Hyperlink" xfId="18585" builtinId="8" hidden="1"/>
    <cellStyle name="Hyperlink" xfId="18587" builtinId="8" hidden="1"/>
    <cellStyle name="Hyperlink" xfId="18589" builtinId="8" hidden="1"/>
    <cellStyle name="Hyperlink" xfId="18591" builtinId="8" hidden="1"/>
    <cellStyle name="Hyperlink" xfId="18593" builtinId="8" hidden="1"/>
    <cellStyle name="Hyperlink" xfId="18595" builtinId="8" hidden="1"/>
    <cellStyle name="Hyperlink" xfId="18597" builtinId="8" hidden="1"/>
    <cellStyle name="Hyperlink" xfId="18599" builtinId="8" hidden="1"/>
    <cellStyle name="Hyperlink" xfId="18601" builtinId="8" hidden="1"/>
    <cellStyle name="Hyperlink" xfId="18603" builtinId="8" hidden="1"/>
    <cellStyle name="Hyperlink" xfId="18605" builtinId="8" hidden="1"/>
    <cellStyle name="Hyperlink" xfId="18607" builtinId="8" hidden="1"/>
    <cellStyle name="Hyperlink" xfId="18609" builtinId="8" hidden="1"/>
    <cellStyle name="Hyperlink" xfId="18611" builtinId="8" hidden="1"/>
    <cellStyle name="Hyperlink" xfId="18613" builtinId="8" hidden="1"/>
    <cellStyle name="Hyperlink" xfId="18615" builtinId="8" hidden="1"/>
    <cellStyle name="Hyperlink" xfId="18617" builtinId="8" hidden="1"/>
    <cellStyle name="Hyperlink" xfId="18619" builtinId="8" hidden="1"/>
    <cellStyle name="Hyperlink" xfId="18621" builtinId="8" hidden="1"/>
    <cellStyle name="Hyperlink" xfId="18623" builtinId="8" hidden="1"/>
    <cellStyle name="Hyperlink" xfId="18625" builtinId="8" hidden="1"/>
    <cellStyle name="Hyperlink" xfId="18627" builtinId="8" hidden="1"/>
    <cellStyle name="Hyperlink" xfId="18629" builtinId="8" hidden="1"/>
    <cellStyle name="Hyperlink" xfId="18631" builtinId="8" hidden="1"/>
    <cellStyle name="Hyperlink" xfId="18633" builtinId="8" hidden="1"/>
    <cellStyle name="Hyperlink" xfId="18635" builtinId="8" hidden="1"/>
    <cellStyle name="Hyperlink" xfId="18637" builtinId="8" hidden="1"/>
    <cellStyle name="Hyperlink" xfId="18639" builtinId="8" hidden="1"/>
    <cellStyle name="Hyperlink" xfId="18641" builtinId="8" hidden="1"/>
    <cellStyle name="Hyperlink" xfId="18643" builtinId="8" hidden="1"/>
    <cellStyle name="Hyperlink" xfId="18645" builtinId="8" hidden="1"/>
    <cellStyle name="Hyperlink" xfId="18647" builtinId="8" hidden="1"/>
    <cellStyle name="Hyperlink" xfId="18649" builtinId="8" hidden="1"/>
    <cellStyle name="Hyperlink" xfId="18651" builtinId="8" hidden="1"/>
    <cellStyle name="Hyperlink" xfId="18653" builtinId="8" hidden="1"/>
    <cellStyle name="Hyperlink" xfId="18655" builtinId="8" hidden="1"/>
    <cellStyle name="Hyperlink" xfId="18657" builtinId="8" hidden="1"/>
    <cellStyle name="Hyperlink" xfId="18659" builtinId="8" hidden="1"/>
    <cellStyle name="Hyperlink" xfId="18661" builtinId="8" hidden="1"/>
    <cellStyle name="Hyperlink" xfId="18663" builtinId="8" hidden="1"/>
    <cellStyle name="Hyperlink" xfId="18665" builtinId="8" hidden="1"/>
    <cellStyle name="Hyperlink" xfId="18667" builtinId="8" hidden="1"/>
    <cellStyle name="Hyperlink" xfId="18669" builtinId="8" hidden="1"/>
    <cellStyle name="Hyperlink" xfId="18671" builtinId="8" hidden="1"/>
    <cellStyle name="Hyperlink" xfId="18673" builtinId="8" hidden="1"/>
    <cellStyle name="Hyperlink" xfId="18675" builtinId="8" hidden="1"/>
    <cellStyle name="Hyperlink" xfId="18677" builtinId="8" hidden="1"/>
    <cellStyle name="Hyperlink" xfId="18679" builtinId="8" hidden="1"/>
    <cellStyle name="Hyperlink" xfId="18681" builtinId="8" hidden="1"/>
    <cellStyle name="Hyperlink" xfId="18683" builtinId="8" hidden="1"/>
    <cellStyle name="Hyperlink" xfId="18685" builtinId="8" hidden="1"/>
    <cellStyle name="Hyperlink" xfId="18687" builtinId="8" hidden="1"/>
    <cellStyle name="Hyperlink" xfId="18689" builtinId="8" hidden="1"/>
    <cellStyle name="Hyperlink" xfId="18691" builtinId="8" hidden="1"/>
    <cellStyle name="Hyperlink" xfId="18693" builtinId="8" hidden="1"/>
    <cellStyle name="Hyperlink" xfId="18695" builtinId="8" hidden="1"/>
    <cellStyle name="Hyperlink" xfId="18697" builtinId="8" hidden="1"/>
    <cellStyle name="Hyperlink" xfId="18699" builtinId="8" hidden="1"/>
    <cellStyle name="Hyperlink" xfId="18701" builtinId="8" hidden="1"/>
    <cellStyle name="Hyperlink" xfId="18703" builtinId="8" hidden="1"/>
    <cellStyle name="Hyperlink" xfId="18705" builtinId="8" hidden="1"/>
    <cellStyle name="Hyperlink" xfId="18707" builtinId="8" hidden="1"/>
    <cellStyle name="Hyperlink" xfId="18709" builtinId="8" hidden="1"/>
    <cellStyle name="Hyperlink" xfId="18711" builtinId="8" hidden="1"/>
    <cellStyle name="Hyperlink" xfId="18713" builtinId="8" hidden="1"/>
    <cellStyle name="Hyperlink" xfId="18715" builtinId="8" hidden="1"/>
    <cellStyle name="Hyperlink" xfId="18717" builtinId="8" hidden="1"/>
    <cellStyle name="Hyperlink" xfId="18719" builtinId="8" hidden="1"/>
    <cellStyle name="Hyperlink" xfId="18721" builtinId="8" hidden="1"/>
    <cellStyle name="Hyperlink" xfId="18723" builtinId="8" hidden="1"/>
    <cellStyle name="Hyperlink" xfId="18725" builtinId="8" hidden="1"/>
    <cellStyle name="Hyperlink" xfId="18727" builtinId="8" hidden="1"/>
    <cellStyle name="Hyperlink" xfId="18729" builtinId="8" hidden="1"/>
    <cellStyle name="Hyperlink" xfId="18731" builtinId="8" hidden="1"/>
    <cellStyle name="Hyperlink" xfId="18733" builtinId="8" hidden="1"/>
    <cellStyle name="Hyperlink" xfId="18735" builtinId="8" hidden="1"/>
    <cellStyle name="Hyperlink" xfId="18737" builtinId="8" hidden="1"/>
    <cellStyle name="Hyperlink" xfId="18739" builtinId="8" hidden="1"/>
    <cellStyle name="Hyperlink" xfId="18741" builtinId="8" hidden="1"/>
    <cellStyle name="Hyperlink" xfId="18743" builtinId="8" hidden="1"/>
    <cellStyle name="Hyperlink" xfId="18745" builtinId="8" hidden="1"/>
    <cellStyle name="Hyperlink" xfId="18747" builtinId="8" hidden="1"/>
    <cellStyle name="Hyperlink" xfId="18749" builtinId="8" hidden="1"/>
    <cellStyle name="Hyperlink" xfId="18751" builtinId="8" hidden="1"/>
    <cellStyle name="Hyperlink" xfId="18753" builtinId="8" hidden="1"/>
    <cellStyle name="Hyperlink" xfId="18755" builtinId="8" hidden="1"/>
    <cellStyle name="Hyperlink" xfId="18757" builtinId="8" hidden="1"/>
    <cellStyle name="Hyperlink" xfId="18759" builtinId="8" hidden="1"/>
    <cellStyle name="Hyperlink" xfId="18761" builtinId="8" hidden="1"/>
    <cellStyle name="Hyperlink" xfId="18763" builtinId="8" hidden="1"/>
    <cellStyle name="Hyperlink" xfId="18765" builtinId="8" hidden="1"/>
    <cellStyle name="Hyperlink" xfId="18767" builtinId="8" hidden="1"/>
    <cellStyle name="Hyperlink" xfId="18769" builtinId="8" hidden="1"/>
    <cellStyle name="Hyperlink" xfId="18771" builtinId="8" hidden="1"/>
    <cellStyle name="Hyperlink" xfId="18773" builtinId="8" hidden="1"/>
    <cellStyle name="Hyperlink" xfId="18775" builtinId="8" hidden="1"/>
    <cellStyle name="Hyperlink" xfId="18777" builtinId="8" hidden="1"/>
    <cellStyle name="Hyperlink" xfId="18779" builtinId="8" hidden="1"/>
    <cellStyle name="Hyperlink" xfId="18781" builtinId="8" hidden="1"/>
    <cellStyle name="Hyperlink" xfId="18783" builtinId="8" hidden="1"/>
    <cellStyle name="Hyperlink" xfId="18785" builtinId="8" hidden="1"/>
    <cellStyle name="Hyperlink" xfId="18787" builtinId="8" hidden="1"/>
    <cellStyle name="Hyperlink" xfId="18789" builtinId="8" hidden="1"/>
    <cellStyle name="Hyperlink" xfId="18791" builtinId="8" hidden="1"/>
    <cellStyle name="Hyperlink" xfId="18793" builtinId="8" hidden="1"/>
    <cellStyle name="Hyperlink" xfId="18795" builtinId="8" hidden="1"/>
    <cellStyle name="Hyperlink" xfId="18797" builtinId="8" hidden="1"/>
    <cellStyle name="Hyperlink" xfId="18799" builtinId="8" hidden="1"/>
    <cellStyle name="Hyperlink" xfId="18801" builtinId="8" hidden="1"/>
    <cellStyle name="Hyperlink" xfId="18803" builtinId="8" hidden="1"/>
    <cellStyle name="Hyperlink" xfId="18805" builtinId="8" hidden="1"/>
    <cellStyle name="Hyperlink" xfId="18807" builtinId="8" hidden="1"/>
    <cellStyle name="Hyperlink" xfId="18809" builtinId="8" hidden="1"/>
    <cellStyle name="Hyperlink" xfId="18811" builtinId="8" hidden="1"/>
    <cellStyle name="Hyperlink" xfId="18813" builtinId="8" hidden="1"/>
    <cellStyle name="Hyperlink" xfId="18815" builtinId="8" hidden="1"/>
    <cellStyle name="Hyperlink" xfId="18817" builtinId="8" hidden="1"/>
    <cellStyle name="Hyperlink" xfId="18819" builtinId="8" hidden="1"/>
    <cellStyle name="Hyperlink" xfId="18821" builtinId="8" hidden="1"/>
    <cellStyle name="Hyperlink" xfId="18823" builtinId="8" hidden="1"/>
    <cellStyle name="Hyperlink" xfId="18825" builtinId="8" hidden="1"/>
    <cellStyle name="Hyperlink" xfId="18827" builtinId="8" hidden="1"/>
    <cellStyle name="Hyperlink" xfId="18829" builtinId="8" hidden="1"/>
    <cellStyle name="Hyperlink" xfId="18831" builtinId="8" hidden="1"/>
    <cellStyle name="Hyperlink" xfId="18833" builtinId="8" hidden="1"/>
    <cellStyle name="Hyperlink" xfId="18835" builtinId="8" hidden="1"/>
    <cellStyle name="Hyperlink" xfId="18837" builtinId="8" hidden="1"/>
    <cellStyle name="Hyperlink" xfId="18839" builtinId="8" hidden="1"/>
    <cellStyle name="Hyperlink" xfId="18841" builtinId="8" hidden="1"/>
    <cellStyle name="Hyperlink" xfId="18843" builtinId="8" hidden="1"/>
    <cellStyle name="Hyperlink" xfId="18845" builtinId="8" hidden="1"/>
    <cellStyle name="Hyperlink" xfId="18847" builtinId="8" hidden="1"/>
    <cellStyle name="Hyperlink" xfId="18849" builtinId="8" hidden="1"/>
    <cellStyle name="Hyperlink" xfId="18851" builtinId="8" hidden="1"/>
    <cellStyle name="Hyperlink" xfId="18853" builtinId="8" hidden="1"/>
    <cellStyle name="Hyperlink" xfId="18855" builtinId="8" hidden="1"/>
    <cellStyle name="Hyperlink" xfId="18857" builtinId="8" hidden="1"/>
    <cellStyle name="Hyperlink" xfId="18859" builtinId="8" hidden="1"/>
    <cellStyle name="Hyperlink" xfId="18861" builtinId="8" hidden="1"/>
    <cellStyle name="Hyperlink" xfId="18863" builtinId="8" hidden="1"/>
    <cellStyle name="Hyperlink" xfId="18865" builtinId="8" hidden="1"/>
    <cellStyle name="Hyperlink" xfId="18867" builtinId="8" hidden="1"/>
    <cellStyle name="Hyperlink" xfId="18869" builtinId="8" hidden="1"/>
    <cellStyle name="Hyperlink" xfId="18871" builtinId="8" hidden="1"/>
    <cellStyle name="Hyperlink" xfId="18873" builtinId="8" hidden="1"/>
    <cellStyle name="Hyperlink" xfId="18875" builtinId="8" hidden="1"/>
    <cellStyle name="Hyperlink" xfId="18877" builtinId="8" hidden="1"/>
    <cellStyle name="Hyperlink" xfId="18879" builtinId="8" hidden="1"/>
    <cellStyle name="Hyperlink" xfId="18881" builtinId="8" hidden="1"/>
    <cellStyle name="Hyperlink" xfId="18883" builtinId="8" hidden="1"/>
    <cellStyle name="Hyperlink" xfId="18885" builtinId="8" hidden="1"/>
    <cellStyle name="Hyperlink" xfId="18887" builtinId="8" hidden="1"/>
    <cellStyle name="Hyperlink" xfId="18889" builtinId="8" hidden="1"/>
    <cellStyle name="Hyperlink" xfId="18891" builtinId="8" hidden="1"/>
    <cellStyle name="Hyperlink" xfId="18893" builtinId="8" hidden="1"/>
    <cellStyle name="Hyperlink" xfId="18895" builtinId="8" hidden="1"/>
    <cellStyle name="Hyperlink" xfId="18897" builtinId="8" hidden="1"/>
    <cellStyle name="Hyperlink" xfId="18899" builtinId="8" hidden="1"/>
    <cellStyle name="Hyperlink" xfId="18901" builtinId="8" hidden="1"/>
    <cellStyle name="Hyperlink" xfId="18903" builtinId="8" hidden="1"/>
    <cellStyle name="Hyperlink" xfId="18905" builtinId="8" hidden="1"/>
    <cellStyle name="Hyperlink" xfId="18907" builtinId="8" hidden="1"/>
    <cellStyle name="Hyperlink" xfId="18909" builtinId="8" hidden="1"/>
    <cellStyle name="Hyperlink" xfId="18911" builtinId="8" hidden="1"/>
    <cellStyle name="Hyperlink" xfId="18913" builtinId="8" hidden="1"/>
    <cellStyle name="Hyperlink" xfId="18915" builtinId="8" hidden="1"/>
    <cellStyle name="Hyperlink" xfId="18917" builtinId="8" hidden="1"/>
    <cellStyle name="Hyperlink" xfId="18919" builtinId="8" hidden="1"/>
    <cellStyle name="Hyperlink" xfId="18921" builtinId="8" hidden="1"/>
    <cellStyle name="Hyperlink" xfId="18923" builtinId="8" hidden="1"/>
    <cellStyle name="Hyperlink" xfId="18925" builtinId="8" hidden="1"/>
    <cellStyle name="Hyperlink" xfId="18927" builtinId="8" hidden="1"/>
    <cellStyle name="Hyperlink" xfId="18929" builtinId="8" hidden="1"/>
    <cellStyle name="Hyperlink" xfId="18931" builtinId="8" hidden="1"/>
    <cellStyle name="Hyperlink" xfId="18933" builtinId="8" hidden="1"/>
    <cellStyle name="Hyperlink" xfId="18935" builtinId="8" hidden="1"/>
    <cellStyle name="Hyperlink" xfId="18937" builtinId="8" hidden="1"/>
    <cellStyle name="Hyperlink" xfId="18939" builtinId="8" hidden="1"/>
    <cellStyle name="Hyperlink" xfId="18941" builtinId="8" hidden="1"/>
    <cellStyle name="Hyperlink" xfId="18943" builtinId="8" hidden="1"/>
    <cellStyle name="Hyperlink" xfId="18945" builtinId="8" hidden="1"/>
    <cellStyle name="Hyperlink" xfId="18947" builtinId="8" hidden="1"/>
    <cellStyle name="Hyperlink" xfId="18949" builtinId="8" hidden="1"/>
    <cellStyle name="Hyperlink" xfId="18951" builtinId="8" hidden="1"/>
    <cellStyle name="Hyperlink" xfId="18953" builtinId="8" hidden="1"/>
    <cellStyle name="Hyperlink" xfId="18955" builtinId="8" hidden="1"/>
    <cellStyle name="Hyperlink" xfId="18957" builtinId="8" hidden="1"/>
    <cellStyle name="Hyperlink" xfId="18959" builtinId="8" hidden="1"/>
    <cellStyle name="Hyperlink" xfId="18961" builtinId="8" hidden="1"/>
    <cellStyle name="Hyperlink" xfId="18963" builtinId="8" hidden="1"/>
    <cellStyle name="Hyperlink" xfId="18965" builtinId="8" hidden="1"/>
    <cellStyle name="Hyperlink" xfId="18967" builtinId="8" hidden="1"/>
    <cellStyle name="Hyperlink" xfId="18969" builtinId="8" hidden="1"/>
    <cellStyle name="Hyperlink" xfId="18971" builtinId="8" hidden="1"/>
    <cellStyle name="Hyperlink" xfId="18973" builtinId="8" hidden="1"/>
    <cellStyle name="Hyperlink" xfId="18975" builtinId="8" hidden="1"/>
    <cellStyle name="Hyperlink" xfId="18977" builtinId="8" hidden="1"/>
    <cellStyle name="Hyperlink" xfId="18979" builtinId="8" hidden="1"/>
    <cellStyle name="Hyperlink" xfId="18981" builtinId="8" hidden="1"/>
    <cellStyle name="Hyperlink" xfId="18983" builtinId="8" hidden="1"/>
    <cellStyle name="Hyperlink" xfId="18985" builtinId="8" hidden="1"/>
    <cellStyle name="Hyperlink" xfId="18987" builtinId="8" hidden="1"/>
    <cellStyle name="Hyperlink" xfId="18989" builtinId="8" hidden="1"/>
    <cellStyle name="Hyperlink" xfId="18991" builtinId="8" hidden="1"/>
    <cellStyle name="Hyperlink" xfId="18993" builtinId="8" hidden="1"/>
    <cellStyle name="Hyperlink" xfId="18995" builtinId="8" hidden="1"/>
    <cellStyle name="Hyperlink" xfId="18997" builtinId="8" hidden="1"/>
    <cellStyle name="Hyperlink" xfId="18999" builtinId="8" hidden="1"/>
    <cellStyle name="Hyperlink" xfId="19001" builtinId="8" hidden="1"/>
    <cellStyle name="Hyperlink" xfId="19003" builtinId="8" hidden="1"/>
    <cellStyle name="Hyperlink" xfId="19005" builtinId="8" hidden="1"/>
    <cellStyle name="Hyperlink" xfId="19007" builtinId="8" hidden="1"/>
    <cellStyle name="Hyperlink" xfId="19009" builtinId="8" hidden="1"/>
    <cellStyle name="Hyperlink" xfId="19011" builtinId="8" hidden="1"/>
    <cellStyle name="Hyperlink" xfId="19013" builtinId="8" hidden="1"/>
    <cellStyle name="Hyperlink" xfId="19015" builtinId="8" hidden="1"/>
    <cellStyle name="Hyperlink" xfId="19017" builtinId="8" hidden="1"/>
    <cellStyle name="Hyperlink" xfId="19019" builtinId="8" hidden="1"/>
    <cellStyle name="Hyperlink" xfId="19021" builtinId="8" hidden="1"/>
    <cellStyle name="Hyperlink" xfId="19023" builtinId="8" hidden="1"/>
    <cellStyle name="Hyperlink" xfId="19025" builtinId="8" hidden="1"/>
    <cellStyle name="Hyperlink" xfId="19027" builtinId="8" hidden="1"/>
    <cellStyle name="Hyperlink" xfId="19029" builtinId="8" hidden="1"/>
    <cellStyle name="Hyperlink" xfId="19031" builtinId="8" hidden="1"/>
    <cellStyle name="Hyperlink" xfId="19033" builtinId="8" hidden="1"/>
    <cellStyle name="Hyperlink" xfId="19035" builtinId="8" hidden="1"/>
    <cellStyle name="Hyperlink" xfId="19037" builtinId="8" hidden="1"/>
    <cellStyle name="Hyperlink" xfId="19039" builtinId="8" hidden="1"/>
    <cellStyle name="Hyperlink" xfId="19041" builtinId="8" hidden="1"/>
    <cellStyle name="Hyperlink" xfId="19043" builtinId="8" hidden="1"/>
    <cellStyle name="Hyperlink" xfId="19045" builtinId="8" hidden="1"/>
    <cellStyle name="Hyperlink" xfId="19047" builtinId="8" hidden="1"/>
    <cellStyle name="Hyperlink" xfId="19049" builtinId="8" hidden="1"/>
    <cellStyle name="Hyperlink" xfId="19051" builtinId="8" hidden="1"/>
    <cellStyle name="Hyperlink" xfId="19053" builtinId="8" hidden="1"/>
    <cellStyle name="Hyperlink" xfId="19055" builtinId="8" hidden="1"/>
    <cellStyle name="Hyperlink" xfId="19057" builtinId="8" hidden="1"/>
    <cellStyle name="Hyperlink" xfId="19059" builtinId="8" hidden="1"/>
    <cellStyle name="Hyperlink" xfId="19061" builtinId="8" hidden="1"/>
    <cellStyle name="Hyperlink" xfId="19063" builtinId="8" hidden="1"/>
    <cellStyle name="Hyperlink" xfId="19065" builtinId="8" hidden="1"/>
    <cellStyle name="Hyperlink" xfId="19067" builtinId="8" hidden="1"/>
    <cellStyle name="Hyperlink" xfId="19069" builtinId="8" hidden="1"/>
    <cellStyle name="Hyperlink" xfId="19071" builtinId="8" hidden="1"/>
    <cellStyle name="Hyperlink" xfId="19073" builtinId="8" hidden="1"/>
    <cellStyle name="Hyperlink" xfId="19075" builtinId="8" hidden="1"/>
    <cellStyle name="Hyperlink" xfId="19077" builtinId="8" hidden="1"/>
    <cellStyle name="Hyperlink" xfId="19079" builtinId="8" hidden="1"/>
    <cellStyle name="Hyperlink" xfId="19081" builtinId="8" hidden="1"/>
    <cellStyle name="Hyperlink" xfId="19083" builtinId="8" hidden="1"/>
    <cellStyle name="Hyperlink" xfId="19085" builtinId="8" hidden="1"/>
    <cellStyle name="Hyperlink" xfId="19087" builtinId="8" hidden="1"/>
    <cellStyle name="Hyperlink" xfId="19089" builtinId="8" hidden="1"/>
    <cellStyle name="Hyperlink" xfId="19091" builtinId="8" hidden="1"/>
    <cellStyle name="Hyperlink" xfId="19093" builtinId="8" hidden="1"/>
    <cellStyle name="Hyperlink" xfId="19095" builtinId="8" hidden="1"/>
    <cellStyle name="Hyperlink" xfId="19097" builtinId="8" hidden="1"/>
    <cellStyle name="Hyperlink" xfId="19099" builtinId="8" hidden="1"/>
    <cellStyle name="Hyperlink" xfId="19101" builtinId="8" hidden="1"/>
    <cellStyle name="Hyperlink" xfId="19103" builtinId="8" hidden="1"/>
    <cellStyle name="Hyperlink" xfId="19105" builtinId="8" hidden="1"/>
    <cellStyle name="Hyperlink" xfId="19107" builtinId="8" hidden="1"/>
    <cellStyle name="Hyperlink" xfId="19109" builtinId="8" hidden="1"/>
    <cellStyle name="Hyperlink" xfId="19111" builtinId="8" hidden="1"/>
    <cellStyle name="Hyperlink" xfId="19113" builtinId="8" hidden="1"/>
    <cellStyle name="Hyperlink" xfId="19115" builtinId="8" hidden="1"/>
    <cellStyle name="Hyperlink" xfId="19117" builtinId="8" hidden="1"/>
    <cellStyle name="Hyperlink" xfId="19119" builtinId="8" hidden="1"/>
    <cellStyle name="Hyperlink" xfId="19121" builtinId="8" hidden="1"/>
    <cellStyle name="Hyperlink" xfId="19123" builtinId="8" hidden="1"/>
    <cellStyle name="Hyperlink" xfId="19125" builtinId="8" hidden="1"/>
    <cellStyle name="Hyperlink" xfId="19127" builtinId="8" hidden="1"/>
    <cellStyle name="Hyperlink" xfId="19129" builtinId="8" hidden="1"/>
    <cellStyle name="Hyperlink" xfId="19131" builtinId="8" hidden="1"/>
    <cellStyle name="Hyperlink" xfId="19133" builtinId="8" hidden="1"/>
    <cellStyle name="Hyperlink" xfId="19135" builtinId="8" hidden="1"/>
    <cellStyle name="Hyperlink" xfId="19137" builtinId="8" hidden="1"/>
    <cellStyle name="Hyperlink" xfId="19139" builtinId="8" hidden="1"/>
    <cellStyle name="Hyperlink" xfId="19141" builtinId="8" hidden="1"/>
    <cellStyle name="Hyperlink" xfId="19143" builtinId="8" hidden="1"/>
    <cellStyle name="Hyperlink" xfId="19145" builtinId="8" hidden="1"/>
    <cellStyle name="Hyperlink" xfId="19147" builtinId="8" hidden="1"/>
    <cellStyle name="Hyperlink" xfId="19149" builtinId="8" hidden="1"/>
    <cellStyle name="Hyperlink" xfId="19151" builtinId="8" hidden="1"/>
    <cellStyle name="Hyperlink" xfId="19153" builtinId="8" hidden="1"/>
    <cellStyle name="Hyperlink" xfId="19155" builtinId="8" hidden="1"/>
    <cellStyle name="Hyperlink" xfId="19157" builtinId="8" hidden="1"/>
    <cellStyle name="Hyperlink" xfId="19159" builtinId="8" hidden="1"/>
    <cellStyle name="Hyperlink" xfId="19161" builtinId="8" hidden="1"/>
    <cellStyle name="Hyperlink" xfId="19163" builtinId="8" hidden="1"/>
    <cellStyle name="Hyperlink" xfId="19165" builtinId="8" hidden="1"/>
    <cellStyle name="Hyperlink" xfId="19167" builtinId="8" hidden="1"/>
    <cellStyle name="Hyperlink" xfId="19169" builtinId="8" hidden="1"/>
    <cellStyle name="Hyperlink" xfId="19171" builtinId="8" hidden="1"/>
    <cellStyle name="Hyperlink" xfId="19173" builtinId="8" hidden="1"/>
    <cellStyle name="Hyperlink" xfId="19175" builtinId="8" hidden="1"/>
    <cellStyle name="Hyperlink" xfId="19177" builtinId="8" hidden="1"/>
    <cellStyle name="Hyperlink" xfId="19179" builtinId="8" hidden="1"/>
    <cellStyle name="Hyperlink" xfId="19181" builtinId="8" hidden="1"/>
    <cellStyle name="Hyperlink" xfId="19183" builtinId="8" hidden="1"/>
    <cellStyle name="Hyperlink" xfId="19185" builtinId="8" hidden="1"/>
    <cellStyle name="Hyperlink" xfId="19187" builtinId="8" hidden="1"/>
    <cellStyle name="Hyperlink" xfId="19189" builtinId="8" hidden="1"/>
    <cellStyle name="Hyperlink" xfId="19191" builtinId="8" hidden="1"/>
    <cellStyle name="Hyperlink" xfId="19193" builtinId="8" hidden="1"/>
    <cellStyle name="Hyperlink" xfId="19195" builtinId="8" hidden="1"/>
    <cellStyle name="Hyperlink" xfId="19197" builtinId="8" hidden="1"/>
    <cellStyle name="Hyperlink" xfId="19199" builtinId="8" hidden="1"/>
    <cellStyle name="Hyperlink" xfId="19201" builtinId="8" hidden="1"/>
    <cellStyle name="Hyperlink" xfId="19203" builtinId="8" hidden="1"/>
    <cellStyle name="Hyperlink" xfId="19205" builtinId="8" hidden="1"/>
    <cellStyle name="Hyperlink" xfId="19207" builtinId="8" hidden="1"/>
    <cellStyle name="Hyperlink" xfId="19209" builtinId="8" hidden="1"/>
    <cellStyle name="Hyperlink" xfId="19211" builtinId="8" hidden="1"/>
    <cellStyle name="Hyperlink" xfId="19213" builtinId="8" hidden="1"/>
    <cellStyle name="Hyperlink" xfId="19215" builtinId="8" hidden="1"/>
    <cellStyle name="Hyperlink" xfId="19217" builtinId="8" hidden="1"/>
    <cellStyle name="Hyperlink" xfId="19219" builtinId="8" hidden="1"/>
    <cellStyle name="Hyperlink" xfId="19221" builtinId="8" hidden="1"/>
    <cellStyle name="Hyperlink" xfId="19223" builtinId="8" hidden="1"/>
    <cellStyle name="Hyperlink" xfId="19225" builtinId="8" hidden="1"/>
    <cellStyle name="Hyperlink" xfId="19227" builtinId="8" hidden="1"/>
    <cellStyle name="Hyperlink" xfId="19229" builtinId="8" hidden="1"/>
    <cellStyle name="Hyperlink" xfId="19231" builtinId="8" hidden="1"/>
    <cellStyle name="Hyperlink" xfId="19233" builtinId="8" hidden="1"/>
    <cellStyle name="Hyperlink" xfId="19235" builtinId="8" hidden="1"/>
    <cellStyle name="Hyperlink" xfId="19237" builtinId="8" hidden="1"/>
    <cellStyle name="Hyperlink" xfId="19239" builtinId="8" hidden="1"/>
    <cellStyle name="Hyperlink" xfId="19241" builtinId="8" hidden="1"/>
    <cellStyle name="Hyperlink" xfId="19243" builtinId="8" hidden="1"/>
    <cellStyle name="Hyperlink" xfId="19245" builtinId="8" hidden="1"/>
    <cellStyle name="Hyperlink" xfId="19247" builtinId="8" hidden="1"/>
    <cellStyle name="Hyperlink" xfId="19249" builtinId="8" hidden="1"/>
    <cellStyle name="Hyperlink" xfId="19251" builtinId="8" hidden="1"/>
    <cellStyle name="Hyperlink" xfId="19253" builtinId="8" hidden="1"/>
    <cellStyle name="Hyperlink" xfId="19255" builtinId="8" hidden="1"/>
    <cellStyle name="Hyperlink" xfId="19257" builtinId="8" hidden="1"/>
    <cellStyle name="Hyperlink" xfId="19259" builtinId="8" hidden="1"/>
    <cellStyle name="Hyperlink" xfId="19261" builtinId="8" hidden="1"/>
    <cellStyle name="Hyperlink" xfId="19263" builtinId="8" hidden="1"/>
    <cellStyle name="Hyperlink" xfId="19265" builtinId="8" hidden="1"/>
    <cellStyle name="Hyperlink" xfId="19267" builtinId="8" hidden="1"/>
    <cellStyle name="Hyperlink" xfId="19269" builtinId="8" hidden="1"/>
    <cellStyle name="Hyperlink" xfId="19271" builtinId="8" hidden="1"/>
    <cellStyle name="Hyperlink" xfId="19273" builtinId="8" hidden="1"/>
    <cellStyle name="Hyperlink" xfId="19275" builtinId="8" hidden="1"/>
    <cellStyle name="Hyperlink" xfId="19277" builtinId="8" hidden="1"/>
    <cellStyle name="Hyperlink" xfId="19279" builtinId="8" hidden="1"/>
    <cellStyle name="Hyperlink" xfId="19281" builtinId="8" hidden="1"/>
    <cellStyle name="Hyperlink" xfId="19283" builtinId="8" hidden="1"/>
    <cellStyle name="Hyperlink" xfId="19285" builtinId="8" hidden="1"/>
    <cellStyle name="Hyperlink" xfId="19287" builtinId="8" hidden="1"/>
    <cellStyle name="Hyperlink" xfId="19289" builtinId="8" hidden="1"/>
    <cellStyle name="Hyperlink" xfId="19291" builtinId="8" hidden="1"/>
    <cellStyle name="Hyperlink" xfId="19293" builtinId="8" hidden="1"/>
    <cellStyle name="Hyperlink" xfId="19295" builtinId="8" hidden="1"/>
    <cellStyle name="Hyperlink" xfId="19297" builtinId="8" hidden="1"/>
    <cellStyle name="Hyperlink" xfId="19299" builtinId="8" hidden="1"/>
    <cellStyle name="Hyperlink" xfId="19301" builtinId="8" hidden="1"/>
    <cellStyle name="Hyperlink" xfId="19303" builtinId="8" hidden="1"/>
    <cellStyle name="Hyperlink" xfId="19305" builtinId="8" hidden="1"/>
    <cellStyle name="Hyperlink" xfId="19307" builtinId="8" hidden="1"/>
    <cellStyle name="Hyperlink" xfId="19309" builtinId="8" hidden="1"/>
    <cellStyle name="Hyperlink" xfId="19311" builtinId="8" hidden="1"/>
    <cellStyle name="Hyperlink" xfId="19313" builtinId="8" hidden="1"/>
    <cellStyle name="Hyperlink" xfId="19315" builtinId="8" hidden="1"/>
    <cellStyle name="Hyperlink" xfId="19317" builtinId="8" hidden="1"/>
    <cellStyle name="Hyperlink" xfId="19319" builtinId="8" hidden="1"/>
    <cellStyle name="Hyperlink" xfId="19321" builtinId="8" hidden="1"/>
    <cellStyle name="Hyperlink" xfId="19323" builtinId="8" hidden="1"/>
    <cellStyle name="Hyperlink" xfId="19325" builtinId="8" hidden="1"/>
    <cellStyle name="Hyperlink" xfId="19327" builtinId="8" hidden="1"/>
    <cellStyle name="Hyperlink" xfId="19329" builtinId="8" hidden="1"/>
    <cellStyle name="Hyperlink" xfId="19331" builtinId="8" hidden="1"/>
    <cellStyle name="Hyperlink" xfId="19333" builtinId="8" hidden="1"/>
    <cellStyle name="Hyperlink" xfId="19335" builtinId="8" hidden="1"/>
    <cellStyle name="Hyperlink" xfId="19337" builtinId="8" hidden="1"/>
    <cellStyle name="Hyperlink" xfId="19339" builtinId="8" hidden="1"/>
    <cellStyle name="Hyperlink" xfId="19341" builtinId="8" hidden="1"/>
    <cellStyle name="Hyperlink" xfId="19343" builtinId="8" hidden="1"/>
    <cellStyle name="Hyperlink" xfId="19345" builtinId="8" hidden="1"/>
    <cellStyle name="Hyperlink" xfId="19347" builtinId="8" hidden="1"/>
    <cellStyle name="Hyperlink" xfId="19349" builtinId="8" hidden="1"/>
    <cellStyle name="Hyperlink" xfId="19351" builtinId="8" hidden="1"/>
    <cellStyle name="Hyperlink" xfId="19353" builtinId="8" hidden="1"/>
    <cellStyle name="Hyperlink" xfId="19355" builtinId="8" hidden="1"/>
    <cellStyle name="Hyperlink" xfId="19357" builtinId="8" hidden="1"/>
    <cellStyle name="Hyperlink" xfId="19359" builtinId="8" hidden="1"/>
    <cellStyle name="Hyperlink" xfId="19361" builtinId="8" hidden="1"/>
    <cellStyle name="Hyperlink" xfId="19363" builtinId="8" hidden="1"/>
    <cellStyle name="Hyperlink" xfId="19365" builtinId="8" hidden="1"/>
    <cellStyle name="Hyperlink" xfId="19367" builtinId="8" hidden="1"/>
    <cellStyle name="Hyperlink" xfId="19369" builtinId="8" hidden="1"/>
    <cellStyle name="Hyperlink" xfId="19371" builtinId="8" hidden="1"/>
    <cellStyle name="Hyperlink" xfId="19373" builtinId="8" hidden="1"/>
    <cellStyle name="Hyperlink" xfId="19375" builtinId="8" hidden="1"/>
    <cellStyle name="Hyperlink" xfId="19377" builtinId="8" hidden="1"/>
    <cellStyle name="Hyperlink" xfId="19379" builtinId="8" hidden="1"/>
    <cellStyle name="Hyperlink" xfId="19381" builtinId="8" hidden="1"/>
    <cellStyle name="Hyperlink" xfId="19383" builtinId="8" hidden="1"/>
    <cellStyle name="Hyperlink" xfId="19385" builtinId="8" hidden="1"/>
    <cellStyle name="Hyperlink" xfId="19387" builtinId="8" hidden="1"/>
    <cellStyle name="Hyperlink" xfId="19389" builtinId="8" hidden="1"/>
    <cellStyle name="Hyperlink" xfId="19391" builtinId="8" hidden="1"/>
    <cellStyle name="Hyperlink" xfId="19393" builtinId="8" hidden="1"/>
    <cellStyle name="Hyperlink" xfId="19395" builtinId="8" hidden="1"/>
    <cellStyle name="Hyperlink" xfId="19397" builtinId="8" hidden="1"/>
    <cellStyle name="Hyperlink" xfId="19399" builtinId="8" hidden="1"/>
    <cellStyle name="Hyperlink" xfId="19401" builtinId="8" hidden="1"/>
    <cellStyle name="Hyperlink" xfId="19403" builtinId="8" hidden="1"/>
    <cellStyle name="Hyperlink" xfId="19405" builtinId="8" hidden="1"/>
    <cellStyle name="Hyperlink" xfId="19407" builtinId="8" hidden="1"/>
    <cellStyle name="Hyperlink" xfId="19409" builtinId="8" hidden="1"/>
    <cellStyle name="Hyperlink" xfId="19411" builtinId="8" hidden="1"/>
    <cellStyle name="Hyperlink" xfId="19413" builtinId="8" hidden="1"/>
    <cellStyle name="Hyperlink" xfId="19415" builtinId="8" hidden="1"/>
    <cellStyle name="Hyperlink" xfId="19417" builtinId="8" hidden="1"/>
    <cellStyle name="Hyperlink" xfId="19419" builtinId="8" hidden="1"/>
    <cellStyle name="Hyperlink" xfId="19421" builtinId="8" hidden="1"/>
    <cellStyle name="Hyperlink" xfId="19423" builtinId="8" hidden="1"/>
    <cellStyle name="Hyperlink" xfId="19425" builtinId="8" hidden="1"/>
    <cellStyle name="Hyperlink" xfId="19427" builtinId="8" hidden="1"/>
    <cellStyle name="Hyperlink" xfId="19429" builtinId="8" hidden="1"/>
    <cellStyle name="Hyperlink" xfId="19431" builtinId="8" hidden="1"/>
    <cellStyle name="Hyperlink" xfId="19433" builtinId="8" hidden="1"/>
    <cellStyle name="Hyperlink" xfId="19435" builtinId="8" hidden="1"/>
    <cellStyle name="Hyperlink" xfId="19437" builtinId="8" hidden="1"/>
    <cellStyle name="Hyperlink" xfId="19439" builtinId="8" hidden="1"/>
    <cellStyle name="Hyperlink" xfId="19441" builtinId="8" hidden="1"/>
    <cellStyle name="Hyperlink" xfId="19443" builtinId="8" hidden="1"/>
    <cellStyle name="Hyperlink" xfId="19445" builtinId="8" hidden="1"/>
    <cellStyle name="Hyperlink" xfId="19447" builtinId="8" hidden="1"/>
    <cellStyle name="Hyperlink" xfId="19449" builtinId="8" hidden="1"/>
    <cellStyle name="Hyperlink" xfId="19451" builtinId="8" hidden="1"/>
    <cellStyle name="Hyperlink" xfId="19453" builtinId="8" hidden="1"/>
    <cellStyle name="Hyperlink" xfId="19455" builtinId="8" hidden="1"/>
    <cellStyle name="Hyperlink" xfId="19457" builtinId="8" hidden="1"/>
    <cellStyle name="Hyperlink" xfId="19459" builtinId="8" hidden="1"/>
    <cellStyle name="Hyperlink" xfId="19461" builtinId="8" hidden="1"/>
    <cellStyle name="Hyperlink" xfId="19463" builtinId="8" hidden="1"/>
    <cellStyle name="Hyperlink" xfId="19465" builtinId="8" hidden="1"/>
    <cellStyle name="Hyperlink" xfId="19467" builtinId="8" hidden="1"/>
    <cellStyle name="Hyperlink" xfId="19469" builtinId="8" hidden="1"/>
    <cellStyle name="Hyperlink" xfId="19471" builtinId="8" hidden="1"/>
    <cellStyle name="Hyperlink" xfId="19473" builtinId="8" hidden="1"/>
    <cellStyle name="Hyperlink" xfId="19475" builtinId="8" hidden="1"/>
    <cellStyle name="Hyperlink" xfId="19477" builtinId="8" hidden="1"/>
    <cellStyle name="Hyperlink" xfId="19479" builtinId="8" hidden="1"/>
    <cellStyle name="Hyperlink" xfId="19481" builtinId="8" hidden="1"/>
    <cellStyle name="Hyperlink" xfId="19483" builtinId="8" hidden="1"/>
    <cellStyle name="Hyperlink" xfId="19485" builtinId="8" hidden="1"/>
    <cellStyle name="Hyperlink" xfId="19487" builtinId="8" hidden="1"/>
    <cellStyle name="Hyperlink" xfId="19489" builtinId="8" hidden="1"/>
    <cellStyle name="Hyperlink" xfId="19491" builtinId="8" hidden="1"/>
    <cellStyle name="Hyperlink" xfId="19493" builtinId="8" hidden="1"/>
    <cellStyle name="Hyperlink" xfId="19495" builtinId="8" hidden="1"/>
    <cellStyle name="Hyperlink" xfId="19497" builtinId="8" hidden="1"/>
    <cellStyle name="Hyperlink" xfId="19499" builtinId="8" hidden="1"/>
    <cellStyle name="Hyperlink" xfId="19501" builtinId="8" hidden="1"/>
    <cellStyle name="Hyperlink" xfId="19503" builtinId="8" hidden="1"/>
    <cellStyle name="Hyperlink" xfId="19505" builtinId="8" hidden="1"/>
    <cellStyle name="Hyperlink" xfId="19507" builtinId="8" hidden="1"/>
    <cellStyle name="Hyperlink" xfId="19509" builtinId="8" hidden="1"/>
    <cellStyle name="Hyperlink" xfId="19511" builtinId="8" hidden="1"/>
    <cellStyle name="Hyperlink" xfId="19513" builtinId="8" hidden="1"/>
    <cellStyle name="Hyperlink" xfId="19515" builtinId="8" hidden="1"/>
    <cellStyle name="Hyperlink" xfId="19517" builtinId="8" hidden="1"/>
    <cellStyle name="Hyperlink" xfId="19519" builtinId="8" hidden="1"/>
    <cellStyle name="Hyperlink" xfId="19521" builtinId="8" hidden="1"/>
    <cellStyle name="Hyperlink" xfId="19523" builtinId="8" hidden="1"/>
    <cellStyle name="Hyperlink" xfId="19525" builtinId="8" hidden="1"/>
    <cellStyle name="Hyperlink" xfId="19527" builtinId="8" hidden="1"/>
    <cellStyle name="Hyperlink" xfId="19529" builtinId="8" hidden="1"/>
    <cellStyle name="Hyperlink" xfId="19531" builtinId="8" hidden="1"/>
    <cellStyle name="Hyperlink" xfId="19533" builtinId="8" hidden="1"/>
    <cellStyle name="Hyperlink" xfId="19535" builtinId="8" hidden="1"/>
    <cellStyle name="Hyperlink" xfId="19537" builtinId="8" hidden="1"/>
    <cellStyle name="Hyperlink" xfId="19539" builtinId="8" hidden="1"/>
    <cellStyle name="Hyperlink" xfId="19541" builtinId="8" hidden="1"/>
    <cellStyle name="Hyperlink" xfId="19543" builtinId="8" hidden="1"/>
    <cellStyle name="Hyperlink" xfId="19545" builtinId="8" hidden="1"/>
    <cellStyle name="Hyperlink" xfId="19547" builtinId="8" hidden="1"/>
    <cellStyle name="Hyperlink" xfId="19549" builtinId="8" hidden="1"/>
    <cellStyle name="Hyperlink" xfId="19551" builtinId="8" hidden="1"/>
    <cellStyle name="Hyperlink" xfId="19553" builtinId="8" hidden="1"/>
    <cellStyle name="Hyperlink" xfId="19555" builtinId="8" hidden="1"/>
    <cellStyle name="Hyperlink" xfId="19557" builtinId="8" hidden="1"/>
    <cellStyle name="Hyperlink" xfId="19559" builtinId="8" hidden="1"/>
    <cellStyle name="Hyperlink" xfId="19561" builtinId="8" hidden="1"/>
    <cellStyle name="Hyperlink" xfId="19563" builtinId="8" hidden="1"/>
    <cellStyle name="Hyperlink" xfId="19565" builtinId="8" hidden="1"/>
    <cellStyle name="Hyperlink" xfId="19567" builtinId="8" hidden="1"/>
    <cellStyle name="Hyperlink" xfId="19569" builtinId="8" hidden="1"/>
    <cellStyle name="Hyperlink" xfId="19571" builtinId="8" hidden="1"/>
    <cellStyle name="Hyperlink" xfId="19573" builtinId="8" hidden="1"/>
    <cellStyle name="Hyperlink" xfId="19575" builtinId="8" hidden="1"/>
    <cellStyle name="Hyperlink" xfId="19577" builtinId="8" hidden="1"/>
    <cellStyle name="Hyperlink" xfId="19579" builtinId="8" hidden="1"/>
    <cellStyle name="Hyperlink" xfId="19581" builtinId="8" hidden="1"/>
    <cellStyle name="Hyperlink" xfId="19583" builtinId="8" hidden="1"/>
    <cellStyle name="Hyperlink" xfId="19585" builtinId="8" hidden="1"/>
    <cellStyle name="Hyperlink" xfId="19587" builtinId="8" hidden="1"/>
    <cellStyle name="Hyperlink" xfId="19589" builtinId="8" hidden="1"/>
    <cellStyle name="Hyperlink" xfId="19591" builtinId="8" hidden="1"/>
    <cellStyle name="Hyperlink" xfId="19593" builtinId="8" hidden="1"/>
    <cellStyle name="Hyperlink" xfId="19595" builtinId="8" hidden="1"/>
    <cellStyle name="Hyperlink" xfId="19597" builtinId="8" hidden="1"/>
    <cellStyle name="Hyperlink" xfId="19599" builtinId="8" hidden="1"/>
    <cellStyle name="Hyperlink" xfId="19601" builtinId="8" hidden="1"/>
    <cellStyle name="Hyperlink" xfId="19603" builtinId="8" hidden="1"/>
    <cellStyle name="Hyperlink" xfId="19605" builtinId="8" hidden="1"/>
    <cellStyle name="Hyperlink" xfId="19607" builtinId="8" hidden="1"/>
    <cellStyle name="Hyperlink" xfId="19609" builtinId="8" hidden="1"/>
    <cellStyle name="Hyperlink" xfId="19611" builtinId="8" hidden="1"/>
    <cellStyle name="Hyperlink" xfId="19613" builtinId="8" hidden="1"/>
    <cellStyle name="Hyperlink" xfId="19615" builtinId="8" hidden="1"/>
    <cellStyle name="Hyperlink" xfId="19617" builtinId="8" hidden="1"/>
    <cellStyle name="Hyperlink" xfId="19619" builtinId="8" hidden="1"/>
    <cellStyle name="Hyperlink" xfId="19621" builtinId="8" hidden="1"/>
    <cellStyle name="Hyperlink" xfId="19623" builtinId="8" hidden="1"/>
    <cellStyle name="Hyperlink" xfId="19625" builtinId="8" hidden="1"/>
    <cellStyle name="Hyperlink" xfId="19627" builtinId="8" hidden="1"/>
    <cellStyle name="Hyperlink" xfId="19629" builtinId="8" hidden="1"/>
    <cellStyle name="Hyperlink" xfId="19631" builtinId="8" hidden="1"/>
    <cellStyle name="Hyperlink" xfId="19633" builtinId="8" hidden="1"/>
    <cellStyle name="Hyperlink" xfId="19635" builtinId="8" hidden="1"/>
    <cellStyle name="Hyperlink" xfId="19637" builtinId="8" hidden="1"/>
    <cellStyle name="Hyperlink" xfId="19639" builtinId="8" hidden="1"/>
    <cellStyle name="Hyperlink" xfId="19641" builtinId="8" hidden="1"/>
    <cellStyle name="Hyperlink" xfId="19643" builtinId="8" hidden="1"/>
    <cellStyle name="Hyperlink" xfId="19645" builtinId="8" hidden="1"/>
    <cellStyle name="Hyperlink" xfId="19647" builtinId="8" hidden="1"/>
    <cellStyle name="Hyperlink" xfId="19649" builtinId="8" hidden="1"/>
    <cellStyle name="Hyperlink" xfId="19651" builtinId="8" hidden="1"/>
    <cellStyle name="Hyperlink" xfId="19653" builtinId="8" hidden="1"/>
    <cellStyle name="Hyperlink" xfId="19655" builtinId="8" hidden="1"/>
    <cellStyle name="Hyperlink" xfId="19657" builtinId="8" hidden="1"/>
    <cellStyle name="Hyperlink" xfId="19659" builtinId="8" hidden="1"/>
    <cellStyle name="Hyperlink" xfId="19661" builtinId="8" hidden="1"/>
    <cellStyle name="Hyperlink" xfId="19663" builtinId="8" hidden="1"/>
    <cellStyle name="Hyperlink" xfId="19665" builtinId="8" hidden="1"/>
    <cellStyle name="Hyperlink" xfId="19667" builtinId="8" hidden="1"/>
    <cellStyle name="Hyperlink" xfId="19669" builtinId="8" hidden="1"/>
    <cellStyle name="Hyperlink" xfId="19671" builtinId="8" hidden="1"/>
    <cellStyle name="Hyperlink" xfId="19673" builtinId="8" hidden="1"/>
    <cellStyle name="Hyperlink" xfId="19675" builtinId="8" hidden="1"/>
    <cellStyle name="Hyperlink" xfId="19677" builtinId="8" hidden="1"/>
    <cellStyle name="Hyperlink" xfId="19679" builtinId="8" hidden="1"/>
    <cellStyle name="Hyperlink" xfId="19681" builtinId="8" hidden="1"/>
    <cellStyle name="Hyperlink" xfId="19683" builtinId="8" hidden="1"/>
    <cellStyle name="Hyperlink" xfId="19685" builtinId="8" hidden="1"/>
    <cellStyle name="Hyperlink" xfId="19687" builtinId="8" hidden="1"/>
    <cellStyle name="Hyperlink" xfId="19689" builtinId="8" hidden="1"/>
    <cellStyle name="Hyperlink" xfId="19691" builtinId="8" hidden="1"/>
    <cellStyle name="Hyperlink" xfId="19693" builtinId="8" hidden="1"/>
    <cellStyle name="Hyperlink" xfId="19695" builtinId="8" hidden="1"/>
    <cellStyle name="Hyperlink" xfId="19697" builtinId="8" hidden="1"/>
    <cellStyle name="Hyperlink" xfId="19699" builtinId="8" hidden="1"/>
    <cellStyle name="Hyperlink" xfId="19701" builtinId="8" hidden="1"/>
    <cellStyle name="Hyperlink" xfId="19703" builtinId="8" hidden="1"/>
    <cellStyle name="Hyperlink" xfId="19705" builtinId="8" hidden="1"/>
    <cellStyle name="Hyperlink" xfId="19707" builtinId="8" hidden="1"/>
    <cellStyle name="Hyperlink" xfId="19709" builtinId="8" hidden="1"/>
    <cellStyle name="Hyperlink" xfId="19711" builtinId="8" hidden="1"/>
    <cellStyle name="Hyperlink" xfId="19713" builtinId="8" hidden="1"/>
    <cellStyle name="Hyperlink" xfId="19715" builtinId="8" hidden="1"/>
    <cellStyle name="Hyperlink" xfId="19717" builtinId="8" hidden="1"/>
    <cellStyle name="Hyperlink" xfId="19719" builtinId="8" hidden="1"/>
    <cellStyle name="Hyperlink" xfId="19721" builtinId="8" hidden="1"/>
    <cellStyle name="Hyperlink" xfId="19723" builtinId="8" hidden="1"/>
    <cellStyle name="Hyperlink" xfId="19725" builtinId="8" hidden="1"/>
    <cellStyle name="Hyperlink" xfId="19727" builtinId="8" hidden="1"/>
    <cellStyle name="Hyperlink" xfId="19729" builtinId="8" hidden="1"/>
    <cellStyle name="Hyperlink" xfId="19731" builtinId="8" hidden="1"/>
    <cellStyle name="Hyperlink" xfId="19733" builtinId="8" hidden="1"/>
    <cellStyle name="Hyperlink" xfId="19735" builtinId="8" hidden="1"/>
    <cellStyle name="Hyperlink" xfId="19737" builtinId="8" hidden="1"/>
    <cellStyle name="Hyperlink" xfId="19739" builtinId="8" hidden="1"/>
    <cellStyle name="Hyperlink" xfId="19741" builtinId="8" hidden="1"/>
    <cellStyle name="Hyperlink" xfId="19743" builtinId="8" hidden="1"/>
    <cellStyle name="Hyperlink" xfId="19745" builtinId="8" hidden="1"/>
    <cellStyle name="Hyperlink" xfId="19747" builtinId="8" hidden="1"/>
    <cellStyle name="Hyperlink" xfId="19749" builtinId="8" hidden="1"/>
    <cellStyle name="Hyperlink" xfId="19751" builtinId="8" hidden="1"/>
    <cellStyle name="Hyperlink" xfId="19753" builtinId="8" hidden="1"/>
    <cellStyle name="Hyperlink" xfId="19755" builtinId="8" hidden="1"/>
    <cellStyle name="Hyperlink" xfId="19757" builtinId="8" hidden="1"/>
    <cellStyle name="Hyperlink" xfId="19759" builtinId="8" hidden="1"/>
    <cellStyle name="Hyperlink" xfId="19761" builtinId="8" hidden="1"/>
    <cellStyle name="Hyperlink" xfId="19763" builtinId="8" hidden="1"/>
    <cellStyle name="Hyperlink" xfId="19765" builtinId="8" hidden="1"/>
    <cellStyle name="Hyperlink" xfId="19767" builtinId="8" hidden="1"/>
    <cellStyle name="Hyperlink" xfId="19769" builtinId="8" hidden="1"/>
    <cellStyle name="Hyperlink" xfId="19771" builtinId="8" hidden="1"/>
    <cellStyle name="Hyperlink" xfId="19773" builtinId="8" hidden="1"/>
    <cellStyle name="Hyperlink" xfId="19775" builtinId="8" hidden="1"/>
    <cellStyle name="Hyperlink" xfId="19777" builtinId="8" hidden="1"/>
    <cellStyle name="Hyperlink" xfId="19779" builtinId="8" hidden="1"/>
    <cellStyle name="Hyperlink" xfId="19781" builtinId="8" hidden="1"/>
    <cellStyle name="Hyperlink" xfId="19783" builtinId="8" hidden="1"/>
    <cellStyle name="Hyperlink" xfId="19785" builtinId="8" hidden="1"/>
    <cellStyle name="Hyperlink" xfId="19787" builtinId="8" hidden="1"/>
    <cellStyle name="Hyperlink" xfId="19789" builtinId="8" hidden="1"/>
    <cellStyle name="Hyperlink" xfId="19791" builtinId="8" hidden="1"/>
    <cellStyle name="Hyperlink" xfId="19793" builtinId="8" hidden="1"/>
    <cellStyle name="Hyperlink" xfId="19795" builtinId="8" hidden="1"/>
    <cellStyle name="Hyperlink" xfId="19797" builtinId="8" hidden="1"/>
    <cellStyle name="Hyperlink" xfId="19799" builtinId="8" hidden="1"/>
    <cellStyle name="Hyperlink" xfId="19801" builtinId="8" hidden="1"/>
    <cellStyle name="Hyperlink" xfId="19803" builtinId="8" hidden="1"/>
    <cellStyle name="Hyperlink" xfId="19805" builtinId="8" hidden="1"/>
    <cellStyle name="Hyperlink" xfId="19807" builtinId="8" hidden="1"/>
    <cellStyle name="Hyperlink" xfId="19809" builtinId="8" hidden="1"/>
    <cellStyle name="Hyperlink" xfId="19811" builtinId="8" hidden="1"/>
    <cellStyle name="Hyperlink" xfId="19813" builtinId="8" hidden="1"/>
    <cellStyle name="Hyperlink" xfId="19815" builtinId="8" hidden="1"/>
    <cellStyle name="Hyperlink" xfId="19817" builtinId="8" hidden="1"/>
    <cellStyle name="Hyperlink" xfId="19819" builtinId="8" hidden="1"/>
    <cellStyle name="Hyperlink" xfId="19821" builtinId="8" hidden="1"/>
    <cellStyle name="Hyperlink" xfId="19823" builtinId="8" hidden="1"/>
    <cellStyle name="Hyperlink" xfId="19825" builtinId="8" hidden="1"/>
    <cellStyle name="Hyperlink" xfId="19827" builtinId="8" hidden="1"/>
    <cellStyle name="Hyperlink" xfId="19829" builtinId="8" hidden="1"/>
    <cellStyle name="Hyperlink" xfId="19831" builtinId="8" hidden="1"/>
    <cellStyle name="Hyperlink" xfId="19833" builtinId="8" hidden="1"/>
    <cellStyle name="Hyperlink" xfId="19835" builtinId="8" hidden="1"/>
    <cellStyle name="Hyperlink" xfId="19837" builtinId="8" hidden="1"/>
    <cellStyle name="Hyperlink" xfId="19839" builtinId="8" hidden="1"/>
    <cellStyle name="Hyperlink" xfId="19841" builtinId="8" hidden="1"/>
    <cellStyle name="Hyperlink" xfId="19843" builtinId="8" hidden="1"/>
    <cellStyle name="Hyperlink" xfId="19845" builtinId="8" hidden="1"/>
    <cellStyle name="Hyperlink" xfId="19847" builtinId="8" hidden="1"/>
    <cellStyle name="Hyperlink" xfId="19849" builtinId="8" hidden="1"/>
    <cellStyle name="Hyperlink" xfId="19851" builtinId="8" hidden="1"/>
    <cellStyle name="Hyperlink" xfId="19853" builtinId="8" hidden="1"/>
    <cellStyle name="Hyperlink" xfId="19855" builtinId="8" hidden="1"/>
    <cellStyle name="Hyperlink" xfId="19857" builtinId="8" hidden="1"/>
    <cellStyle name="Hyperlink" xfId="19859" builtinId="8" hidden="1"/>
    <cellStyle name="Hyperlink" xfId="19861" builtinId="8" hidden="1"/>
    <cellStyle name="Hyperlink" xfId="19863" builtinId="8" hidden="1"/>
    <cellStyle name="Hyperlink" xfId="19865" builtinId="8" hidden="1"/>
    <cellStyle name="Hyperlink" xfId="19867" builtinId="8" hidden="1"/>
    <cellStyle name="Hyperlink" xfId="19869" builtinId="8" hidden="1"/>
    <cellStyle name="Hyperlink" xfId="19871" builtinId="8" hidden="1"/>
    <cellStyle name="Hyperlink" xfId="19873" builtinId="8" hidden="1"/>
    <cellStyle name="Hyperlink" xfId="19875" builtinId="8" hidden="1"/>
    <cellStyle name="Hyperlink" xfId="19877" builtinId="8" hidden="1"/>
    <cellStyle name="Hyperlink" xfId="19879" builtinId="8" hidden="1"/>
    <cellStyle name="Hyperlink" xfId="19881" builtinId="8" hidden="1"/>
    <cellStyle name="Hyperlink" xfId="19883" builtinId="8" hidden="1"/>
    <cellStyle name="Hyperlink" xfId="19885" builtinId="8" hidden="1"/>
    <cellStyle name="Hyperlink" xfId="19887" builtinId="8" hidden="1"/>
    <cellStyle name="Hyperlink" xfId="19889" builtinId="8" hidden="1"/>
    <cellStyle name="Hyperlink" xfId="19891" builtinId="8" hidden="1"/>
    <cellStyle name="Hyperlink" xfId="19893" builtinId="8" hidden="1"/>
    <cellStyle name="Hyperlink" xfId="19895" builtinId="8" hidden="1"/>
    <cellStyle name="Hyperlink" xfId="19897" builtinId="8" hidden="1"/>
    <cellStyle name="Hyperlink" xfId="19899" builtinId="8" hidden="1"/>
    <cellStyle name="Hyperlink" xfId="19901" builtinId="8" hidden="1"/>
    <cellStyle name="Hyperlink" xfId="19903" builtinId="8" hidden="1"/>
    <cellStyle name="Hyperlink" xfId="19905" builtinId="8" hidden="1"/>
    <cellStyle name="Hyperlink" xfId="19907" builtinId="8" hidden="1"/>
    <cellStyle name="Hyperlink" xfId="19909" builtinId="8" hidden="1"/>
    <cellStyle name="Hyperlink" xfId="19911" builtinId="8" hidden="1"/>
    <cellStyle name="Hyperlink" xfId="19913" builtinId="8" hidden="1"/>
    <cellStyle name="Hyperlink" xfId="19915" builtinId="8" hidden="1"/>
    <cellStyle name="Hyperlink" xfId="19917" builtinId="8" hidden="1"/>
    <cellStyle name="Hyperlink" xfId="19919" builtinId="8" hidden="1"/>
    <cellStyle name="Hyperlink" xfId="19921" builtinId="8" hidden="1"/>
    <cellStyle name="Hyperlink" xfId="19923" builtinId="8" hidden="1"/>
    <cellStyle name="Hyperlink" xfId="19925" builtinId="8" hidden="1"/>
    <cellStyle name="Hyperlink" xfId="19927" builtinId="8" hidden="1"/>
    <cellStyle name="Hyperlink" xfId="19929" builtinId="8" hidden="1"/>
    <cellStyle name="Hyperlink" xfId="19931" builtinId="8" hidden="1"/>
    <cellStyle name="Hyperlink" xfId="19933" builtinId="8" hidden="1"/>
    <cellStyle name="Hyperlink" xfId="19935" builtinId="8" hidden="1"/>
    <cellStyle name="Hyperlink" xfId="19937" builtinId="8" hidden="1"/>
    <cellStyle name="Hyperlink" xfId="19939" builtinId="8" hidden="1"/>
    <cellStyle name="Hyperlink" xfId="19941" builtinId="8" hidden="1"/>
    <cellStyle name="Hyperlink" xfId="19943" builtinId="8" hidden="1"/>
    <cellStyle name="Hyperlink" xfId="19945" builtinId="8" hidden="1"/>
    <cellStyle name="Hyperlink" xfId="19947" builtinId="8" hidden="1"/>
    <cellStyle name="Hyperlink" xfId="19949" builtinId="8" hidden="1"/>
    <cellStyle name="Hyperlink" xfId="19951" builtinId="8" hidden="1"/>
    <cellStyle name="Hyperlink" xfId="19953" builtinId="8" hidden="1"/>
    <cellStyle name="Hyperlink" xfId="19955" builtinId="8" hidden="1"/>
    <cellStyle name="Hyperlink" xfId="19957" builtinId="8" hidden="1"/>
    <cellStyle name="Hyperlink" xfId="19959" builtinId="8" hidden="1"/>
    <cellStyle name="Hyperlink" xfId="19961" builtinId="8" hidden="1"/>
    <cellStyle name="Hyperlink" xfId="19963" builtinId="8" hidden="1"/>
    <cellStyle name="Hyperlink" xfId="19965" builtinId="8" hidden="1"/>
    <cellStyle name="Hyperlink" xfId="19967" builtinId="8" hidden="1"/>
    <cellStyle name="Hyperlink" xfId="19969" builtinId="8" hidden="1"/>
    <cellStyle name="Hyperlink" xfId="19971" builtinId="8" hidden="1"/>
    <cellStyle name="Hyperlink" xfId="19973" builtinId="8" hidden="1"/>
    <cellStyle name="Hyperlink" xfId="19975" builtinId="8" hidden="1"/>
    <cellStyle name="Hyperlink" xfId="19977" builtinId="8" hidden="1"/>
    <cellStyle name="Hyperlink" xfId="19979" builtinId="8" hidden="1"/>
    <cellStyle name="Hyperlink" xfId="19981" builtinId="8" hidden="1"/>
    <cellStyle name="Hyperlink" xfId="19983" builtinId="8" hidden="1"/>
    <cellStyle name="Hyperlink" xfId="19985" builtinId="8" hidden="1"/>
    <cellStyle name="Hyperlink" xfId="19987" builtinId="8" hidden="1"/>
    <cellStyle name="Hyperlink" xfId="19989" builtinId="8" hidden="1"/>
    <cellStyle name="Hyperlink" xfId="19991" builtinId="8" hidden="1"/>
    <cellStyle name="Hyperlink" xfId="19993" builtinId="8" hidden="1"/>
    <cellStyle name="Hyperlink" xfId="19995" builtinId="8" hidden="1"/>
    <cellStyle name="Hyperlink" xfId="19997" builtinId="8" hidden="1"/>
    <cellStyle name="Hyperlink" xfId="19999" builtinId="8" hidden="1"/>
    <cellStyle name="Hyperlink" xfId="20001" builtinId="8" hidden="1"/>
    <cellStyle name="Hyperlink" xfId="20003" builtinId="8" hidden="1"/>
    <cellStyle name="Hyperlink" xfId="20005" builtinId="8" hidden="1"/>
    <cellStyle name="Hyperlink" xfId="20007" builtinId="8" hidden="1"/>
    <cellStyle name="Hyperlink" xfId="20009" builtinId="8" hidden="1"/>
    <cellStyle name="Hyperlink" xfId="20011" builtinId="8" hidden="1"/>
    <cellStyle name="Hyperlink" xfId="20013" builtinId="8" hidden="1"/>
    <cellStyle name="Hyperlink" xfId="20015" builtinId="8" hidden="1"/>
    <cellStyle name="Hyperlink" xfId="20017" builtinId="8" hidden="1"/>
    <cellStyle name="Hyperlink" xfId="20019" builtinId="8" hidden="1"/>
    <cellStyle name="Hyperlink" xfId="20021" builtinId="8" hidden="1"/>
    <cellStyle name="Hyperlink" xfId="20023" builtinId="8" hidden="1"/>
    <cellStyle name="Hyperlink" xfId="20025" builtinId="8" hidden="1"/>
    <cellStyle name="Hyperlink" xfId="20027" builtinId="8" hidden="1"/>
    <cellStyle name="Hyperlink" xfId="20029" builtinId="8" hidden="1"/>
    <cellStyle name="Hyperlink" xfId="20031" builtinId="8" hidden="1"/>
    <cellStyle name="Hyperlink" xfId="20033" builtinId="8" hidden="1"/>
    <cellStyle name="Hyperlink" xfId="20035" builtinId="8" hidden="1"/>
    <cellStyle name="Hyperlink" xfId="20037" builtinId="8" hidden="1"/>
    <cellStyle name="Hyperlink" xfId="20039" builtinId="8" hidden="1"/>
    <cellStyle name="Hyperlink" xfId="20041" builtinId="8" hidden="1"/>
    <cellStyle name="Hyperlink" xfId="20043" builtinId="8" hidden="1"/>
    <cellStyle name="Hyperlink" xfId="20045" builtinId="8" hidden="1"/>
    <cellStyle name="Hyperlink" xfId="20047" builtinId="8" hidden="1"/>
    <cellStyle name="Hyperlink" xfId="20049" builtinId="8" hidden="1"/>
    <cellStyle name="Hyperlink" xfId="20051" builtinId="8" hidden="1"/>
    <cellStyle name="Hyperlink" xfId="20053" builtinId="8" hidden="1"/>
    <cellStyle name="Hyperlink" xfId="20055" builtinId="8" hidden="1"/>
    <cellStyle name="Hyperlink" xfId="20057" builtinId="8" hidden="1"/>
    <cellStyle name="Hyperlink" xfId="20059" builtinId="8" hidden="1"/>
    <cellStyle name="Hyperlink" xfId="20061" builtinId="8" hidden="1"/>
    <cellStyle name="Hyperlink" xfId="20063" builtinId="8" hidden="1"/>
    <cellStyle name="Hyperlink" xfId="20065" builtinId="8" hidden="1"/>
    <cellStyle name="Hyperlink" xfId="20067" builtinId="8" hidden="1"/>
    <cellStyle name="Hyperlink" xfId="20069" builtinId="8" hidden="1"/>
    <cellStyle name="Hyperlink" xfId="20071" builtinId="8" hidden="1"/>
    <cellStyle name="Hyperlink" xfId="20073" builtinId="8" hidden="1"/>
    <cellStyle name="Hyperlink" xfId="20075" builtinId="8" hidden="1"/>
    <cellStyle name="Hyperlink" xfId="20077" builtinId="8" hidden="1"/>
    <cellStyle name="Hyperlink" xfId="20079" builtinId="8" hidden="1"/>
    <cellStyle name="Hyperlink" xfId="20081" builtinId="8" hidden="1"/>
    <cellStyle name="Hyperlink" xfId="20083" builtinId="8" hidden="1"/>
    <cellStyle name="Hyperlink" xfId="20085" builtinId="8" hidden="1"/>
    <cellStyle name="Hyperlink" xfId="20087" builtinId="8" hidden="1"/>
    <cellStyle name="Hyperlink" xfId="20089" builtinId="8" hidden="1"/>
    <cellStyle name="Hyperlink" xfId="20091" builtinId="8" hidden="1"/>
    <cellStyle name="Hyperlink" xfId="20093" builtinId="8" hidden="1"/>
    <cellStyle name="Hyperlink" xfId="20095" builtinId="8" hidden="1"/>
    <cellStyle name="Hyperlink" xfId="20097" builtinId="8" hidden="1"/>
    <cellStyle name="Hyperlink" xfId="20099" builtinId="8" hidden="1"/>
    <cellStyle name="Hyperlink" xfId="20101" builtinId="8" hidden="1"/>
    <cellStyle name="Hyperlink" xfId="20103" builtinId="8" hidden="1"/>
    <cellStyle name="Hyperlink" xfId="20105" builtinId="8" hidden="1"/>
    <cellStyle name="Hyperlink" xfId="20107" builtinId="8" hidden="1"/>
    <cellStyle name="Hyperlink" xfId="20109" builtinId="8" hidden="1"/>
    <cellStyle name="Hyperlink" xfId="20111" builtinId="8" hidden="1"/>
    <cellStyle name="Hyperlink" xfId="20113" builtinId="8" hidden="1"/>
    <cellStyle name="Hyperlink" xfId="20115" builtinId="8" hidden="1"/>
    <cellStyle name="Hyperlink" xfId="20117" builtinId="8" hidden="1"/>
    <cellStyle name="Hyperlink" xfId="20119" builtinId="8" hidden="1"/>
    <cellStyle name="Hyperlink" xfId="20121" builtinId="8" hidden="1"/>
    <cellStyle name="Hyperlink" xfId="20123" builtinId="8" hidden="1"/>
    <cellStyle name="Hyperlink" xfId="20125" builtinId="8" hidden="1"/>
    <cellStyle name="Hyperlink" xfId="20127" builtinId="8" hidden="1"/>
    <cellStyle name="Hyperlink" xfId="20129" builtinId="8" hidden="1"/>
    <cellStyle name="Hyperlink" xfId="20131" builtinId="8" hidden="1"/>
    <cellStyle name="Hyperlink" xfId="20133" builtinId="8" hidden="1"/>
    <cellStyle name="Hyperlink" xfId="20135" builtinId="8" hidden="1"/>
    <cellStyle name="Hyperlink" xfId="20137" builtinId="8" hidden="1"/>
    <cellStyle name="Hyperlink" xfId="20139" builtinId="8" hidden="1"/>
    <cellStyle name="Hyperlink" xfId="20141" builtinId="8" hidden="1"/>
    <cellStyle name="Hyperlink" xfId="20143" builtinId="8" hidden="1"/>
    <cellStyle name="Hyperlink" xfId="20145" builtinId="8" hidden="1"/>
    <cellStyle name="Hyperlink" xfId="20147" builtinId="8" hidden="1"/>
    <cellStyle name="Hyperlink" xfId="20149" builtinId="8" hidden="1"/>
    <cellStyle name="Hyperlink" xfId="20151" builtinId="8" hidden="1"/>
    <cellStyle name="Hyperlink" xfId="20153" builtinId="8" hidden="1"/>
    <cellStyle name="Hyperlink" xfId="20155" builtinId="8" hidden="1"/>
    <cellStyle name="Hyperlink" xfId="20157" builtinId="8" hidden="1"/>
    <cellStyle name="Hyperlink" xfId="20159" builtinId="8" hidden="1"/>
    <cellStyle name="Hyperlink" xfId="20161" builtinId="8" hidden="1"/>
    <cellStyle name="Hyperlink" xfId="20163" builtinId="8" hidden="1"/>
    <cellStyle name="Hyperlink" xfId="20165" builtinId="8" hidden="1"/>
    <cellStyle name="Hyperlink" xfId="20167" builtinId="8" hidden="1"/>
    <cellStyle name="Hyperlink" xfId="20169" builtinId="8" hidden="1"/>
    <cellStyle name="Hyperlink" xfId="20171" builtinId="8" hidden="1"/>
    <cellStyle name="Hyperlink" xfId="20173" builtinId="8" hidden="1"/>
    <cellStyle name="Hyperlink" xfId="20175" builtinId="8" hidden="1"/>
    <cellStyle name="Hyperlink" xfId="20177" builtinId="8" hidden="1"/>
    <cellStyle name="Hyperlink" xfId="20179" builtinId="8" hidden="1"/>
    <cellStyle name="Hyperlink" xfId="20181" builtinId="8" hidden="1"/>
    <cellStyle name="Hyperlink" xfId="20183" builtinId="8" hidden="1"/>
    <cellStyle name="Hyperlink" xfId="20185" builtinId="8" hidden="1"/>
    <cellStyle name="Hyperlink" xfId="20187" builtinId="8" hidden="1"/>
    <cellStyle name="Hyperlink" xfId="20189" builtinId="8" hidden="1"/>
    <cellStyle name="Hyperlink" xfId="20191" builtinId="8" hidden="1"/>
    <cellStyle name="Hyperlink" xfId="20193" builtinId="8" hidden="1"/>
    <cellStyle name="Hyperlink" xfId="20195" builtinId="8" hidden="1"/>
    <cellStyle name="Hyperlink" xfId="20197" builtinId="8" hidden="1"/>
    <cellStyle name="Hyperlink" xfId="20199" builtinId="8" hidden="1"/>
    <cellStyle name="Hyperlink" xfId="20201" builtinId="8" hidden="1"/>
    <cellStyle name="Hyperlink" xfId="20203" builtinId="8" hidden="1"/>
    <cellStyle name="Hyperlink" xfId="20205" builtinId="8" hidden="1"/>
    <cellStyle name="Hyperlink" xfId="20207" builtinId="8" hidden="1"/>
    <cellStyle name="Hyperlink" xfId="20209" builtinId="8" hidden="1"/>
    <cellStyle name="Hyperlink" xfId="20211" builtinId="8" hidden="1"/>
    <cellStyle name="Hyperlink" xfId="20213" builtinId="8" hidden="1"/>
    <cellStyle name="Hyperlink" xfId="20215" builtinId="8" hidden="1"/>
    <cellStyle name="Hyperlink" xfId="20217" builtinId="8" hidden="1"/>
    <cellStyle name="Hyperlink" xfId="20219" builtinId="8" hidden="1"/>
    <cellStyle name="Hyperlink" xfId="20221" builtinId="8" hidden="1"/>
    <cellStyle name="Hyperlink" xfId="20223" builtinId="8" hidden="1"/>
    <cellStyle name="Hyperlink" xfId="20225" builtinId="8" hidden="1"/>
    <cellStyle name="Hyperlink" xfId="20227" builtinId="8" hidden="1"/>
    <cellStyle name="Hyperlink" xfId="20229" builtinId="8" hidden="1"/>
    <cellStyle name="Hyperlink" xfId="20231" builtinId="8" hidden="1"/>
    <cellStyle name="Hyperlink" xfId="20233" builtinId="8" hidden="1"/>
    <cellStyle name="Hyperlink" xfId="20235" builtinId="8" hidden="1"/>
    <cellStyle name="Hyperlink" xfId="20237" builtinId="8" hidden="1"/>
    <cellStyle name="Hyperlink" xfId="20239" builtinId="8" hidden="1"/>
    <cellStyle name="Hyperlink" xfId="20241" builtinId="8" hidden="1"/>
    <cellStyle name="Hyperlink" xfId="20243" builtinId="8" hidden="1"/>
    <cellStyle name="Hyperlink" xfId="20245" builtinId="8" hidden="1"/>
    <cellStyle name="Hyperlink" xfId="20247" builtinId="8" hidden="1"/>
    <cellStyle name="Hyperlink" xfId="20249" builtinId="8" hidden="1"/>
    <cellStyle name="Hyperlink" xfId="20251" builtinId="8" hidden="1"/>
    <cellStyle name="Hyperlink" xfId="20253" builtinId="8" hidden="1"/>
    <cellStyle name="Hyperlink" xfId="20255" builtinId="8" hidden="1"/>
    <cellStyle name="Hyperlink" xfId="20257" builtinId="8" hidden="1"/>
    <cellStyle name="Hyperlink" xfId="20259" builtinId="8" hidden="1"/>
    <cellStyle name="Hyperlink" xfId="20261" builtinId="8" hidden="1"/>
    <cellStyle name="Hyperlink" xfId="20263" builtinId="8" hidden="1"/>
    <cellStyle name="Hyperlink" xfId="20265" builtinId="8" hidden="1"/>
    <cellStyle name="Hyperlink" xfId="20267" builtinId="8" hidden="1"/>
    <cellStyle name="Hyperlink" xfId="20269" builtinId="8" hidden="1"/>
    <cellStyle name="Hyperlink" xfId="20271" builtinId="8" hidden="1"/>
    <cellStyle name="Hyperlink" xfId="20273" builtinId="8" hidden="1"/>
    <cellStyle name="Hyperlink" xfId="20275" builtinId="8" hidden="1"/>
    <cellStyle name="Hyperlink" xfId="20277" builtinId="8" hidden="1"/>
    <cellStyle name="Hyperlink" xfId="20279" builtinId="8" hidden="1"/>
    <cellStyle name="Hyperlink" xfId="20281" builtinId="8" hidden="1"/>
    <cellStyle name="Hyperlink" xfId="20283" builtinId="8" hidden="1"/>
    <cellStyle name="Hyperlink" xfId="20285" builtinId="8" hidden="1"/>
    <cellStyle name="Hyperlink" xfId="20287" builtinId="8" hidden="1"/>
    <cellStyle name="Hyperlink" xfId="20289" builtinId="8" hidden="1"/>
    <cellStyle name="Hyperlink" xfId="20291" builtinId="8" hidden="1"/>
    <cellStyle name="Hyperlink" xfId="20293" builtinId="8" hidden="1"/>
    <cellStyle name="Hyperlink" xfId="20295" builtinId="8" hidden="1"/>
    <cellStyle name="Hyperlink" xfId="20297" builtinId="8" hidden="1"/>
    <cellStyle name="Hyperlink" xfId="20299" builtinId="8" hidden="1"/>
    <cellStyle name="Hyperlink" xfId="20301" builtinId="8" hidden="1"/>
    <cellStyle name="Hyperlink" xfId="20303" builtinId="8" hidden="1"/>
    <cellStyle name="Hyperlink" xfId="20305" builtinId="8" hidden="1"/>
    <cellStyle name="Hyperlink" xfId="20307" builtinId="8" hidden="1"/>
    <cellStyle name="Hyperlink" xfId="20309" builtinId="8" hidden="1"/>
    <cellStyle name="Hyperlink" xfId="20311" builtinId="8" hidden="1"/>
    <cellStyle name="Hyperlink" xfId="20313" builtinId="8" hidden="1"/>
    <cellStyle name="Hyperlink" xfId="20315" builtinId="8" hidden="1"/>
    <cellStyle name="Hyperlink" xfId="20317" builtinId="8" hidden="1"/>
    <cellStyle name="Hyperlink" xfId="20319" builtinId="8" hidden="1"/>
    <cellStyle name="Hyperlink" xfId="20321" builtinId="8" hidden="1"/>
    <cellStyle name="Hyperlink" xfId="20323" builtinId="8" hidden="1"/>
    <cellStyle name="Hyperlink" xfId="20325" builtinId="8" hidden="1"/>
    <cellStyle name="Hyperlink" xfId="20327" builtinId="8" hidden="1"/>
    <cellStyle name="Hyperlink" xfId="20329" builtinId="8" hidden="1"/>
    <cellStyle name="Hyperlink" xfId="20331" builtinId="8" hidden="1"/>
    <cellStyle name="Hyperlink" xfId="20333" builtinId="8" hidden="1"/>
    <cellStyle name="Hyperlink" xfId="20335" builtinId="8" hidden="1"/>
    <cellStyle name="Hyperlink" xfId="20337" builtinId="8" hidden="1"/>
    <cellStyle name="Hyperlink" xfId="20339" builtinId="8" hidden="1"/>
    <cellStyle name="Hyperlink" xfId="20341" builtinId="8" hidden="1"/>
    <cellStyle name="Hyperlink" xfId="20343" builtinId="8" hidden="1"/>
    <cellStyle name="Hyperlink" xfId="20345" builtinId="8" hidden="1"/>
    <cellStyle name="Hyperlink" xfId="20347" builtinId="8" hidden="1"/>
    <cellStyle name="Hyperlink" xfId="20349" builtinId="8" hidden="1"/>
    <cellStyle name="Hyperlink" xfId="20351" builtinId="8" hidden="1"/>
    <cellStyle name="Hyperlink" xfId="20353" builtinId="8" hidden="1"/>
    <cellStyle name="Hyperlink" xfId="20355" builtinId="8" hidden="1"/>
    <cellStyle name="Hyperlink" xfId="20357" builtinId="8" hidden="1"/>
    <cellStyle name="Hyperlink" xfId="20359" builtinId="8" hidden="1"/>
    <cellStyle name="Hyperlink" xfId="20361" builtinId="8" hidden="1"/>
    <cellStyle name="Hyperlink" xfId="20363" builtinId="8" hidden="1"/>
    <cellStyle name="Hyperlink" xfId="20365" builtinId="8" hidden="1"/>
    <cellStyle name="Hyperlink" xfId="20367" builtinId="8" hidden="1"/>
    <cellStyle name="Hyperlink" xfId="20369" builtinId="8" hidden="1"/>
    <cellStyle name="Hyperlink" xfId="20371" builtinId="8" hidden="1"/>
    <cellStyle name="Hyperlink" xfId="20373" builtinId="8" hidden="1"/>
    <cellStyle name="Hyperlink" xfId="20375" builtinId="8" hidden="1"/>
    <cellStyle name="Hyperlink" xfId="20377" builtinId="8" hidden="1"/>
    <cellStyle name="Hyperlink" xfId="20379" builtinId="8" hidden="1"/>
    <cellStyle name="Hyperlink" xfId="20381" builtinId="8" hidden="1"/>
    <cellStyle name="Hyperlink" xfId="20383" builtinId="8" hidden="1"/>
    <cellStyle name="Hyperlink" xfId="20385" builtinId="8" hidden="1"/>
    <cellStyle name="Hyperlink" xfId="20387" builtinId="8" hidden="1"/>
    <cellStyle name="Hyperlink" xfId="20389" builtinId="8" hidden="1"/>
    <cellStyle name="Hyperlink" xfId="20391" builtinId="8" hidden="1"/>
    <cellStyle name="Hyperlink" xfId="20393" builtinId="8" hidden="1"/>
    <cellStyle name="Hyperlink" xfId="20395" builtinId="8" hidden="1"/>
    <cellStyle name="Hyperlink" xfId="20397" builtinId="8" hidden="1"/>
    <cellStyle name="Hyperlink" xfId="20399" builtinId="8" hidden="1"/>
    <cellStyle name="Hyperlink" xfId="20401" builtinId="8" hidden="1"/>
    <cellStyle name="Hyperlink" xfId="20403" builtinId="8" hidden="1"/>
    <cellStyle name="Hyperlink" xfId="20405" builtinId="8" hidden="1"/>
    <cellStyle name="Hyperlink" xfId="20407" builtinId="8" hidden="1"/>
    <cellStyle name="Hyperlink" xfId="20409" builtinId="8" hidden="1"/>
    <cellStyle name="Hyperlink" xfId="20411" builtinId="8" hidden="1"/>
    <cellStyle name="Hyperlink" xfId="20413" builtinId="8" hidden="1"/>
    <cellStyle name="Hyperlink" xfId="20415" builtinId="8" hidden="1"/>
    <cellStyle name="Hyperlink" xfId="20417" builtinId="8" hidden="1"/>
    <cellStyle name="Hyperlink" xfId="20419" builtinId="8" hidden="1"/>
    <cellStyle name="Hyperlink" xfId="20421" builtinId="8" hidden="1"/>
    <cellStyle name="Hyperlink" xfId="20423" builtinId="8" hidden="1"/>
    <cellStyle name="Hyperlink" xfId="20425" builtinId="8" hidden="1"/>
    <cellStyle name="Hyperlink" xfId="20427" builtinId="8" hidden="1"/>
    <cellStyle name="Hyperlink" xfId="20429" builtinId="8" hidden="1"/>
    <cellStyle name="Hyperlink" xfId="20431" builtinId="8" hidden="1"/>
    <cellStyle name="Hyperlink" xfId="20433" builtinId="8" hidden="1"/>
    <cellStyle name="Hyperlink" xfId="20435" builtinId="8" hidden="1"/>
    <cellStyle name="Hyperlink" xfId="20437" builtinId="8" hidden="1"/>
    <cellStyle name="Hyperlink" xfId="20439" builtinId="8" hidden="1"/>
    <cellStyle name="Hyperlink" xfId="20441" builtinId="8" hidden="1"/>
    <cellStyle name="Hyperlink" xfId="20443" builtinId="8" hidden="1"/>
    <cellStyle name="Hyperlink" xfId="20445" builtinId="8" hidden="1"/>
    <cellStyle name="Hyperlink" xfId="20447" builtinId="8" hidden="1"/>
    <cellStyle name="Hyperlink" xfId="20449" builtinId="8" hidden="1"/>
    <cellStyle name="Hyperlink" xfId="20451" builtinId="8" hidden="1"/>
    <cellStyle name="Hyperlink" xfId="20453" builtinId="8" hidden="1"/>
    <cellStyle name="Hyperlink" xfId="20455" builtinId="8" hidden="1"/>
    <cellStyle name="Hyperlink" xfId="20457" builtinId="8" hidden="1"/>
    <cellStyle name="Hyperlink" xfId="20459" builtinId="8" hidden="1"/>
    <cellStyle name="Hyperlink" xfId="20461" builtinId="8" hidden="1"/>
    <cellStyle name="Hyperlink" xfId="20463" builtinId="8" hidden="1"/>
    <cellStyle name="Hyperlink" xfId="20465" builtinId="8" hidden="1"/>
    <cellStyle name="Hyperlink" xfId="20467" builtinId="8" hidden="1"/>
    <cellStyle name="Hyperlink" xfId="20469" builtinId="8" hidden="1"/>
    <cellStyle name="Hyperlink" xfId="20471" builtinId="8" hidden="1"/>
    <cellStyle name="Hyperlink" xfId="20473" builtinId="8" hidden="1"/>
    <cellStyle name="Hyperlink" xfId="20475" builtinId="8" hidden="1"/>
    <cellStyle name="Hyperlink" xfId="20477" builtinId="8" hidden="1"/>
    <cellStyle name="Hyperlink" xfId="20479" builtinId="8" hidden="1"/>
    <cellStyle name="Hyperlink" xfId="20481" builtinId="8" hidden="1"/>
    <cellStyle name="Hyperlink" xfId="20483" builtinId="8" hidden="1"/>
    <cellStyle name="Hyperlink" xfId="20485" builtinId="8" hidden="1"/>
    <cellStyle name="Hyperlink" xfId="20487" builtinId="8" hidden="1"/>
    <cellStyle name="Hyperlink" xfId="20489" builtinId="8" hidden="1"/>
    <cellStyle name="Hyperlink" xfId="20491" builtinId="8" hidden="1"/>
    <cellStyle name="Hyperlink" xfId="20493" builtinId="8" hidden="1"/>
    <cellStyle name="Hyperlink" xfId="20495" builtinId="8" hidden="1"/>
    <cellStyle name="Hyperlink" xfId="20497" builtinId="8" hidden="1"/>
    <cellStyle name="Hyperlink" xfId="20499" builtinId="8" hidden="1"/>
    <cellStyle name="Hyperlink" xfId="20501" builtinId="8" hidden="1"/>
    <cellStyle name="Hyperlink" xfId="20503" builtinId="8" hidden="1"/>
    <cellStyle name="Hyperlink" xfId="20505" builtinId="8" hidden="1"/>
    <cellStyle name="Hyperlink" xfId="20507" builtinId="8" hidden="1"/>
    <cellStyle name="Hyperlink" xfId="20509" builtinId="8" hidden="1"/>
    <cellStyle name="Hyperlink" xfId="20511" builtinId="8" hidden="1"/>
    <cellStyle name="Hyperlink" xfId="20513" builtinId="8" hidden="1"/>
    <cellStyle name="Hyperlink" xfId="20515" builtinId="8" hidden="1"/>
    <cellStyle name="Hyperlink" xfId="20517" builtinId="8" hidden="1"/>
    <cellStyle name="Hyperlink" xfId="20519" builtinId="8" hidden="1"/>
    <cellStyle name="Hyperlink" xfId="20521" builtinId="8" hidden="1"/>
    <cellStyle name="Hyperlink" xfId="20523" builtinId="8" hidden="1"/>
    <cellStyle name="Hyperlink" xfId="20525" builtinId="8" hidden="1"/>
    <cellStyle name="Hyperlink" xfId="20527" builtinId="8" hidden="1"/>
    <cellStyle name="Hyperlink" xfId="20529" builtinId="8" hidden="1"/>
    <cellStyle name="Hyperlink" xfId="20531" builtinId="8" hidden="1"/>
    <cellStyle name="Hyperlink" xfId="20533" builtinId="8" hidden="1"/>
    <cellStyle name="Hyperlink" xfId="20535" builtinId="8" hidden="1"/>
    <cellStyle name="Hyperlink" xfId="20537" builtinId="8" hidden="1"/>
    <cellStyle name="Hyperlink" xfId="20539" builtinId="8" hidden="1"/>
    <cellStyle name="Hyperlink" xfId="20541" builtinId="8" hidden="1"/>
    <cellStyle name="Hyperlink" xfId="20543" builtinId="8" hidden="1"/>
    <cellStyle name="Hyperlink" xfId="20545" builtinId="8" hidden="1"/>
    <cellStyle name="Hyperlink" xfId="20547" builtinId="8" hidden="1"/>
    <cellStyle name="Hyperlink" xfId="20549" builtinId="8" hidden="1"/>
    <cellStyle name="Hyperlink" xfId="20551" builtinId="8" hidden="1"/>
    <cellStyle name="Hyperlink" xfId="20553" builtinId="8" hidden="1"/>
    <cellStyle name="Hyperlink" xfId="20555" builtinId="8" hidden="1"/>
    <cellStyle name="Hyperlink" xfId="20557" builtinId="8" hidden="1"/>
    <cellStyle name="Hyperlink" xfId="20559" builtinId="8" hidden="1"/>
    <cellStyle name="Hyperlink" xfId="20561" builtinId="8" hidden="1"/>
    <cellStyle name="Hyperlink" xfId="20563" builtinId="8" hidden="1"/>
    <cellStyle name="Hyperlink" xfId="20565" builtinId="8" hidden="1"/>
    <cellStyle name="Hyperlink" xfId="20567" builtinId="8" hidden="1"/>
    <cellStyle name="Hyperlink" xfId="20569" builtinId="8" hidden="1"/>
    <cellStyle name="Hyperlink" xfId="20571" builtinId="8" hidden="1"/>
    <cellStyle name="Hyperlink" xfId="20573" builtinId="8" hidden="1"/>
    <cellStyle name="Hyperlink" xfId="20575" builtinId="8" hidden="1"/>
    <cellStyle name="Hyperlink" xfId="20577" builtinId="8" hidden="1"/>
    <cellStyle name="Hyperlink" xfId="20579" builtinId="8" hidden="1"/>
    <cellStyle name="Hyperlink" xfId="20581" builtinId="8" hidden="1"/>
    <cellStyle name="Hyperlink" xfId="20583" builtinId="8" hidden="1"/>
    <cellStyle name="Hyperlink" xfId="20585" builtinId="8" hidden="1"/>
    <cellStyle name="Hyperlink" xfId="20587" builtinId="8" hidden="1"/>
    <cellStyle name="Hyperlink" xfId="20589" builtinId="8" hidden="1"/>
    <cellStyle name="Hyperlink" xfId="20591" builtinId="8" hidden="1"/>
    <cellStyle name="Hyperlink" xfId="20593" builtinId="8" hidden="1"/>
    <cellStyle name="Hyperlink" xfId="20595" builtinId="8" hidden="1"/>
    <cellStyle name="Hyperlink" xfId="20597" builtinId="8" hidden="1"/>
    <cellStyle name="Hyperlink" xfId="20599" builtinId="8" hidden="1"/>
    <cellStyle name="Hyperlink" xfId="20601" builtinId="8" hidden="1"/>
    <cellStyle name="Hyperlink" xfId="20603" builtinId="8" hidden="1"/>
    <cellStyle name="Hyperlink" xfId="20605" builtinId="8" hidden="1"/>
    <cellStyle name="Hyperlink" xfId="20607" builtinId="8" hidden="1"/>
    <cellStyle name="Hyperlink" xfId="20609" builtinId="8" hidden="1"/>
    <cellStyle name="Hyperlink" xfId="20611" builtinId="8" hidden="1"/>
    <cellStyle name="Hyperlink" xfId="20613" builtinId="8" hidden="1"/>
    <cellStyle name="Hyperlink" xfId="20615" builtinId="8" hidden="1"/>
    <cellStyle name="Hyperlink" xfId="20617" builtinId="8" hidden="1"/>
    <cellStyle name="Hyperlink" xfId="20619" builtinId="8" hidden="1"/>
    <cellStyle name="Hyperlink" xfId="20621" builtinId="8" hidden="1"/>
    <cellStyle name="Hyperlink" xfId="20623" builtinId="8" hidden="1"/>
    <cellStyle name="Hyperlink" xfId="20625" builtinId="8" hidden="1"/>
    <cellStyle name="Hyperlink" xfId="20627" builtinId="8" hidden="1"/>
    <cellStyle name="Hyperlink" xfId="20629" builtinId="8" hidden="1"/>
    <cellStyle name="Hyperlink" xfId="20631" builtinId="8" hidden="1"/>
    <cellStyle name="Hyperlink" xfId="20633" builtinId="8" hidden="1"/>
    <cellStyle name="Hyperlink" xfId="20635" builtinId="8" hidden="1"/>
    <cellStyle name="Hyperlink" xfId="20637" builtinId="8" hidden="1"/>
    <cellStyle name="Hyperlink" xfId="20639" builtinId="8" hidden="1"/>
    <cellStyle name="Hyperlink" xfId="20641" builtinId="8" hidden="1"/>
    <cellStyle name="Hyperlink" xfId="20643" builtinId="8" hidden="1"/>
    <cellStyle name="Hyperlink" xfId="20645" builtinId="8" hidden="1"/>
    <cellStyle name="Hyperlink" xfId="20647" builtinId="8" hidden="1"/>
    <cellStyle name="Hyperlink" xfId="20649" builtinId="8" hidden="1"/>
    <cellStyle name="Hyperlink" xfId="20651" builtinId="8" hidden="1"/>
    <cellStyle name="Hyperlink" xfId="20653" builtinId="8" hidden="1"/>
    <cellStyle name="Hyperlink" xfId="20655" builtinId="8" hidden="1"/>
    <cellStyle name="Hyperlink" xfId="20657" builtinId="8" hidden="1"/>
    <cellStyle name="Hyperlink" xfId="20659" builtinId="8" hidden="1"/>
    <cellStyle name="Hyperlink" xfId="20661" builtinId="8" hidden="1"/>
    <cellStyle name="Hyperlink" xfId="20663" builtinId="8" hidden="1"/>
    <cellStyle name="Hyperlink" xfId="20665" builtinId="8" hidden="1"/>
    <cellStyle name="Hyperlink" xfId="20667" builtinId="8" hidden="1"/>
    <cellStyle name="Hyperlink" xfId="20669" builtinId="8" hidden="1"/>
    <cellStyle name="Hyperlink" xfId="20671" builtinId="8" hidden="1"/>
    <cellStyle name="Hyperlink" xfId="20673" builtinId="8" hidden="1"/>
    <cellStyle name="Hyperlink" xfId="20675" builtinId="8" hidden="1"/>
    <cellStyle name="Hyperlink" xfId="20677" builtinId="8" hidden="1"/>
    <cellStyle name="Hyperlink" xfId="20679" builtinId="8" hidden="1"/>
    <cellStyle name="Hyperlink" xfId="20681" builtinId="8" hidden="1"/>
    <cellStyle name="Hyperlink" xfId="20683" builtinId="8" hidden="1"/>
    <cellStyle name="Hyperlink" xfId="20685" builtinId="8" hidden="1"/>
    <cellStyle name="Hyperlink" xfId="20687" builtinId="8" hidden="1"/>
    <cellStyle name="Hyperlink" xfId="20689" builtinId="8" hidden="1"/>
    <cellStyle name="Hyperlink" xfId="20691" builtinId="8" hidden="1"/>
    <cellStyle name="Hyperlink" xfId="20693" builtinId="8" hidden="1"/>
    <cellStyle name="Hyperlink" xfId="20695" builtinId="8" hidden="1"/>
    <cellStyle name="Hyperlink" xfId="20697" builtinId="8" hidden="1"/>
    <cellStyle name="Hyperlink" xfId="20699" builtinId="8" hidden="1"/>
    <cellStyle name="Hyperlink" xfId="20701" builtinId="8" hidden="1"/>
    <cellStyle name="Hyperlink" xfId="20703" builtinId="8" hidden="1"/>
    <cellStyle name="Hyperlink" xfId="20705" builtinId="8" hidden="1"/>
    <cellStyle name="Hyperlink" xfId="20707" builtinId="8" hidden="1"/>
    <cellStyle name="Hyperlink" xfId="20709" builtinId="8" hidden="1"/>
    <cellStyle name="Hyperlink" xfId="20711" builtinId="8" hidden="1"/>
    <cellStyle name="Hyperlink" xfId="20713" builtinId="8" hidden="1"/>
    <cellStyle name="Hyperlink" xfId="20715" builtinId="8" hidden="1"/>
    <cellStyle name="Hyperlink" xfId="20717" builtinId="8" hidden="1"/>
    <cellStyle name="Hyperlink" xfId="20719" builtinId="8" hidden="1"/>
    <cellStyle name="Hyperlink" xfId="20721" builtinId="8" hidden="1"/>
    <cellStyle name="Hyperlink" xfId="20723" builtinId="8" hidden="1"/>
    <cellStyle name="Hyperlink" xfId="20725" builtinId="8" hidden="1"/>
    <cellStyle name="Hyperlink" xfId="20727" builtinId="8" hidden="1"/>
    <cellStyle name="Hyperlink" xfId="20729" builtinId="8" hidden="1"/>
    <cellStyle name="Hyperlink" xfId="20731" builtinId="8" hidden="1"/>
    <cellStyle name="Hyperlink" xfId="20733" builtinId="8" hidden="1"/>
    <cellStyle name="Hyperlink" xfId="20735" builtinId="8" hidden="1"/>
    <cellStyle name="Hyperlink" xfId="20737" builtinId="8" hidden="1"/>
    <cellStyle name="Hyperlink" xfId="20739" builtinId="8" hidden="1"/>
    <cellStyle name="Hyperlink" xfId="20741" builtinId="8" hidden="1"/>
    <cellStyle name="Hyperlink" xfId="20743" builtinId="8" hidden="1"/>
    <cellStyle name="Hyperlink" xfId="20745" builtinId="8" hidden="1"/>
    <cellStyle name="Hyperlink" xfId="20747" builtinId="8" hidden="1"/>
    <cellStyle name="Hyperlink" xfId="20749" builtinId="8" hidden="1"/>
    <cellStyle name="Hyperlink" xfId="20751" builtinId="8" hidden="1"/>
    <cellStyle name="Hyperlink" xfId="20753" builtinId="8" hidden="1"/>
    <cellStyle name="Hyperlink" xfId="20755" builtinId="8" hidden="1"/>
    <cellStyle name="Hyperlink" xfId="20757" builtinId="8" hidden="1"/>
    <cellStyle name="Hyperlink" xfId="20759" builtinId="8" hidden="1"/>
    <cellStyle name="Hyperlink" xfId="20761" builtinId="8" hidden="1"/>
    <cellStyle name="Hyperlink" xfId="20763" builtinId="8" hidden="1"/>
    <cellStyle name="Hyperlink" xfId="20765" builtinId="8" hidden="1"/>
    <cellStyle name="Hyperlink" xfId="20767" builtinId="8" hidden="1"/>
    <cellStyle name="Hyperlink" xfId="20769" builtinId="8" hidden="1"/>
    <cellStyle name="Hyperlink" xfId="20771" builtinId="8" hidden="1"/>
    <cellStyle name="Hyperlink" xfId="20773" builtinId="8" hidden="1"/>
    <cellStyle name="Hyperlink" xfId="20775" builtinId="8" hidden="1"/>
    <cellStyle name="Hyperlink" xfId="20777" builtinId="8" hidden="1"/>
    <cellStyle name="Hyperlink" xfId="20779" builtinId="8" hidden="1"/>
    <cellStyle name="Hyperlink" xfId="20781" builtinId="8" hidden="1"/>
    <cellStyle name="Hyperlink" xfId="20783" builtinId="8" hidden="1"/>
    <cellStyle name="Hyperlink" xfId="20785" builtinId="8" hidden="1"/>
    <cellStyle name="Hyperlink" xfId="20787" builtinId="8" hidden="1"/>
    <cellStyle name="Hyperlink" xfId="20789" builtinId="8" hidden="1"/>
    <cellStyle name="Hyperlink" xfId="20791" builtinId="8" hidden="1"/>
    <cellStyle name="Hyperlink" xfId="20793" builtinId="8" hidden="1"/>
    <cellStyle name="Hyperlink" xfId="20795" builtinId="8" hidden="1"/>
    <cellStyle name="Hyperlink" xfId="20797" builtinId="8" hidden="1"/>
    <cellStyle name="Hyperlink" xfId="20799" builtinId="8" hidden="1"/>
    <cellStyle name="Hyperlink" xfId="20801" builtinId="8" hidden="1"/>
    <cellStyle name="Hyperlink" xfId="20803" builtinId="8" hidden="1"/>
    <cellStyle name="Hyperlink" xfId="20805" builtinId="8" hidden="1"/>
    <cellStyle name="Hyperlink" xfId="20807" builtinId="8" hidden="1"/>
    <cellStyle name="Hyperlink" xfId="20809" builtinId="8" hidden="1"/>
    <cellStyle name="Hyperlink" xfId="20811" builtinId="8" hidden="1"/>
    <cellStyle name="Hyperlink" xfId="20813" builtinId="8" hidden="1"/>
    <cellStyle name="Hyperlink" xfId="20815" builtinId="8" hidden="1"/>
    <cellStyle name="Hyperlink" xfId="20817" builtinId="8" hidden="1"/>
    <cellStyle name="Hyperlink" xfId="20819" builtinId="8" hidden="1"/>
    <cellStyle name="Hyperlink" xfId="20821" builtinId="8" hidden="1"/>
    <cellStyle name="Hyperlink" xfId="20823" builtinId="8" hidden="1"/>
    <cellStyle name="Hyperlink" xfId="20825" builtinId="8" hidden="1"/>
    <cellStyle name="Hyperlink" xfId="20827" builtinId="8" hidden="1"/>
    <cellStyle name="Hyperlink" xfId="20829" builtinId="8" hidden="1"/>
    <cellStyle name="Hyperlink" xfId="20831" builtinId="8" hidden="1"/>
    <cellStyle name="Hyperlink" xfId="20833" builtinId="8" hidden="1"/>
    <cellStyle name="Hyperlink" xfId="20835" builtinId="8" hidden="1"/>
    <cellStyle name="Hyperlink" xfId="20837" builtinId="8" hidden="1"/>
    <cellStyle name="Hyperlink" xfId="20839" builtinId="8" hidden="1"/>
    <cellStyle name="Hyperlink" xfId="20841" builtinId="8" hidden="1"/>
    <cellStyle name="Hyperlink" xfId="20843" builtinId="8" hidden="1"/>
    <cellStyle name="Hyperlink" xfId="20845" builtinId="8" hidden="1"/>
    <cellStyle name="Hyperlink" xfId="20847" builtinId="8" hidden="1"/>
    <cellStyle name="Hyperlink" xfId="20849" builtinId="8" hidden="1"/>
    <cellStyle name="Hyperlink" xfId="20851" builtinId="8" hidden="1"/>
    <cellStyle name="Hyperlink" xfId="20853" builtinId="8" hidden="1"/>
    <cellStyle name="Hyperlink" xfId="20855" builtinId="8" hidden="1"/>
    <cellStyle name="Hyperlink" xfId="20857" builtinId="8" hidden="1"/>
    <cellStyle name="Hyperlink" xfId="20859" builtinId="8" hidden="1"/>
    <cellStyle name="Hyperlink" xfId="20861" builtinId="8" hidden="1"/>
    <cellStyle name="Hyperlink" xfId="20863" builtinId="8" hidden="1"/>
    <cellStyle name="Hyperlink" xfId="20865" builtinId="8" hidden="1"/>
    <cellStyle name="Hyperlink" xfId="20867" builtinId="8" hidden="1"/>
    <cellStyle name="Hyperlink" xfId="20869" builtinId="8" hidden="1"/>
    <cellStyle name="Hyperlink" xfId="20871" builtinId="8" hidden="1"/>
    <cellStyle name="Hyperlink" xfId="20873" builtinId="8" hidden="1"/>
    <cellStyle name="Hyperlink" xfId="20875" builtinId="8" hidden="1"/>
    <cellStyle name="Hyperlink" xfId="20877" builtinId="8" hidden="1"/>
    <cellStyle name="Hyperlink" xfId="20879" builtinId="8" hidden="1"/>
    <cellStyle name="Hyperlink" xfId="20881" builtinId="8" hidden="1"/>
    <cellStyle name="Hyperlink" xfId="20883" builtinId="8" hidden="1"/>
    <cellStyle name="Hyperlink" xfId="20885" builtinId="8" hidden="1"/>
    <cellStyle name="Hyperlink" xfId="20887" builtinId="8" hidden="1"/>
    <cellStyle name="Hyperlink" xfId="20889" builtinId="8" hidden="1"/>
    <cellStyle name="Hyperlink" xfId="20891" builtinId="8" hidden="1"/>
    <cellStyle name="Hyperlink" xfId="20893" builtinId="8" hidden="1"/>
    <cellStyle name="Hyperlink" xfId="20895" builtinId="8" hidden="1"/>
    <cellStyle name="Hyperlink" xfId="20897" builtinId="8" hidden="1"/>
    <cellStyle name="Hyperlink" xfId="20899" builtinId="8" hidden="1"/>
    <cellStyle name="Hyperlink" xfId="20901" builtinId="8" hidden="1"/>
    <cellStyle name="Hyperlink" xfId="20903" builtinId="8" hidden="1"/>
    <cellStyle name="Hyperlink" xfId="20905" builtinId="8" hidden="1"/>
    <cellStyle name="Hyperlink" xfId="20907" builtinId="8" hidden="1"/>
    <cellStyle name="Hyperlink" xfId="20909" builtinId="8" hidden="1"/>
    <cellStyle name="Hyperlink" xfId="20911" builtinId="8" hidden="1"/>
    <cellStyle name="Hyperlink" xfId="20913" builtinId="8" hidden="1"/>
    <cellStyle name="Hyperlink" xfId="20915" builtinId="8" hidden="1"/>
    <cellStyle name="Hyperlink" xfId="20917" builtinId="8" hidden="1"/>
    <cellStyle name="Hyperlink" xfId="20919" builtinId="8" hidden="1"/>
    <cellStyle name="Hyperlink" xfId="20921" builtinId="8" hidden="1"/>
    <cellStyle name="Hyperlink" xfId="20923" builtinId="8" hidden="1"/>
    <cellStyle name="Hyperlink" xfId="20925" builtinId="8" hidden="1"/>
    <cellStyle name="Hyperlink" xfId="20927" builtinId="8" hidden="1"/>
    <cellStyle name="Hyperlink" xfId="20929" builtinId="8" hidden="1"/>
    <cellStyle name="Hyperlink" xfId="20931" builtinId="8" hidden="1"/>
    <cellStyle name="Hyperlink" xfId="20933" builtinId="8" hidden="1"/>
    <cellStyle name="Hyperlink" xfId="20935" builtinId="8" hidden="1"/>
    <cellStyle name="Hyperlink" xfId="20937" builtinId="8" hidden="1"/>
    <cellStyle name="Hyperlink" xfId="20939" builtinId="8" hidden="1"/>
    <cellStyle name="Hyperlink" xfId="20941" builtinId="8" hidden="1"/>
    <cellStyle name="Hyperlink" xfId="20943" builtinId="8" hidden="1"/>
    <cellStyle name="Hyperlink" xfId="20945" builtinId="8" hidden="1"/>
    <cellStyle name="Hyperlink" xfId="20947" builtinId="8" hidden="1"/>
    <cellStyle name="Hyperlink" xfId="20949" builtinId="8" hidden="1"/>
    <cellStyle name="Hyperlink" xfId="20951" builtinId="8" hidden="1"/>
    <cellStyle name="Hyperlink" xfId="20953" builtinId="8" hidden="1"/>
    <cellStyle name="Hyperlink" xfId="20955" builtinId="8" hidden="1"/>
    <cellStyle name="Hyperlink" xfId="20957" builtinId="8" hidden="1"/>
    <cellStyle name="Hyperlink" xfId="20959" builtinId="8" hidden="1"/>
    <cellStyle name="Hyperlink" xfId="20961" builtinId="8" hidden="1"/>
    <cellStyle name="Hyperlink" xfId="20963" builtinId="8" hidden="1"/>
    <cellStyle name="Hyperlink" xfId="20965" builtinId="8" hidden="1"/>
    <cellStyle name="Hyperlink" xfId="20967" builtinId="8" hidden="1"/>
    <cellStyle name="Hyperlink" xfId="20969" builtinId="8" hidden="1"/>
    <cellStyle name="Hyperlink" xfId="20971" builtinId="8" hidden="1"/>
    <cellStyle name="Hyperlink" xfId="20973" builtinId="8" hidden="1"/>
    <cellStyle name="Hyperlink" xfId="20975" builtinId="8" hidden="1"/>
    <cellStyle name="Hyperlink" xfId="20977" builtinId="8" hidden="1"/>
    <cellStyle name="Hyperlink" xfId="20979" builtinId="8" hidden="1"/>
    <cellStyle name="Hyperlink" xfId="20981" builtinId="8" hidden="1"/>
    <cellStyle name="Hyperlink" xfId="20983" builtinId="8" hidden="1"/>
    <cellStyle name="Hyperlink" xfId="20985" builtinId="8" hidden="1"/>
    <cellStyle name="Hyperlink" xfId="20987" builtinId="8" hidden="1"/>
    <cellStyle name="Hyperlink" xfId="20989" builtinId="8" hidden="1"/>
    <cellStyle name="Hyperlink" xfId="20991" builtinId="8" hidden="1"/>
    <cellStyle name="Hyperlink" xfId="20993" builtinId="8" hidden="1"/>
    <cellStyle name="Hyperlink" xfId="20995" builtinId="8" hidden="1"/>
    <cellStyle name="Hyperlink" xfId="20997" builtinId="8" hidden="1"/>
    <cellStyle name="Hyperlink" xfId="20999" builtinId="8" hidden="1"/>
    <cellStyle name="Hyperlink" xfId="21001" builtinId="8" hidden="1"/>
    <cellStyle name="Hyperlink" xfId="21003" builtinId="8" hidden="1"/>
    <cellStyle name="Hyperlink" xfId="21005" builtinId="8" hidden="1"/>
    <cellStyle name="Hyperlink" xfId="21007" builtinId="8" hidden="1"/>
    <cellStyle name="Hyperlink" xfId="21009" builtinId="8" hidden="1"/>
    <cellStyle name="Hyperlink" xfId="21011" builtinId="8" hidden="1"/>
    <cellStyle name="Hyperlink" xfId="21013" builtinId="8" hidden="1"/>
    <cellStyle name="Hyperlink" xfId="21015" builtinId="8" hidden="1"/>
    <cellStyle name="Hyperlink" xfId="21017" builtinId="8" hidden="1"/>
    <cellStyle name="Hyperlink" xfId="21019" builtinId="8" hidden="1"/>
    <cellStyle name="Hyperlink" xfId="21021" builtinId="8" hidden="1"/>
    <cellStyle name="Hyperlink" xfId="21023" builtinId="8" hidden="1"/>
    <cellStyle name="Hyperlink" xfId="21025" builtinId="8" hidden="1"/>
    <cellStyle name="Hyperlink" xfId="21027" builtinId="8" hidden="1"/>
    <cellStyle name="Hyperlink" xfId="21029" builtinId="8" hidden="1"/>
    <cellStyle name="Hyperlink" xfId="21031" builtinId="8" hidden="1"/>
    <cellStyle name="Hyperlink" xfId="21033" builtinId="8" hidden="1"/>
    <cellStyle name="Hyperlink" xfId="21035" builtinId="8" hidden="1"/>
    <cellStyle name="Hyperlink" xfId="21037" builtinId="8" hidden="1"/>
    <cellStyle name="Hyperlink" xfId="21039" builtinId="8" hidden="1"/>
    <cellStyle name="Hyperlink" xfId="21041" builtinId="8" hidden="1"/>
    <cellStyle name="Hyperlink" xfId="21043" builtinId="8" hidden="1"/>
    <cellStyle name="Hyperlink" xfId="21045" builtinId="8" hidden="1"/>
    <cellStyle name="Hyperlink" xfId="21047" builtinId="8" hidden="1"/>
    <cellStyle name="Hyperlink" xfId="21049" builtinId="8" hidden="1"/>
    <cellStyle name="Hyperlink" xfId="21051" builtinId="8" hidden="1"/>
    <cellStyle name="Hyperlink" xfId="21053" builtinId="8" hidden="1"/>
    <cellStyle name="Hyperlink" xfId="21055" builtinId="8" hidden="1"/>
    <cellStyle name="Hyperlink" xfId="21057" builtinId="8" hidden="1"/>
    <cellStyle name="Hyperlink" xfId="21059" builtinId="8" hidden="1"/>
    <cellStyle name="Hyperlink" xfId="21061" builtinId="8" hidden="1"/>
    <cellStyle name="Hyperlink" xfId="21063" builtinId="8" hidden="1"/>
    <cellStyle name="Hyperlink" xfId="21065" builtinId="8" hidden="1"/>
    <cellStyle name="Hyperlink" xfId="21067" builtinId="8" hidden="1"/>
    <cellStyle name="Hyperlink" xfId="21069" builtinId="8" hidden="1"/>
    <cellStyle name="Hyperlink" xfId="21071" builtinId="8" hidden="1"/>
    <cellStyle name="Hyperlink" xfId="21073" builtinId="8" hidden="1"/>
    <cellStyle name="Hyperlink" xfId="21075" builtinId="8" hidden="1"/>
    <cellStyle name="Hyperlink" xfId="21077" builtinId="8" hidden="1"/>
    <cellStyle name="Hyperlink" xfId="21079" builtinId="8" hidden="1"/>
    <cellStyle name="Hyperlink" xfId="21081" builtinId="8" hidden="1"/>
    <cellStyle name="Hyperlink" xfId="21083" builtinId="8" hidden="1"/>
    <cellStyle name="Hyperlink" xfId="21085" builtinId="8" hidden="1"/>
    <cellStyle name="Hyperlink" xfId="21087" builtinId="8" hidden="1"/>
    <cellStyle name="Hyperlink" xfId="21089" builtinId="8" hidden="1"/>
    <cellStyle name="Hyperlink" xfId="21091" builtinId="8" hidden="1"/>
    <cellStyle name="Hyperlink" xfId="21093" builtinId="8" hidden="1"/>
    <cellStyle name="Hyperlink" xfId="21095" builtinId="8" hidden="1"/>
    <cellStyle name="Hyperlink" xfId="21097" builtinId="8" hidden="1"/>
    <cellStyle name="Hyperlink" xfId="21099" builtinId="8" hidden="1"/>
    <cellStyle name="Hyperlink" xfId="21101" builtinId="8" hidden="1"/>
    <cellStyle name="Hyperlink" xfId="21103" builtinId="8" hidden="1"/>
    <cellStyle name="Hyperlink" xfId="21105" builtinId="8" hidden="1"/>
    <cellStyle name="Hyperlink" xfId="21107" builtinId="8" hidden="1"/>
    <cellStyle name="Hyperlink" xfId="21109" builtinId="8" hidden="1"/>
    <cellStyle name="Hyperlink" xfId="21111" builtinId="8" hidden="1"/>
    <cellStyle name="Hyperlink" xfId="21113" builtinId="8" hidden="1"/>
    <cellStyle name="Hyperlink" xfId="21115" builtinId="8" hidden="1"/>
    <cellStyle name="Hyperlink" xfId="21117" builtinId="8" hidden="1"/>
    <cellStyle name="Hyperlink" xfId="21119" builtinId="8" hidden="1"/>
    <cellStyle name="Hyperlink" xfId="21121" builtinId="8" hidden="1"/>
    <cellStyle name="Hyperlink" xfId="21123" builtinId="8" hidden="1"/>
    <cellStyle name="Hyperlink" xfId="21125" builtinId="8" hidden="1"/>
    <cellStyle name="Hyperlink" xfId="21127" builtinId="8" hidden="1"/>
    <cellStyle name="Hyperlink" xfId="21129" builtinId="8" hidden="1"/>
    <cellStyle name="Hyperlink" xfId="21131" builtinId="8" hidden="1"/>
    <cellStyle name="Hyperlink" xfId="21133" builtinId="8" hidden="1"/>
    <cellStyle name="Hyperlink" xfId="21135" builtinId="8" hidden="1"/>
    <cellStyle name="Hyperlink" xfId="21137" builtinId="8" hidden="1"/>
    <cellStyle name="Hyperlink" xfId="21139" builtinId="8" hidden="1"/>
    <cellStyle name="Hyperlink" xfId="21141" builtinId="8" hidden="1"/>
    <cellStyle name="Hyperlink" xfId="21143" builtinId="8" hidden="1"/>
    <cellStyle name="Hyperlink" xfId="21145" builtinId="8" hidden="1"/>
    <cellStyle name="Hyperlink" xfId="21147" builtinId="8" hidden="1"/>
    <cellStyle name="Hyperlink" xfId="21149" builtinId="8" hidden="1"/>
    <cellStyle name="Hyperlink" xfId="21151" builtinId="8" hidden="1"/>
    <cellStyle name="Hyperlink" xfId="21153" builtinId="8" hidden="1"/>
    <cellStyle name="Hyperlink" xfId="21155" builtinId="8" hidden="1"/>
    <cellStyle name="Hyperlink" xfId="21157" builtinId="8" hidden="1"/>
    <cellStyle name="Hyperlink" xfId="21159" builtinId="8" hidden="1"/>
    <cellStyle name="Hyperlink" xfId="21161" builtinId="8" hidden="1"/>
    <cellStyle name="Hyperlink" xfId="21163" builtinId="8" hidden="1"/>
    <cellStyle name="Hyperlink" xfId="21165" builtinId="8" hidden="1"/>
    <cellStyle name="Hyperlink" xfId="21167" builtinId="8" hidden="1"/>
    <cellStyle name="Hyperlink" xfId="21169" builtinId="8" hidden="1"/>
    <cellStyle name="Hyperlink" xfId="21171" builtinId="8" hidden="1"/>
    <cellStyle name="Hyperlink" xfId="21173" builtinId="8" hidden="1"/>
    <cellStyle name="Hyperlink" xfId="21175" builtinId="8" hidden="1"/>
    <cellStyle name="Hyperlink" xfId="21177" builtinId="8" hidden="1"/>
    <cellStyle name="Hyperlink" xfId="21179" builtinId="8" hidden="1"/>
    <cellStyle name="Hyperlink" xfId="21181" builtinId="8" hidden="1"/>
    <cellStyle name="Hyperlink" xfId="21183" builtinId="8" hidden="1"/>
    <cellStyle name="Hyperlink" xfId="21185" builtinId="8" hidden="1"/>
    <cellStyle name="Hyperlink" xfId="21187" builtinId="8" hidden="1"/>
    <cellStyle name="Hyperlink" xfId="21189" builtinId="8" hidden="1"/>
    <cellStyle name="Hyperlink" xfId="21191" builtinId="8" hidden="1"/>
    <cellStyle name="Hyperlink" xfId="21193" builtinId="8" hidden="1"/>
    <cellStyle name="Hyperlink" xfId="21195" builtinId="8" hidden="1"/>
    <cellStyle name="Hyperlink" xfId="21197" builtinId="8" hidden="1"/>
    <cellStyle name="Hyperlink" xfId="21199" builtinId="8" hidden="1"/>
    <cellStyle name="Hyperlink" xfId="21201" builtinId="8" hidden="1"/>
    <cellStyle name="Hyperlink" xfId="21203" builtinId="8" hidden="1"/>
    <cellStyle name="Hyperlink" xfId="21205" builtinId="8" hidden="1"/>
    <cellStyle name="Hyperlink" xfId="21207" builtinId="8" hidden="1"/>
    <cellStyle name="Hyperlink" xfId="21209" builtinId="8" hidden="1"/>
    <cellStyle name="Hyperlink" xfId="21211" builtinId="8" hidden="1"/>
    <cellStyle name="Hyperlink" xfId="21213" builtinId="8" hidden="1"/>
    <cellStyle name="Hyperlink" xfId="21215" builtinId="8" hidden="1"/>
    <cellStyle name="Hyperlink" xfId="21217" builtinId="8" hidden="1"/>
    <cellStyle name="Hyperlink" xfId="21219" builtinId="8" hidden="1"/>
    <cellStyle name="Hyperlink" xfId="21221" builtinId="8" hidden="1"/>
    <cellStyle name="Hyperlink" xfId="21223" builtinId="8" hidden="1"/>
    <cellStyle name="Hyperlink" xfId="21225" builtinId="8" hidden="1"/>
    <cellStyle name="Hyperlink" xfId="21227" builtinId="8" hidden="1"/>
    <cellStyle name="Hyperlink" xfId="21229" builtinId="8" hidden="1"/>
    <cellStyle name="Hyperlink" xfId="21231" builtinId="8" hidden="1"/>
    <cellStyle name="Hyperlink" xfId="21233" builtinId="8" hidden="1"/>
    <cellStyle name="Hyperlink" xfId="21235" builtinId="8" hidden="1"/>
    <cellStyle name="Hyperlink" xfId="21237" builtinId="8" hidden="1"/>
    <cellStyle name="Hyperlink" xfId="21239" builtinId="8" hidden="1"/>
    <cellStyle name="Hyperlink" xfId="21241" builtinId="8" hidden="1"/>
    <cellStyle name="Hyperlink" xfId="21243" builtinId="8" hidden="1"/>
    <cellStyle name="Hyperlink" xfId="21245" builtinId="8" hidden="1"/>
    <cellStyle name="Hyperlink" xfId="21247" builtinId="8" hidden="1"/>
    <cellStyle name="Hyperlink" xfId="21249" builtinId="8" hidden="1"/>
    <cellStyle name="Hyperlink" xfId="21251" builtinId="8" hidden="1"/>
    <cellStyle name="Hyperlink" xfId="21253" builtinId="8" hidden="1"/>
    <cellStyle name="Hyperlink" xfId="21255" builtinId="8" hidden="1"/>
    <cellStyle name="Hyperlink" xfId="21257" builtinId="8" hidden="1"/>
    <cellStyle name="Hyperlink" xfId="21259" builtinId="8" hidden="1"/>
    <cellStyle name="Hyperlink" xfId="21261" builtinId="8" hidden="1"/>
    <cellStyle name="Hyperlink" xfId="21263" builtinId="8" hidden="1"/>
    <cellStyle name="Hyperlink" xfId="21265" builtinId="8" hidden="1"/>
    <cellStyle name="Hyperlink" xfId="21267" builtinId="8" hidden="1"/>
    <cellStyle name="Hyperlink" xfId="21269" builtinId="8" hidden="1"/>
    <cellStyle name="Hyperlink" xfId="21271" builtinId="8" hidden="1"/>
    <cellStyle name="Hyperlink" xfId="21273" builtinId="8" hidden="1"/>
    <cellStyle name="Hyperlink" xfId="21275" builtinId="8" hidden="1"/>
    <cellStyle name="Hyperlink" xfId="21277" builtinId="8" hidden="1"/>
    <cellStyle name="Hyperlink" xfId="21279" builtinId="8" hidden="1"/>
    <cellStyle name="Hyperlink" xfId="21281" builtinId="8" hidden="1"/>
    <cellStyle name="Hyperlink" xfId="21283" builtinId="8" hidden="1"/>
    <cellStyle name="Hyperlink" xfId="21285" builtinId="8" hidden="1"/>
    <cellStyle name="Hyperlink" xfId="21287" builtinId="8" hidden="1"/>
    <cellStyle name="Hyperlink" xfId="21289" builtinId="8" hidden="1"/>
    <cellStyle name="Hyperlink" xfId="21291" builtinId="8" hidden="1"/>
    <cellStyle name="Hyperlink" xfId="21293" builtinId="8" hidden="1"/>
    <cellStyle name="Hyperlink" xfId="21295" builtinId="8" hidden="1"/>
    <cellStyle name="Hyperlink" xfId="21297" builtinId="8" hidden="1"/>
    <cellStyle name="Hyperlink" xfId="21299" builtinId="8" hidden="1"/>
    <cellStyle name="Hyperlink" xfId="21301" builtinId="8" hidden="1"/>
    <cellStyle name="Hyperlink" xfId="21303" builtinId="8" hidden="1"/>
    <cellStyle name="Hyperlink" xfId="21305" builtinId="8" hidden="1"/>
    <cellStyle name="Hyperlink" xfId="21307" builtinId="8" hidden="1"/>
    <cellStyle name="Hyperlink" xfId="21309" builtinId="8" hidden="1"/>
    <cellStyle name="Hyperlink" xfId="21311" builtinId="8" hidden="1"/>
    <cellStyle name="Hyperlink" xfId="21313" builtinId="8" hidden="1"/>
    <cellStyle name="Hyperlink" xfId="21315" builtinId="8" hidden="1"/>
    <cellStyle name="Hyperlink" xfId="21317" builtinId="8" hidden="1"/>
    <cellStyle name="Hyperlink" xfId="21319" builtinId="8" hidden="1"/>
    <cellStyle name="Hyperlink" xfId="21321" builtinId="8" hidden="1"/>
    <cellStyle name="Hyperlink" xfId="21323" builtinId="8" hidden="1"/>
    <cellStyle name="Hyperlink" xfId="21325" builtinId="8" hidden="1"/>
    <cellStyle name="Hyperlink" xfId="21327" builtinId="8" hidden="1"/>
    <cellStyle name="Hyperlink" xfId="21329" builtinId="8" hidden="1"/>
    <cellStyle name="Hyperlink" xfId="21331" builtinId="8" hidden="1"/>
    <cellStyle name="Hyperlink" xfId="21333" builtinId="8" hidden="1"/>
    <cellStyle name="Hyperlink" xfId="21335" builtinId="8" hidden="1"/>
    <cellStyle name="Hyperlink" xfId="21337" builtinId="8" hidden="1"/>
    <cellStyle name="Hyperlink" xfId="21339" builtinId="8" hidden="1"/>
    <cellStyle name="Hyperlink" xfId="21341" builtinId="8" hidden="1"/>
    <cellStyle name="Hyperlink" xfId="21343" builtinId="8" hidden="1"/>
    <cellStyle name="Hyperlink" xfId="21345" builtinId="8" hidden="1"/>
    <cellStyle name="Hyperlink" xfId="21347" builtinId="8" hidden="1"/>
    <cellStyle name="Hyperlink" xfId="21349" builtinId="8" hidden="1"/>
    <cellStyle name="Hyperlink" xfId="21351" builtinId="8" hidden="1"/>
    <cellStyle name="Hyperlink" xfId="21353" builtinId="8" hidden="1"/>
    <cellStyle name="Hyperlink" xfId="21355" builtinId="8" hidden="1"/>
    <cellStyle name="Hyperlink" xfId="21357" builtinId="8" hidden="1"/>
    <cellStyle name="Hyperlink" xfId="21359" builtinId="8" hidden="1"/>
    <cellStyle name="Hyperlink" xfId="21361" builtinId="8" hidden="1"/>
    <cellStyle name="Hyperlink" xfId="21363" builtinId="8" hidden="1"/>
    <cellStyle name="Hyperlink" xfId="21365" builtinId="8" hidden="1"/>
    <cellStyle name="Hyperlink" xfId="21367" builtinId="8" hidden="1"/>
    <cellStyle name="Hyperlink" xfId="21369" builtinId="8" hidden="1"/>
    <cellStyle name="Hyperlink" xfId="21371" builtinId="8" hidden="1"/>
    <cellStyle name="Hyperlink" xfId="21373" builtinId="8" hidden="1"/>
    <cellStyle name="Hyperlink" xfId="21375" builtinId="8" hidden="1"/>
    <cellStyle name="Hyperlink" xfId="21377" builtinId="8" hidden="1"/>
    <cellStyle name="Hyperlink" xfId="21379" builtinId="8" hidden="1"/>
    <cellStyle name="Hyperlink" xfId="21381" builtinId="8" hidden="1"/>
    <cellStyle name="Hyperlink" xfId="21383" builtinId="8" hidden="1"/>
    <cellStyle name="Hyperlink" xfId="21385" builtinId="8" hidden="1"/>
    <cellStyle name="Hyperlink" xfId="21387" builtinId="8" hidden="1"/>
    <cellStyle name="Hyperlink" xfId="21389" builtinId="8" hidden="1"/>
    <cellStyle name="Hyperlink" xfId="21391" builtinId="8" hidden="1"/>
    <cellStyle name="Hyperlink" xfId="21393" builtinId="8" hidden="1"/>
    <cellStyle name="Hyperlink" xfId="21395" builtinId="8" hidden="1"/>
    <cellStyle name="Hyperlink" xfId="21397" builtinId="8" hidden="1"/>
    <cellStyle name="Hyperlink" xfId="21399" builtinId="8" hidden="1"/>
    <cellStyle name="Hyperlink" xfId="21401" builtinId="8" hidden="1"/>
    <cellStyle name="Hyperlink" xfId="21403" builtinId="8" hidden="1"/>
    <cellStyle name="Hyperlink" xfId="21405" builtinId="8" hidden="1"/>
    <cellStyle name="Hyperlink" xfId="21407" builtinId="8" hidden="1"/>
    <cellStyle name="Hyperlink" xfId="21409" builtinId="8" hidden="1"/>
    <cellStyle name="Hyperlink" xfId="21411" builtinId="8" hidden="1"/>
    <cellStyle name="Hyperlink" xfId="21413" builtinId="8" hidden="1"/>
    <cellStyle name="Hyperlink" xfId="21415" builtinId="8" hidden="1"/>
    <cellStyle name="Hyperlink" xfId="21417" builtinId="8" hidden="1"/>
    <cellStyle name="Hyperlink" xfId="21419" builtinId="8" hidden="1"/>
    <cellStyle name="Hyperlink" xfId="21421" builtinId="8" hidden="1"/>
    <cellStyle name="Hyperlink" xfId="21423" builtinId="8" hidden="1"/>
    <cellStyle name="Hyperlink" xfId="21425" builtinId="8" hidden="1"/>
    <cellStyle name="Hyperlink" xfId="21427" builtinId="8" hidden="1"/>
    <cellStyle name="Hyperlink" xfId="21429" builtinId="8" hidden="1"/>
    <cellStyle name="Hyperlink" xfId="21431" builtinId="8" hidden="1"/>
    <cellStyle name="Hyperlink" xfId="21433" builtinId="8" hidden="1"/>
    <cellStyle name="Hyperlink" xfId="21435" builtinId="8" hidden="1"/>
    <cellStyle name="Hyperlink" xfId="21437" builtinId="8" hidden="1"/>
    <cellStyle name="Hyperlink" xfId="21439" builtinId="8" hidden="1"/>
    <cellStyle name="Hyperlink" xfId="21441" builtinId="8" hidden="1"/>
    <cellStyle name="Hyperlink" xfId="21443" builtinId="8" hidden="1"/>
    <cellStyle name="Hyperlink" xfId="21445" builtinId="8" hidden="1"/>
    <cellStyle name="Hyperlink" xfId="21447" builtinId="8" hidden="1"/>
    <cellStyle name="Hyperlink" xfId="21449" builtinId="8" hidden="1"/>
    <cellStyle name="Hyperlink" xfId="21451" builtinId="8" hidden="1"/>
    <cellStyle name="Hyperlink" xfId="21453" builtinId="8" hidden="1"/>
    <cellStyle name="Hyperlink" xfId="21455" builtinId="8" hidden="1"/>
    <cellStyle name="Hyperlink" xfId="21457" builtinId="8" hidden="1"/>
    <cellStyle name="Hyperlink" xfId="21459" builtinId="8" hidden="1"/>
    <cellStyle name="Hyperlink" xfId="21461" builtinId="8" hidden="1"/>
    <cellStyle name="Hyperlink" xfId="21463" builtinId="8" hidden="1"/>
    <cellStyle name="Hyperlink" xfId="21465" builtinId="8" hidden="1"/>
    <cellStyle name="Hyperlink" xfId="21467" builtinId="8" hidden="1"/>
    <cellStyle name="Hyperlink" xfId="21469" builtinId="8" hidden="1"/>
    <cellStyle name="Hyperlink" xfId="21471" builtinId="8" hidden="1"/>
    <cellStyle name="Hyperlink" xfId="21473" builtinId="8" hidden="1"/>
    <cellStyle name="Hyperlink" xfId="21475" builtinId="8" hidden="1"/>
    <cellStyle name="Hyperlink" xfId="21477" builtinId="8" hidden="1"/>
    <cellStyle name="Hyperlink" xfId="21479" builtinId="8" hidden="1"/>
    <cellStyle name="Hyperlink" xfId="21481" builtinId="8" hidden="1"/>
    <cellStyle name="Hyperlink" xfId="21483" builtinId="8" hidden="1"/>
    <cellStyle name="Hyperlink" xfId="21485" builtinId="8" hidden="1"/>
    <cellStyle name="Hyperlink" xfId="21487" builtinId="8" hidden="1"/>
    <cellStyle name="Hyperlink" xfId="21489" builtinId="8" hidden="1"/>
    <cellStyle name="Hyperlink" xfId="21491" builtinId="8" hidden="1"/>
    <cellStyle name="Hyperlink" xfId="21493" builtinId="8" hidden="1"/>
    <cellStyle name="Hyperlink" xfId="21495" builtinId="8" hidden="1"/>
    <cellStyle name="Hyperlink" xfId="21497" builtinId="8" hidden="1"/>
    <cellStyle name="Hyperlink" xfId="21499" builtinId="8" hidden="1"/>
    <cellStyle name="Hyperlink" xfId="21501" builtinId="8" hidden="1"/>
    <cellStyle name="Hyperlink" xfId="21503" builtinId="8" hidden="1"/>
    <cellStyle name="Hyperlink" xfId="21505" builtinId="8" hidden="1"/>
    <cellStyle name="Hyperlink" xfId="21507" builtinId="8" hidden="1"/>
    <cellStyle name="Hyperlink" xfId="21509" builtinId="8" hidden="1"/>
    <cellStyle name="Hyperlink" xfId="21511" builtinId="8" hidden="1"/>
    <cellStyle name="Hyperlink" xfId="21513" builtinId="8" hidden="1"/>
    <cellStyle name="Hyperlink" xfId="21515" builtinId="8" hidden="1"/>
    <cellStyle name="Hyperlink" xfId="21517" builtinId="8" hidden="1"/>
    <cellStyle name="Hyperlink" xfId="21519" builtinId="8" hidden="1"/>
    <cellStyle name="Hyperlink" xfId="21521" builtinId="8" hidden="1"/>
    <cellStyle name="Hyperlink" xfId="21523" builtinId="8" hidden="1"/>
    <cellStyle name="Hyperlink" xfId="21525" builtinId="8" hidden="1"/>
    <cellStyle name="Hyperlink" xfId="21527" builtinId="8" hidden="1"/>
    <cellStyle name="Hyperlink" xfId="21529" builtinId="8" hidden="1"/>
    <cellStyle name="Hyperlink" xfId="21531" builtinId="8" hidden="1"/>
    <cellStyle name="Hyperlink" xfId="21533" builtinId="8" hidden="1"/>
    <cellStyle name="Hyperlink" xfId="21535" builtinId="8" hidden="1"/>
    <cellStyle name="Hyperlink" xfId="21537" builtinId="8" hidden="1"/>
    <cellStyle name="Hyperlink" xfId="21539" builtinId="8" hidden="1"/>
    <cellStyle name="Hyperlink" xfId="21541" builtinId="8" hidden="1"/>
    <cellStyle name="Hyperlink" xfId="21543" builtinId="8" hidden="1"/>
    <cellStyle name="Hyperlink" xfId="21545" builtinId="8" hidden="1"/>
    <cellStyle name="Hyperlink" xfId="21547" builtinId="8" hidden="1"/>
    <cellStyle name="Hyperlink" xfId="21549" builtinId="8" hidden="1"/>
    <cellStyle name="Hyperlink" xfId="21551" builtinId="8" hidden="1"/>
    <cellStyle name="Hyperlink" xfId="21553" builtinId="8" hidden="1"/>
    <cellStyle name="Hyperlink" xfId="21555" builtinId="8" hidden="1"/>
    <cellStyle name="Hyperlink" xfId="21557" builtinId="8" hidden="1"/>
    <cellStyle name="Hyperlink" xfId="21559" builtinId="8" hidden="1"/>
    <cellStyle name="Hyperlink" xfId="21561" builtinId="8" hidden="1"/>
    <cellStyle name="Hyperlink" xfId="21563" builtinId="8" hidden="1"/>
    <cellStyle name="Hyperlink" xfId="21565" builtinId="8" hidden="1"/>
    <cellStyle name="Hyperlink" xfId="21567" builtinId="8" hidden="1"/>
    <cellStyle name="Hyperlink" xfId="21569" builtinId="8" hidden="1"/>
    <cellStyle name="Hyperlink" xfId="21571" builtinId="8" hidden="1"/>
    <cellStyle name="Hyperlink" xfId="21573" builtinId="8" hidden="1"/>
    <cellStyle name="Hyperlink" xfId="21575" builtinId="8" hidden="1"/>
    <cellStyle name="Hyperlink" xfId="21577" builtinId="8" hidden="1"/>
    <cellStyle name="Hyperlink" xfId="21579" builtinId="8" hidden="1"/>
    <cellStyle name="Hyperlink" xfId="21581" builtinId="8" hidden="1"/>
    <cellStyle name="Hyperlink" xfId="21583" builtinId="8" hidden="1"/>
    <cellStyle name="Hyperlink" xfId="21585" builtinId="8" hidden="1"/>
    <cellStyle name="Hyperlink" xfId="21587" builtinId="8" hidden="1"/>
    <cellStyle name="Hyperlink" xfId="21589" builtinId="8" hidden="1"/>
    <cellStyle name="Hyperlink" xfId="21591" builtinId="8" hidden="1"/>
    <cellStyle name="Hyperlink" xfId="21593" builtinId="8" hidden="1"/>
    <cellStyle name="Hyperlink" xfId="21595" builtinId="8" hidden="1"/>
    <cellStyle name="Hyperlink" xfId="21597" builtinId="8" hidden="1"/>
    <cellStyle name="Hyperlink" xfId="21599" builtinId="8" hidden="1"/>
    <cellStyle name="Hyperlink" xfId="21601" builtinId="8" hidden="1"/>
    <cellStyle name="Hyperlink" xfId="21603" builtinId="8" hidden="1"/>
    <cellStyle name="Hyperlink" xfId="21605" builtinId="8" hidden="1"/>
    <cellStyle name="Hyperlink" xfId="21607" builtinId="8" hidden="1"/>
    <cellStyle name="Hyperlink" xfId="21609" builtinId="8" hidden="1"/>
    <cellStyle name="Hyperlink" xfId="21611" builtinId="8" hidden="1"/>
    <cellStyle name="Hyperlink" xfId="21613" builtinId="8" hidden="1"/>
    <cellStyle name="Hyperlink" xfId="21615" builtinId="8" hidden="1"/>
    <cellStyle name="Hyperlink" xfId="21617" builtinId="8" hidden="1"/>
    <cellStyle name="Hyperlink" xfId="21619" builtinId="8" hidden="1"/>
    <cellStyle name="Hyperlink" xfId="21621" builtinId="8" hidden="1"/>
    <cellStyle name="Hyperlink" xfId="21623" builtinId="8" hidden="1"/>
    <cellStyle name="Hyperlink" xfId="21625" builtinId="8" hidden="1"/>
    <cellStyle name="Hyperlink" xfId="21627" builtinId="8" hidden="1"/>
    <cellStyle name="Hyperlink" xfId="21629" builtinId="8" hidden="1"/>
    <cellStyle name="Hyperlink" xfId="21631" builtinId="8" hidden="1"/>
    <cellStyle name="Hyperlink" xfId="21633" builtinId="8" hidden="1"/>
    <cellStyle name="Hyperlink" xfId="21635" builtinId="8" hidden="1"/>
    <cellStyle name="Hyperlink" xfId="21637" builtinId="8" hidden="1"/>
    <cellStyle name="Hyperlink" xfId="21639" builtinId="8" hidden="1"/>
    <cellStyle name="Hyperlink" xfId="21641" builtinId="8" hidden="1"/>
    <cellStyle name="Hyperlink" xfId="21643" builtinId="8" hidden="1"/>
    <cellStyle name="Hyperlink" xfId="21645" builtinId="8" hidden="1"/>
    <cellStyle name="Hyperlink" xfId="21647" builtinId="8" hidden="1"/>
    <cellStyle name="Hyperlink" xfId="21649" builtinId="8" hidden="1"/>
    <cellStyle name="Hyperlink" xfId="21651" builtinId="8" hidden="1"/>
    <cellStyle name="Hyperlink" xfId="21653" builtinId="8" hidden="1"/>
    <cellStyle name="Hyperlink" xfId="21655" builtinId="8" hidden="1"/>
    <cellStyle name="Hyperlink" xfId="21657" builtinId="8" hidden="1"/>
    <cellStyle name="Hyperlink" xfId="21659" builtinId="8" hidden="1"/>
    <cellStyle name="Hyperlink" xfId="21661" builtinId="8" hidden="1"/>
    <cellStyle name="Hyperlink" xfId="21663" builtinId="8" hidden="1"/>
    <cellStyle name="Hyperlink" xfId="21665" builtinId="8" hidden="1"/>
    <cellStyle name="Hyperlink" xfId="21667" builtinId="8" hidden="1"/>
    <cellStyle name="Hyperlink" xfId="21669" builtinId="8" hidden="1"/>
    <cellStyle name="Hyperlink" xfId="21671" builtinId="8" hidden="1"/>
    <cellStyle name="Hyperlink" xfId="21673" builtinId="8" hidden="1"/>
    <cellStyle name="Hyperlink" xfId="21675" builtinId="8" hidden="1"/>
    <cellStyle name="Hyperlink" xfId="21677" builtinId="8" hidden="1"/>
    <cellStyle name="Hyperlink" xfId="21679" builtinId="8" hidden="1"/>
    <cellStyle name="Hyperlink" xfId="21681" builtinId="8" hidden="1"/>
    <cellStyle name="Hyperlink" xfId="21683" builtinId="8" hidden="1"/>
    <cellStyle name="Hyperlink" xfId="21685" builtinId="8" hidden="1"/>
    <cellStyle name="Hyperlink" xfId="21687" builtinId="8" hidden="1"/>
    <cellStyle name="Hyperlink" xfId="21689" builtinId="8" hidden="1"/>
    <cellStyle name="Hyperlink" xfId="21691" builtinId="8" hidden="1"/>
    <cellStyle name="Hyperlink" xfId="21693" builtinId="8" hidden="1"/>
    <cellStyle name="Hyperlink" xfId="21695" builtinId="8" hidden="1"/>
    <cellStyle name="Hyperlink" xfId="21697" builtinId="8" hidden="1"/>
    <cellStyle name="Hyperlink" xfId="21699" builtinId="8" hidden="1"/>
    <cellStyle name="Hyperlink" xfId="21701" builtinId="8" hidden="1"/>
    <cellStyle name="Hyperlink" xfId="21703" builtinId="8" hidden="1"/>
    <cellStyle name="Hyperlink" xfId="21705" builtinId="8" hidden="1"/>
    <cellStyle name="Hyperlink" xfId="21707" builtinId="8" hidden="1"/>
    <cellStyle name="Hyperlink" xfId="21709" builtinId="8" hidden="1"/>
    <cellStyle name="Hyperlink" xfId="21711" builtinId="8" hidden="1"/>
    <cellStyle name="Hyperlink" xfId="21713" builtinId="8" hidden="1"/>
    <cellStyle name="Hyperlink" xfId="21715" builtinId="8" hidden="1"/>
    <cellStyle name="Hyperlink" xfId="21717" builtinId="8" hidden="1"/>
    <cellStyle name="Hyperlink" xfId="21719" builtinId="8" hidden="1"/>
    <cellStyle name="Hyperlink" xfId="21721" builtinId="8" hidden="1"/>
    <cellStyle name="Hyperlink" xfId="21723" builtinId="8" hidden="1"/>
    <cellStyle name="Hyperlink" xfId="21725" builtinId="8" hidden="1"/>
    <cellStyle name="Hyperlink" xfId="21727" builtinId="8" hidden="1"/>
    <cellStyle name="Hyperlink" xfId="21729" builtinId="8" hidden="1"/>
    <cellStyle name="Hyperlink" xfId="21731" builtinId="8" hidden="1"/>
    <cellStyle name="Hyperlink" xfId="21733" builtinId="8" hidden="1"/>
    <cellStyle name="Hyperlink" xfId="21735" builtinId="8" hidden="1"/>
    <cellStyle name="Hyperlink" xfId="21737" builtinId="8" hidden="1"/>
    <cellStyle name="Hyperlink" xfId="21739" builtinId="8" hidden="1"/>
    <cellStyle name="Hyperlink" xfId="21741" builtinId="8" hidden="1"/>
    <cellStyle name="Hyperlink" xfId="21743" builtinId="8" hidden="1"/>
    <cellStyle name="Hyperlink" xfId="21745" builtinId="8" hidden="1"/>
    <cellStyle name="Hyperlink" xfId="21747" builtinId="8" hidden="1"/>
    <cellStyle name="Hyperlink" xfId="21749" builtinId="8" hidden="1"/>
    <cellStyle name="Hyperlink" xfId="21751" builtinId="8" hidden="1"/>
    <cellStyle name="Hyperlink" xfId="21753" builtinId="8" hidden="1"/>
    <cellStyle name="Hyperlink" xfId="21755" builtinId="8" hidden="1"/>
    <cellStyle name="Hyperlink" xfId="21757" builtinId="8" hidden="1"/>
    <cellStyle name="Hyperlink" xfId="21759" builtinId="8" hidden="1"/>
    <cellStyle name="Hyperlink" xfId="21761" builtinId="8" hidden="1"/>
    <cellStyle name="Hyperlink" xfId="21763" builtinId="8" hidden="1"/>
    <cellStyle name="Hyperlink" xfId="21765" builtinId="8" hidden="1"/>
    <cellStyle name="Hyperlink" xfId="21767" builtinId="8" hidden="1"/>
    <cellStyle name="Hyperlink" xfId="21769" builtinId="8" hidden="1"/>
    <cellStyle name="Hyperlink" xfId="21771" builtinId="8" hidden="1"/>
    <cellStyle name="Hyperlink" xfId="21773" builtinId="8" hidden="1"/>
    <cellStyle name="Hyperlink" xfId="21775" builtinId="8" hidden="1"/>
    <cellStyle name="Hyperlink" xfId="21777" builtinId="8" hidden="1"/>
    <cellStyle name="Hyperlink" xfId="21779" builtinId="8" hidden="1"/>
    <cellStyle name="Hyperlink" xfId="21781" builtinId="8" hidden="1"/>
    <cellStyle name="Hyperlink" xfId="21783" builtinId="8" hidden="1"/>
    <cellStyle name="Hyperlink" xfId="21785" builtinId="8" hidden="1"/>
    <cellStyle name="Hyperlink" xfId="21787" builtinId="8" hidden="1"/>
    <cellStyle name="Hyperlink" xfId="21789" builtinId="8" hidden="1"/>
    <cellStyle name="Hyperlink" xfId="21791" builtinId="8" hidden="1"/>
    <cellStyle name="Hyperlink" xfId="21793" builtinId="8" hidden="1"/>
    <cellStyle name="Hyperlink" xfId="21795" builtinId="8" hidden="1"/>
    <cellStyle name="Hyperlink" xfId="21797" builtinId="8" hidden="1"/>
    <cellStyle name="Hyperlink" xfId="21799" builtinId="8" hidden="1"/>
    <cellStyle name="Hyperlink" xfId="21801" builtinId="8" hidden="1"/>
    <cellStyle name="Hyperlink" xfId="21803" builtinId="8" hidden="1"/>
    <cellStyle name="Hyperlink" xfId="21805" builtinId="8" hidden="1"/>
    <cellStyle name="Hyperlink" xfId="21807" builtinId="8" hidden="1"/>
    <cellStyle name="Hyperlink" xfId="21809" builtinId="8" hidden="1"/>
    <cellStyle name="Hyperlink" xfId="21811" builtinId="8" hidden="1"/>
    <cellStyle name="Hyperlink" xfId="21813" builtinId="8" hidden="1"/>
    <cellStyle name="Hyperlink" xfId="21815" builtinId="8" hidden="1"/>
    <cellStyle name="Hyperlink" xfId="21817" builtinId="8" hidden="1"/>
    <cellStyle name="Hyperlink" xfId="21819" builtinId="8" hidden="1"/>
    <cellStyle name="Hyperlink" xfId="21821" builtinId="8" hidden="1"/>
    <cellStyle name="Hyperlink" xfId="21823" builtinId="8" hidden="1"/>
    <cellStyle name="Hyperlink" xfId="21825" builtinId="8" hidden="1"/>
    <cellStyle name="Hyperlink" xfId="21827" builtinId="8" hidden="1"/>
    <cellStyle name="Hyperlink" xfId="21829" builtinId="8" hidden="1"/>
    <cellStyle name="Hyperlink" xfId="21831" builtinId="8" hidden="1"/>
    <cellStyle name="Hyperlink" xfId="21833" builtinId="8" hidden="1"/>
    <cellStyle name="Hyperlink" xfId="21835" builtinId="8" hidden="1"/>
    <cellStyle name="Hyperlink" xfId="21837" builtinId="8" hidden="1"/>
    <cellStyle name="Hyperlink" xfId="21839" builtinId="8" hidden="1"/>
    <cellStyle name="Hyperlink" xfId="21841" builtinId="8" hidden="1"/>
    <cellStyle name="Hyperlink" xfId="21843" builtinId="8" hidden="1"/>
    <cellStyle name="Hyperlink" xfId="21845" builtinId="8" hidden="1"/>
    <cellStyle name="Hyperlink" xfId="21847" builtinId="8" hidden="1"/>
    <cellStyle name="Hyperlink" xfId="21849" builtinId="8" hidden="1"/>
    <cellStyle name="Hyperlink" xfId="21851" builtinId="8" hidden="1"/>
    <cellStyle name="Hyperlink" xfId="21853" builtinId="8" hidden="1"/>
    <cellStyle name="Hyperlink" xfId="21855" builtinId="8" hidden="1"/>
    <cellStyle name="Hyperlink" xfId="21857" builtinId="8" hidden="1"/>
    <cellStyle name="Hyperlink" xfId="21859" builtinId="8" hidden="1"/>
    <cellStyle name="Hyperlink" xfId="21861" builtinId="8" hidden="1"/>
    <cellStyle name="Hyperlink" xfId="21863" builtinId="8" hidden="1"/>
    <cellStyle name="Hyperlink" xfId="21865" builtinId="8" hidden="1"/>
    <cellStyle name="Hyperlink" xfId="21867" builtinId="8" hidden="1"/>
    <cellStyle name="Hyperlink" xfId="21869" builtinId="8" hidden="1"/>
    <cellStyle name="Hyperlink" xfId="21871" builtinId="8" hidden="1"/>
    <cellStyle name="Hyperlink" xfId="21873" builtinId="8" hidden="1"/>
    <cellStyle name="Hyperlink" xfId="21875" builtinId="8" hidden="1"/>
    <cellStyle name="Hyperlink" xfId="21877" builtinId="8" hidden="1"/>
    <cellStyle name="Hyperlink" xfId="21879" builtinId="8" hidden="1"/>
    <cellStyle name="Hyperlink" xfId="21881" builtinId="8" hidden="1"/>
    <cellStyle name="Hyperlink" xfId="21883" builtinId="8" hidden="1"/>
    <cellStyle name="Hyperlink" xfId="21885" builtinId="8" hidden="1"/>
    <cellStyle name="Hyperlink" xfId="21887" builtinId="8" hidden="1"/>
    <cellStyle name="Hyperlink" xfId="21889" builtinId="8" hidden="1"/>
    <cellStyle name="Hyperlink" xfId="21891" builtinId="8" hidden="1"/>
    <cellStyle name="Hyperlink" xfId="21893" builtinId="8" hidden="1"/>
    <cellStyle name="Hyperlink" xfId="21895" builtinId="8" hidden="1"/>
    <cellStyle name="Hyperlink" xfId="21897" builtinId="8" hidden="1"/>
    <cellStyle name="Hyperlink" xfId="21899" builtinId="8" hidden="1"/>
    <cellStyle name="Hyperlink" xfId="21901" builtinId="8" hidden="1"/>
    <cellStyle name="Hyperlink" xfId="21903" builtinId="8" hidden="1"/>
    <cellStyle name="Hyperlink" xfId="21905" builtinId="8" hidden="1"/>
    <cellStyle name="Hyperlink" xfId="21907" builtinId="8" hidden="1"/>
    <cellStyle name="Hyperlink" xfId="21909" builtinId="8" hidden="1"/>
    <cellStyle name="Hyperlink" xfId="21911" builtinId="8" hidden="1"/>
    <cellStyle name="Hyperlink" xfId="21913" builtinId="8" hidden="1"/>
    <cellStyle name="Hyperlink" xfId="21915" builtinId="8" hidden="1"/>
    <cellStyle name="Hyperlink" xfId="21917" builtinId="8" hidden="1"/>
    <cellStyle name="Hyperlink" xfId="21919" builtinId="8" hidden="1"/>
    <cellStyle name="Hyperlink" xfId="21921" builtinId="8" hidden="1"/>
    <cellStyle name="Hyperlink" xfId="21923" builtinId="8" hidden="1"/>
    <cellStyle name="Hyperlink" xfId="21925" builtinId="8" hidden="1"/>
    <cellStyle name="Hyperlink" xfId="21927" builtinId="8" hidden="1"/>
    <cellStyle name="Hyperlink" xfId="21929" builtinId="8" hidden="1"/>
    <cellStyle name="Hyperlink" xfId="21931" builtinId="8" hidden="1"/>
    <cellStyle name="Hyperlink" xfId="21933" builtinId="8" hidden="1"/>
    <cellStyle name="Hyperlink" xfId="21935" builtinId="8" hidden="1"/>
    <cellStyle name="Hyperlink" xfId="21937" builtinId="8" hidden="1"/>
    <cellStyle name="Hyperlink" xfId="21939" builtinId="8" hidden="1"/>
    <cellStyle name="Hyperlink" xfId="21941" builtinId="8" hidden="1"/>
    <cellStyle name="Hyperlink" xfId="21943" builtinId="8" hidden="1"/>
    <cellStyle name="Hyperlink" xfId="21945" builtinId="8" hidden="1"/>
    <cellStyle name="Hyperlink" xfId="21947" builtinId="8" hidden="1"/>
    <cellStyle name="Hyperlink" xfId="21949" builtinId="8" hidden="1"/>
    <cellStyle name="Hyperlink" xfId="21951" builtinId="8" hidden="1"/>
    <cellStyle name="Hyperlink" xfId="21953" builtinId="8" hidden="1"/>
    <cellStyle name="Hyperlink" xfId="21955" builtinId="8" hidden="1"/>
    <cellStyle name="Hyperlink" xfId="21957" builtinId="8" hidden="1"/>
    <cellStyle name="Hyperlink" xfId="21959" builtinId="8" hidden="1"/>
    <cellStyle name="Hyperlink" xfId="21961" builtinId="8" hidden="1"/>
    <cellStyle name="Hyperlink" xfId="21963" builtinId="8" hidden="1"/>
    <cellStyle name="Hyperlink" xfId="21965" builtinId="8" hidden="1"/>
    <cellStyle name="Hyperlink" xfId="21967" builtinId="8" hidden="1"/>
    <cellStyle name="Hyperlink" xfId="21969" builtinId="8" hidden="1"/>
    <cellStyle name="Hyperlink" xfId="21971" builtinId="8" hidden="1"/>
    <cellStyle name="Hyperlink" xfId="21973" builtinId="8" hidden="1"/>
    <cellStyle name="Hyperlink" xfId="21975" builtinId="8" hidden="1"/>
    <cellStyle name="Hyperlink" xfId="21977" builtinId="8" hidden="1"/>
    <cellStyle name="Hyperlink" xfId="21979" builtinId="8" hidden="1"/>
    <cellStyle name="Hyperlink" xfId="21981" builtinId="8" hidden="1"/>
    <cellStyle name="Hyperlink" xfId="21983" builtinId="8" hidden="1"/>
    <cellStyle name="Hyperlink" xfId="21985" builtinId="8" hidden="1"/>
    <cellStyle name="Hyperlink" xfId="21987" builtinId="8" hidden="1"/>
    <cellStyle name="Hyperlink" xfId="21989" builtinId="8" hidden="1"/>
    <cellStyle name="Hyperlink" xfId="21991" builtinId="8" hidden="1"/>
    <cellStyle name="Hyperlink" xfId="21993" builtinId="8" hidden="1"/>
    <cellStyle name="Hyperlink" xfId="21995" builtinId="8" hidden="1"/>
    <cellStyle name="Hyperlink" xfId="21997" builtinId="8" hidden="1"/>
    <cellStyle name="Hyperlink" xfId="21999" builtinId="8" hidden="1"/>
    <cellStyle name="Hyperlink" xfId="22001" builtinId="8" hidden="1"/>
    <cellStyle name="Hyperlink" xfId="22003" builtinId="8" hidden="1"/>
    <cellStyle name="Hyperlink" xfId="22005" builtinId="8" hidden="1"/>
    <cellStyle name="Hyperlink" xfId="22007" builtinId="8" hidden="1"/>
    <cellStyle name="Hyperlink" xfId="22009" builtinId="8" hidden="1"/>
    <cellStyle name="Hyperlink" xfId="22011" builtinId="8" hidden="1"/>
    <cellStyle name="Hyperlink" xfId="22013" builtinId="8" hidden="1"/>
    <cellStyle name="Hyperlink" xfId="22015" builtinId="8" hidden="1"/>
    <cellStyle name="Hyperlink" xfId="22017" builtinId="8" hidden="1"/>
    <cellStyle name="Hyperlink" xfId="22019" builtinId="8" hidden="1"/>
    <cellStyle name="Hyperlink" xfId="22021" builtinId="8" hidden="1"/>
    <cellStyle name="Hyperlink" xfId="22023" builtinId="8" hidden="1"/>
    <cellStyle name="Hyperlink" xfId="22025" builtinId="8" hidden="1"/>
    <cellStyle name="Hyperlink" xfId="22027" builtinId="8" hidden="1"/>
    <cellStyle name="Hyperlink" xfId="22029" builtinId="8" hidden="1"/>
    <cellStyle name="Hyperlink" xfId="22031" builtinId="8" hidden="1"/>
    <cellStyle name="Hyperlink" xfId="22033" builtinId="8" hidden="1"/>
    <cellStyle name="Hyperlink" xfId="22035" builtinId="8" hidden="1"/>
    <cellStyle name="Hyperlink" xfId="22037" builtinId="8" hidden="1"/>
    <cellStyle name="Hyperlink" xfId="22039" builtinId="8" hidden="1"/>
    <cellStyle name="Hyperlink" xfId="22041" builtinId="8" hidden="1"/>
    <cellStyle name="Hyperlink" xfId="22043" builtinId="8" hidden="1"/>
    <cellStyle name="Hyperlink" xfId="22045" builtinId="8" hidden="1"/>
    <cellStyle name="Hyperlink" xfId="22047" builtinId="8" hidden="1"/>
    <cellStyle name="Hyperlink" xfId="22049" builtinId="8" hidden="1"/>
    <cellStyle name="Hyperlink" xfId="22051" builtinId="8" hidden="1"/>
    <cellStyle name="Hyperlink" xfId="22053" builtinId="8" hidden="1"/>
    <cellStyle name="Hyperlink" xfId="22055" builtinId="8" hidden="1"/>
    <cellStyle name="Hyperlink" xfId="22057" builtinId="8" hidden="1"/>
    <cellStyle name="Hyperlink" xfId="22059" builtinId="8" hidden="1"/>
    <cellStyle name="Hyperlink" xfId="22061" builtinId="8" hidden="1"/>
    <cellStyle name="Hyperlink" xfId="22063" builtinId="8" hidden="1"/>
    <cellStyle name="Hyperlink" xfId="22065" builtinId="8" hidden="1"/>
    <cellStyle name="Hyperlink" xfId="22067" builtinId="8" hidden="1"/>
    <cellStyle name="Hyperlink" xfId="22069" builtinId="8" hidden="1"/>
    <cellStyle name="Hyperlink" xfId="22071" builtinId="8" hidden="1"/>
    <cellStyle name="Hyperlink" xfId="22073" builtinId="8" hidden="1"/>
    <cellStyle name="Hyperlink" xfId="22075" builtinId="8" hidden="1"/>
    <cellStyle name="Hyperlink" xfId="22077" builtinId="8" hidden="1"/>
    <cellStyle name="Hyperlink" xfId="22079" builtinId="8" hidden="1"/>
    <cellStyle name="Hyperlink" xfId="22081" builtinId="8" hidden="1"/>
    <cellStyle name="Hyperlink" xfId="22083" builtinId="8" hidden="1"/>
    <cellStyle name="Hyperlink" xfId="22085" builtinId="8" hidden="1"/>
    <cellStyle name="Hyperlink" xfId="22087" builtinId="8" hidden="1"/>
    <cellStyle name="Hyperlink" xfId="22089" builtinId="8" hidden="1"/>
    <cellStyle name="Hyperlink" xfId="22091" builtinId="8" hidden="1"/>
    <cellStyle name="Hyperlink" xfId="22093" builtinId="8" hidden="1"/>
    <cellStyle name="Hyperlink" xfId="22095" builtinId="8" hidden="1"/>
    <cellStyle name="Hyperlink" xfId="22097" builtinId="8" hidden="1"/>
    <cellStyle name="Hyperlink" xfId="22099" builtinId="8" hidden="1"/>
    <cellStyle name="Hyperlink" xfId="22101" builtinId="8" hidden="1"/>
    <cellStyle name="Hyperlink" xfId="22103" builtinId="8" hidden="1"/>
    <cellStyle name="Hyperlink" xfId="22105" builtinId="8" hidden="1"/>
    <cellStyle name="Hyperlink" xfId="22107" builtinId="8" hidden="1"/>
    <cellStyle name="Hyperlink" xfId="22109" builtinId="8" hidden="1"/>
    <cellStyle name="Hyperlink" xfId="22111" builtinId="8" hidden="1"/>
    <cellStyle name="Hyperlink" xfId="22113" builtinId="8" hidden="1"/>
    <cellStyle name="Hyperlink" xfId="22115" builtinId="8" hidden="1"/>
    <cellStyle name="Hyperlink" xfId="22117" builtinId="8" hidden="1"/>
    <cellStyle name="Hyperlink" xfId="22119" builtinId="8" hidden="1"/>
    <cellStyle name="Hyperlink" xfId="22121" builtinId="8" hidden="1"/>
    <cellStyle name="Hyperlink" xfId="22123" builtinId="8" hidden="1"/>
    <cellStyle name="Hyperlink" xfId="22125" builtinId="8" hidden="1"/>
    <cellStyle name="Hyperlink" xfId="22127" builtinId="8" hidden="1"/>
    <cellStyle name="Hyperlink" xfId="22129" builtinId="8" hidden="1"/>
    <cellStyle name="Hyperlink" xfId="22131" builtinId="8" hidden="1"/>
    <cellStyle name="Hyperlink" xfId="22133" builtinId="8" hidden="1"/>
    <cellStyle name="Hyperlink" xfId="22135" builtinId="8" hidden="1"/>
    <cellStyle name="Hyperlink" xfId="22137" builtinId="8" hidden="1"/>
    <cellStyle name="Hyperlink" xfId="22139" builtinId="8" hidden="1"/>
    <cellStyle name="Hyperlink" xfId="22141" builtinId="8" hidden="1"/>
    <cellStyle name="Hyperlink" xfId="22143" builtinId="8" hidden="1"/>
    <cellStyle name="Hyperlink" xfId="22145" builtinId="8" hidden="1"/>
    <cellStyle name="Hyperlink" xfId="22147" builtinId="8" hidden="1"/>
    <cellStyle name="Hyperlink" xfId="22149" builtinId="8" hidden="1"/>
    <cellStyle name="Hyperlink" xfId="22151" builtinId="8" hidden="1"/>
    <cellStyle name="Hyperlink" xfId="22153" builtinId="8" hidden="1"/>
    <cellStyle name="Hyperlink" xfId="22155" builtinId="8" hidden="1"/>
    <cellStyle name="Hyperlink" xfId="22157" builtinId="8" hidden="1"/>
    <cellStyle name="Hyperlink" xfId="22159" builtinId="8" hidden="1"/>
    <cellStyle name="Hyperlink" xfId="22161" builtinId="8" hidden="1"/>
    <cellStyle name="Hyperlink" xfId="22163" builtinId="8" hidden="1"/>
    <cellStyle name="Hyperlink" xfId="22165" builtinId="8" hidden="1"/>
    <cellStyle name="Hyperlink" xfId="22167" builtinId="8" hidden="1"/>
    <cellStyle name="Hyperlink" xfId="22169" builtinId="8" hidden="1"/>
    <cellStyle name="Hyperlink" xfId="22171" builtinId="8" hidden="1"/>
    <cellStyle name="Hyperlink" xfId="22173" builtinId="8" hidden="1"/>
    <cellStyle name="Hyperlink" xfId="22175" builtinId="8" hidden="1"/>
    <cellStyle name="Hyperlink" xfId="22177" builtinId="8" hidden="1"/>
    <cellStyle name="Hyperlink" xfId="22179" builtinId="8" hidden="1"/>
    <cellStyle name="Hyperlink" xfId="22181" builtinId="8" hidden="1"/>
    <cellStyle name="Hyperlink" xfId="22183" builtinId="8" hidden="1"/>
    <cellStyle name="Hyperlink" xfId="22185" builtinId="8" hidden="1"/>
    <cellStyle name="Hyperlink" xfId="22187" builtinId="8" hidden="1"/>
    <cellStyle name="Hyperlink" xfId="22189" builtinId="8" hidden="1"/>
    <cellStyle name="Hyperlink" xfId="22191" builtinId="8" hidden="1"/>
    <cellStyle name="Hyperlink" xfId="22193" builtinId="8" hidden="1"/>
    <cellStyle name="Hyperlink" xfId="22195" builtinId="8" hidden="1"/>
    <cellStyle name="Hyperlink" xfId="22197" builtinId="8" hidden="1"/>
    <cellStyle name="Hyperlink" xfId="22199" builtinId="8" hidden="1"/>
    <cellStyle name="Hyperlink" xfId="22201" builtinId="8" hidden="1"/>
    <cellStyle name="Hyperlink" xfId="22203" builtinId="8" hidden="1"/>
    <cellStyle name="Hyperlink" xfId="22205" builtinId="8" hidden="1"/>
    <cellStyle name="Hyperlink" xfId="22207" builtinId="8" hidden="1"/>
    <cellStyle name="Hyperlink" xfId="22209" builtinId="8" hidden="1"/>
    <cellStyle name="Hyperlink" xfId="22211" builtinId="8" hidden="1"/>
    <cellStyle name="Hyperlink" xfId="22213" builtinId="8" hidden="1"/>
    <cellStyle name="Hyperlink" xfId="22215" builtinId="8" hidden="1"/>
    <cellStyle name="Hyperlink" xfId="22217" builtinId="8" hidden="1"/>
    <cellStyle name="Hyperlink" xfId="22219" builtinId="8" hidden="1"/>
    <cellStyle name="Hyperlink" xfId="22221" builtinId="8" hidden="1"/>
    <cellStyle name="Hyperlink" xfId="22223" builtinId="8" hidden="1"/>
    <cellStyle name="Hyperlink" xfId="22225" builtinId="8" hidden="1"/>
    <cellStyle name="Hyperlink" xfId="22227" builtinId="8" hidden="1"/>
    <cellStyle name="Hyperlink" xfId="22229" builtinId="8" hidden="1"/>
    <cellStyle name="Hyperlink" xfId="22231" builtinId="8" hidden="1"/>
    <cellStyle name="Hyperlink" xfId="22233" builtinId="8" hidden="1"/>
    <cellStyle name="Hyperlink" xfId="22235" builtinId="8" hidden="1"/>
    <cellStyle name="Hyperlink" xfId="22237" builtinId="8" hidden="1"/>
    <cellStyle name="Hyperlink" xfId="22239" builtinId="8" hidden="1"/>
    <cellStyle name="Hyperlink" xfId="22241" builtinId="8" hidden="1"/>
    <cellStyle name="Hyperlink" xfId="22243" builtinId="8" hidden="1"/>
    <cellStyle name="Hyperlink" xfId="22245" builtinId="8" hidden="1"/>
    <cellStyle name="Hyperlink" xfId="22247" builtinId="8" hidden="1"/>
    <cellStyle name="Hyperlink" xfId="22249" builtinId="8" hidden="1"/>
    <cellStyle name="Hyperlink" xfId="22251" builtinId="8" hidden="1"/>
    <cellStyle name="Hyperlink" xfId="22253" builtinId="8" hidden="1"/>
    <cellStyle name="Hyperlink" xfId="22255" builtinId="8" hidden="1"/>
    <cellStyle name="Hyperlink" xfId="22257" builtinId="8" hidden="1"/>
    <cellStyle name="Hyperlink" xfId="22259" builtinId="8" hidden="1"/>
    <cellStyle name="Hyperlink" xfId="22261" builtinId="8" hidden="1"/>
    <cellStyle name="Hyperlink" xfId="22263" builtinId="8" hidden="1"/>
    <cellStyle name="Hyperlink" xfId="22265" builtinId="8" hidden="1"/>
    <cellStyle name="Hyperlink" xfId="22267" builtinId="8" hidden="1"/>
    <cellStyle name="Hyperlink" xfId="22269" builtinId="8" hidden="1"/>
    <cellStyle name="Hyperlink" xfId="22271" builtinId="8" hidden="1"/>
    <cellStyle name="Hyperlink" xfId="22273" builtinId="8" hidden="1"/>
    <cellStyle name="Hyperlink" xfId="22275" builtinId="8" hidden="1"/>
    <cellStyle name="Hyperlink" xfId="22277" builtinId="8" hidden="1"/>
    <cellStyle name="Hyperlink" xfId="22279" builtinId="8" hidden="1"/>
    <cellStyle name="Hyperlink" xfId="22281" builtinId="8" hidden="1"/>
    <cellStyle name="Hyperlink" xfId="22283" builtinId="8" hidden="1"/>
    <cellStyle name="Hyperlink" xfId="22285" builtinId="8" hidden="1"/>
    <cellStyle name="Hyperlink" xfId="22287" builtinId="8" hidden="1"/>
    <cellStyle name="Hyperlink" xfId="22289" builtinId="8" hidden="1"/>
    <cellStyle name="Hyperlink" xfId="22291" builtinId="8" hidden="1"/>
    <cellStyle name="Hyperlink" xfId="22293" builtinId="8" hidden="1"/>
    <cellStyle name="Hyperlink" xfId="22295" builtinId="8" hidden="1"/>
    <cellStyle name="Hyperlink" xfId="22297" builtinId="8" hidden="1"/>
    <cellStyle name="Hyperlink" xfId="22299" builtinId="8" hidden="1"/>
    <cellStyle name="Hyperlink" xfId="22301" builtinId="8" hidden="1"/>
    <cellStyle name="Hyperlink" xfId="22303" builtinId="8" hidden="1"/>
    <cellStyle name="Hyperlink" xfId="22305" builtinId="8" hidden="1"/>
    <cellStyle name="Hyperlink" xfId="22307" builtinId="8" hidden="1"/>
    <cellStyle name="Hyperlink" xfId="22309" builtinId="8" hidden="1"/>
    <cellStyle name="Hyperlink" xfId="22311" builtinId="8" hidden="1"/>
    <cellStyle name="Hyperlink" xfId="22313" builtinId="8" hidden="1"/>
    <cellStyle name="Hyperlink" xfId="22315" builtinId="8" hidden="1"/>
    <cellStyle name="Hyperlink" xfId="22317" builtinId="8" hidden="1"/>
    <cellStyle name="Hyperlink" xfId="22319" builtinId="8" hidden="1"/>
    <cellStyle name="Hyperlink" xfId="22321" builtinId="8" hidden="1"/>
    <cellStyle name="Hyperlink" xfId="22323" builtinId="8" hidden="1"/>
    <cellStyle name="Hyperlink" xfId="22325" builtinId="8" hidden="1"/>
    <cellStyle name="Hyperlink" xfId="22327" builtinId="8" hidden="1"/>
    <cellStyle name="Hyperlink" xfId="22329" builtinId="8" hidden="1"/>
    <cellStyle name="Hyperlink" xfId="22331" builtinId="8" hidden="1"/>
    <cellStyle name="Hyperlink" xfId="22333" builtinId="8" hidden="1"/>
    <cellStyle name="Hyperlink" xfId="22335" builtinId="8" hidden="1"/>
    <cellStyle name="Hyperlink" xfId="22337" builtinId="8" hidden="1"/>
    <cellStyle name="Hyperlink" xfId="22339" builtinId="8" hidden="1"/>
    <cellStyle name="Hyperlink" xfId="22341" builtinId="8" hidden="1"/>
    <cellStyle name="Hyperlink" xfId="22343" builtinId="8" hidden="1"/>
    <cellStyle name="Hyperlink" xfId="22345" builtinId="8" hidden="1"/>
    <cellStyle name="Hyperlink" xfId="22347" builtinId="8" hidden="1"/>
    <cellStyle name="Hyperlink" xfId="22349" builtinId="8" hidden="1"/>
    <cellStyle name="Hyperlink" xfId="22351" builtinId="8" hidden="1"/>
    <cellStyle name="Hyperlink" xfId="22353" builtinId="8" hidden="1"/>
    <cellStyle name="Hyperlink" xfId="22355" builtinId="8" hidden="1"/>
    <cellStyle name="Hyperlink" xfId="22357" builtinId="8" hidden="1"/>
    <cellStyle name="Hyperlink" xfId="22359" builtinId="8" hidden="1"/>
    <cellStyle name="Hyperlink" xfId="22361" builtinId="8" hidden="1"/>
    <cellStyle name="Hyperlink" xfId="22363" builtinId="8" hidden="1"/>
    <cellStyle name="Hyperlink" xfId="22365" builtinId="8" hidden="1"/>
    <cellStyle name="Hyperlink" xfId="22367" builtinId="8" hidden="1"/>
    <cellStyle name="Hyperlink" xfId="22369" builtinId="8" hidden="1"/>
    <cellStyle name="Hyperlink" xfId="22371" builtinId="8" hidden="1"/>
    <cellStyle name="Hyperlink" xfId="22373" builtinId="8" hidden="1"/>
    <cellStyle name="Hyperlink" xfId="22375" builtinId="8" hidden="1"/>
    <cellStyle name="Hyperlink" xfId="22377" builtinId="8" hidden="1"/>
    <cellStyle name="Hyperlink" xfId="22379" builtinId="8" hidden="1"/>
    <cellStyle name="Hyperlink" xfId="22381" builtinId="8" hidden="1"/>
    <cellStyle name="Hyperlink" xfId="22383" builtinId="8" hidden="1"/>
    <cellStyle name="Hyperlink" xfId="22385" builtinId="8" hidden="1"/>
    <cellStyle name="Hyperlink" xfId="22387" builtinId="8" hidden="1"/>
    <cellStyle name="Hyperlink" xfId="22389" builtinId="8" hidden="1"/>
    <cellStyle name="Hyperlink" xfId="22391" builtinId="8" hidden="1"/>
    <cellStyle name="Hyperlink" xfId="22393" builtinId="8" hidden="1"/>
    <cellStyle name="Hyperlink" xfId="22395" builtinId="8" hidden="1"/>
    <cellStyle name="Hyperlink" xfId="22397" builtinId="8" hidden="1"/>
    <cellStyle name="Hyperlink" xfId="22399" builtinId="8" hidden="1"/>
    <cellStyle name="Hyperlink" xfId="22401" builtinId="8" hidden="1"/>
    <cellStyle name="Hyperlink" xfId="22403" builtinId="8" hidden="1"/>
    <cellStyle name="Hyperlink" xfId="22405" builtinId="8" hidden="1"/>
    <cellStyle name="Hyperlink" xfId="22407" builtinId="8" hidden="1"/>
    <cellStyle name="Hyperlink" xfId="22409" builtinId="8" hidden="1"/>
    <cellStyle name="Hyperlink" xfId="22411" builtinId="8" hidden="1"/>
    <cellStyle name="Hyperlink" xfId="22413" builtinId="8" hidden="1"/>
    <cellStyle name="Hyperlink" xfId="22415" builtinId="8" hidden="1"/>
    <cellStyle name="Hyperlink" xfId="22417" builtinId="8" hidden="1"/>
    <cellStyle name="Hyperlink" xfId="22419" builtinId="8" hidden="1"/>
    <cellStyle name="Hyperlink" xfId="22421" builtinId="8" hidden="1"/>
    <cellStyle name="Hyperlink" xfId="22423" builtinId="8" hidden="1"/>
    <cellStyle name="Hyperlink" xfId="22425" builtinId="8" hidden="1"/>
    <cellStyle name="Hyperlink" xfId="22427" builtinId="8" hidden="1"/>
    <cellStyle name="Hyperlink" xfId="22429" builtinId="8" hidden="1"/>
    <cellStyle name="Hyperlink" xfId="22431" builtinId="8" hidden="1"/>
    <cellStyle name="Hyperlink" xfId="22433" builtinId="8" hidden="1"/>
    <cellStyle name="Hyperlink" xfId="22435" builtinId="8" hidden="1"/>
    <cellStyle name="Hyperlink" xfId="22437" builtinId="8" hidden="1"/>
    <cellStyle name="Hyperlink" xfId="22439" builtinId="8" hidden="1"/>
    <cellStyle name="Hyperlink" xfId="22441" builtinId="8" hidden="1"/>
    <cellStyle name="Hyperlink" xfId="22443" builtinId="8" hidden="1"/>
    <cellStyle name="Hyperlink" xfId="22445" builtinId="8" hidden="1"/>
    <cellStyle name="Hyperlink" xfId="22447" builtinId="8" hidden="1"/>
    <cellStyle name="Hyperlink" xfId="22449" builtinId="8" hidden="1"/>
    <cellStyle name="Hyperlink" xfId="22451" builtinId="8" hidden="1"/>
    <cellStyle name="Hyperlink" xfId="22453" builtinId="8" hidden="1"/>
    <cellStyle name="Hyperlink" xfId="22455" builtinId="8" hidden="1"/>
    <cellStyle name="Hyperlink" xfId="22457" builtinId="8" hidden="1"/>
    <cellStyle name="Hyperlink" xfId="22459" builtinId="8" hidden="1"/>
    <cellStyle name="Hyperlink" xfId="22461" builtinId="8" hidden="1"/>
    <cellStyle name="Hyperlink" xfId="22463" builtinId="8" hidden="1"/>
    <cellStyle name="Hyperlink" xfId="22465" builtinId="8" hidden="1"/>
    <cellStyle name="Hyperlink" xfId="22467" builtinId="8" hidden="1"/>
    <cellStyle name="Hyperlink" xfId="22469" builtinId="8" hidden="1"/>
    <cellStyle name="Hyperlink" xfId="22471" builtinId="8" hidden="1"/>
    <cellStyle name="Hyperlink" xfId="22473" builtinId="8" hidden="1"/>
    <cellStyle name="Hyperlink" xfId="22475" builtinId="8" hidden="1"/>
    <cellStyle name="Hyperlink" xfId="22477" builtinId="8" hidden="1"/>
    <cellStyle name="Hyperlink" xfId="22479" builtinId="8" hidden="1"/>
    <cellStyle name="Hyperlink" xfId="22481" builtinId="8" hidden="1"/>
    <cellStyle name="Hyperlink" xfId="22483" builtinId="8" hidden="1"/>
    <cellStyle name="Hyperlink" xfId="22485" builtinId="8" hidden="1"/>
    <cellStyle name="Hyperlink" xfId="22487" builtinId="8" hidden="1"/>
    <cellStyle name="Hyperlink" xfId="22489" builtinId="8" hidden="1"/>
    <cellStyle name="Hyperlink" xfId="22491" builtinId="8" hidden="1"/>
    <cellStyle name="Hyperlink" xfId="22493" builtinId="8" hidden="1"/>
    <cellStyle name="Hyperlink" xfId="22495" builtinId="8" hidden="1"/>
    <cellStyle name="Hyperlink" xfId="22497" builtinId="8" hidden="1"/>
    <cellStyle name="Hyperlink" xfId="22499" builtinId="8" hidden="1"/>
    <cellStyle name="Hyperlink" xfId="22501" builtinId="8" hidden="1"/>
    <cellStyle name="Hyperlink" xfId="22503" builtinId="8" hidden="1"/>
    <cellStyle name="Hyperlink" xfId="22505" builtinId="8" hidden="1"/>
    <cellStyle name="Hyperlink" xfId="22507" builtinId="8" hidden="1"/>
    <cellStyle name="Hyperlink" xfId="22509" builtinId="8" hidden="1"/>
    <cellStyle name="Hyperlink" xfId="22511" builtinId="8" hidden="1"/>
    <cellStyle name="Hyperlink" xfId="22513" builtinId="8" hidden="1"/>
    <cellStyle name="Hyperlink" xfId="22515" builtinId="8" hidden="1"/>
    <cellStyle name="Hyperlink" xfId="22517" builtinId="8" hidden="1"/>
    <cellStyle name="Hyperlink" xfId="22519" builtinId="8" hidden="1"/>
    <cellStyle name="Hyperlink" xfId="22521" builtinId="8" hidden="1"/>
    <cellStyle name="Hyperlink" xfId="22523" builtinId="8" hidden="1"/>
    <cellStyle name="Hyperlink" xfId="22525" builtinId="8" hidden="1"/>
    <cellStyle name="Hyperlink" xfId="22527" builtinId="8" hidden="1"/>
    <cellStyle name="Hyperlink" xfId="22529" builtinId="8" hidden="1"/>
    <cellStyle name="Hyperlink" xfId="22531" builtinId="8" hidden="1"/>
    <cellStyle name="Hyperlink" xfId="22533" builtinId="8" hidden="1"/>
    <cellStyle name="Hyperlink" xfId="22535" builtinId="8" hidden="1"/>
    <cellStyle name="Hyperlink" xfId="22537" builtinId="8" hidden="1"/>
    <cellStyle name="Hyperlink" xfId="22539" builtinId="8" hidden="1"/>
    <cellStyle name="Hyperlink" xfId="22541" builtinId="8" hidden="1"/>
    <cellStyle name="Hyperlink" xfId="22543" builtinId="8" hidden="1"/>
    <cellStyle name="Hyperlink" xfId="22545" builtinId="8" hidden="1"/>
    <cellStyle name="Hyperlink" xfId="22547" builtinId="8" hidden="1"/>
    <cellStyle name="Hyperlink" xfId="22549" builtinId="8" hidden="1"/>
    <cellStyle name="Hyperlink" xfId="22551" builtinId="8" hidden="1"/>
    <cellStyle name="Hyperlink" xfId="22553" builtinId="8" hidden="1"/>
    <cellStyle name="Hyperlink" xfId="22555" builtinId="8" hidden="1"/>
    <cellStyle name="Hyperlink" xfId="22557" builtinId="8" hidden="1"/>
    <cellStyle name="Hyperlink" xfId="22559" builtinId="8" hidden="1"/>
    <cellStyle name="Hyperlink" xfId="22561" builtinId="8" hidden="1"/>
    <cellStyle name="Hyperlink" xfId="22563" builtinId="8" hidden="1"/>
    <cellStyle name="Hyperlink" xfId="22565" builtinId="8" hidden="1"/>
    <cellStyle name="Hyperlink" xfId="22567" builtinId="8" hidden="1"/>
    <cellStyle name="Hyperlink" xfId="22569" builtinId="8" hidden="1"/>
    <cellStyle name="Hyperlink" xfId="22571" builtinId="8" hidden="1"/>
    <cellStyle name="Hyperlink" xfId="22573" builtinId="8" hidden="1"/>
    <cellStyle name="Hyperlink" xfId="22575" builtinId="8" hidden="1"/>
    <cellStyle name="Hyperlink" xfId="22577" builtinId="8" hidden="1"/>
    <cellStyle name="Hyperlink" xfId="22579" builtinId="8" hidden="1"/>
    <cellStyle name="Hyperlink" xfId="22581" builtinId="8" hidden="1"/>
    <cellStyle name="Hyperlink" xfId="22583" builtinId="8" hidden="1"/>
    <cellStyle name="Hyperlink" xfId="22585" builtinId="8" hidden="1"/>
    <cellStyle name="Hyperlink" xfId="22587" builtinId="8" hidden="1"/>
    <cellStyle name="Hyperlink" xfId="22589" builtinId="8" hidden="1"/>
    <cellStyle name="Hyperlink" xfId="22591" builtinId="8" hidden="1"/>
    <cellStyle name="Hyperlink" xfId="22593" builtinId="8" hidden="1"/>
    <cellStyle name="Hyperlink" xfId="22595" builtinId="8" hidden="1"/>
    <cellStyle name="Hyperlink" xfId="22597" builtinId="8" hidden="1"/>
    <cellStyle name="Hyperlink" xfId="22599" builtinId="8" hidden="1"/>
    <cellStyle name="Hyperlink" xfId="22601" builtinId="8" hidden="1"/>
    <cellStyle name="Hyperlink" xfId="22603" builtinId="8" hidden="1"/>
    <cellStyle name="Hyperlink" xfId="22605" builtinId="8" hidden="1"/>
    <cellStyle name="Hyperlink" xfId="22607" builtinId="8" hidden="1"/>
    <cellStyle name="Hyperlink" xfId="22609" builtinId="8" hidden="1"/>
    <cellStyle name="Hyperlink" xfId="22611" builtinId="8" hidden="1"/>
    <cellStyle name="Hyperlink" xfId="22613" builtinId="8" hidden="1"/>
    <cellStyle name="Hyperlink" xfId="22615" builtinId="8" hidden="1"/>
    <cellStyle name="Hyperlink" xfId="22617" builtinId="8" hidden="1"/>
    <cellStyle name="Hyperlink" xfId="22619" builtinId="8" hidden="1"/>
    <cellStyle name="Hyperlink" xfId="22621" builtinId="8" hidden="1"/>
    <cellStyle name="Hyperlink" xfId="22623" builtinId="8" hidden="1"/>
    <cellStyle name="Hyperlink" xfId="22625" builtinId="8" hidden="1"/>
    <cellStyle name="Hyperlink" xfId="22627" builtinId="8" hidden="1"/>
    <cellStyle name="Hyperlink" xfId="22629" builtinId="8" hidden="1"/>
    <cellStyle name="Hyperlink" xfId="22631" builtinId="8" hidden="1"/>
    <cellStyle name="Hyperlink" xfId="22633" builtinId="8" hidden="1"/>
    <cellStyle name="Hyperlink" xfId="22635" builtinId="8" hidden="1"/>
    <cellStyle name="Hyperlink" xfId="22637" builtinId="8" hidden="1"/>
    <cellStyle name="Hyperlink" xfId="22639" builtinId="8" hidden="1"/>
    <cellStyle name="Hyperlink" xfId="22641" builtinId="8" hidden="1"/>
    <cellStyle name="Hyperlink" xfId="22643" builtinId="8" hidden="1"/>
    <cellStyle name="Hyperlink" xfId="22645" builtinId="8" hidden="1"/>
    <cellStyle name="Hyperlink" xfId="22647" builtinId="8" hidden="1"/>
    <cellStyle name="Hyperlink" xfId="22649" builtinId="8" hidden="1"/>
    <cellStyle name="Hyperlink" xfId="22651" builtinId="8" hidden="1"/>
    <cellStyle name="Hyperlink" xfId="22653" builtinId="8" hidden="1"/>
    <cellStyle name="Hyperlink" xfId="22655" builtinId="8" hidden="1"/>
    <cellStyle name="Hyperlink" xfId="22657" builtinId="8" hidden="1"/>
    <cellStyle name="Hyperlink" xfId="22659" builtinId="8" hidden="1"/>
    <cellStyle name="Hyperlink" xfId="22661" builtinId="8" hidden="1"/>
    <cellStyle name="Hyperlink" xfId="22663" builtinId="8" hidden="1"/>
    <cellStyle name="Hyperlink" xfId="22665" builtinId="8" hidden="1"/>
    <cellStyle name="Hyperlink" xfId="22667" builtinId="8" hidden="1"/>
    <cellStyle name="Hyperlink" xfId="22669" builtinId="8" hidden="1"/>
    <cellStyle name="Hyperlink" xfId="22671" builtinId="8" hidden="1"/>
    <cellStyle name="Hyperlink" xfId="22673" builtinId="8" hidden="1"/>
    <cellStyle name="Hyperlink" xfId="22675" builtinId="8" hidden="1"/>
    <cellStyle name="Hyperlink" xfId="22677" builtinId="8" hidden="1"/>
    <cellStyle name="Hyperlink" xfId="22679" builtinId="8" hidden="1"/>
    <cellStyle name="Hyperlink" xfId="22681" builtinId="8" hidden="1"/>
    <cellStyle name="Hyperlink" xfId="22683" builtinId="8" hidden="1"/>
    <cellStyle name="Hyperlink" xfId="22685" builtinId="8" hidden="1"/>
    <cellStyle name="Hyperlink" xfId="22687" builtinId="8" hidden="1"/>
    <cellStyle name="Hyperlink" xfId="22689" builtinId="8" hidden="1"/>
    <cellStyle name="Hyperlink" xfId="22691" builtinId="8" hidden="1"/>
    <cellStyle name="Hyperlink" xfId="22693" builtinId="8" hidden="1"/>
    <cellStyle name="Hyperlink" xfId="22695" builtinId="8" hidden="1"/>
    <cellStyle name="Hyperlink" xfId="22697" builtinId="8" hidden="1"/>
    <cellStyle name="Hyperlink" xfId="22699" builtinId="8" hidden="1"/>
    <cellStyle name="Hyperlink" xfId="22701" builtinId="8" hidden="1"/>
    <cellStyle name="Hyperlink" xfId="22703" builtinId="8" hidden="1"/>
    <cellStyle name="Hyperlink" xfId="22705" builtinId="8" hidden="1"/>
    <cellStyle name="Hyperlink" xfId="22707" builtinId="8" hidden="1"/>
    <cellStyle name="Hyperlink" xfId="22709" builtinId="8" hidden="1"/>
    <cellStyle name="Hyperlink" xfId="22711" builtinId="8" hidden="1"/>
    <cellStyle name="Hyperlink" xfId="22713" builtinId="8" hidden="1"/>
    <cellStyle name="Hyperlink" xfId="22715" builtinId="8" hidden="1"/>
    <cellStyle name="Hyperlink" xfId="22717" builtinId="8" hidden="1"/>
    <cellStyle name="Hyperlink" xfId="22719" builtinId="8" hidden="1"/>
    <cellStyle name="Hyperlink" xfId="22721" builtinId="8" hidden="1"/>
    <cellStyle name="Hyperlink" xfId="22723" builtinId="8" hidden="1"/>
    <cellStyle name="Hyperlink" xfId="22725" builtinId="8" hidden="1"/>
    <cellStyle name="Hyperlink" xfId="22727" builtinId="8" hidden="1"/>
    <cellStyle name="Hyperlink" xfId="22729" builtinId="8" hidden="1"/>
    <cellStyle name="Hyperlink" xfId="22731" builtinId="8" hidden="1"/>
    <cellStyle name="Hyperlink" xfId="22733" builtinId="8" hidden="1"/>
    <cellStyle name="Hyperlink" xfId="22735" builtinId="8" hidden="1"/>
    <cellStyle name="Hyperlink" xfId="22737" builtinId="8" hidden="1"/>
    <cellStyle name="Hyperlink" xfId="22739" builtinId="8" hidden="1"/>
    <cellStyle name="Hyperlink" xfId="22741" builtinId="8" hidden="1"/>
    <cellStyle name="Hyperlink" xfId="22743" builtinId="8" hidden="1"/>
    <cellStyle name="Hyperlink" xfId="22745" builtinId="8" hidden="1"/>
    <cellStyle name="Hyperlink" xfId="22747" builtinId="8" hidden="1"/>
    <cellStyle name="Hyperlink" xfId="22749" builtinId="8" hidden="1"/>
    <cellStyle name="Hyperlink" xfId="22751" builtinId="8" hidden="1"/>
    <cellStyle name="Hyperlink" xfId="22753" builtinId="8" hidden="1"/>
    <cellStyle name="Hyperlink" xfId="22755" builtinId="8" hidden="1"/>
    <cellStyle name="Hyperlink" xfId="22757" builtinId="8" hidden="1"/>
    <cellStyle name="Hyperlink" xfId="22759" builtinId="8" hidden="1"/>
    <cellStyle name="Hyperlink" xfId="22761" builtinId="8" hidden="1"/>
    <cellStyle name="Hyperlink" xfId="22763" builtinId="8" hidden="1"/>
    <cellStyle name="Hyperlink" xfId="22765" builtinId="8" hidden="1"/>
    <cellStyle name="Hyperlink" xfId="22767" builtinId="8" hidden="1"/>
    <cellStyle name="Hyperlink" xfId="22769" builtinId="8" hidden="1"/>
    <cellStyle name="Hyperlink" xfId="22771" builtinId="8" hidden="1"/>
    <cellStyle name="Hyperlink" xfId="22773" builtinId="8" hidden="1"/>
    <cellStyle name="Hyperlink" xfId="22775" builtinId="8" hidden="1"/>
    <cellStyle name="Hyperlink" xfId="22777" builtinId="8" hidden="1"/>
    <cellStyle name="Hyperlink" xfId="22779" builtinId="8" hidden="1"/>
    <cellStyle name="Hyperlink" xfId="22781" builtinId="8" hidden="1"/>
    <cellStyle name="Hyperlink" xfId="22783" builtinId="8" hidden="1"/>
    <cellStyle name="Hyperlink" xfId="22785" builtinId="8" hidden="1"/>
    <cellStyle name="Hyperlink" xfId="22787" builtinId="8" hidden="1"/>
    <cellStyle name="Hyperlink" xfId="22789" builtinId="8" hidden="1"/>
    <cellStyle name="Hyperlink" xfId="22791" builtinId="8" hidden="1"/>
    <cellStyle name="Hyperlink" xfId="22793" builtinId="8" hidden="1"/>
    <cellStyle name="Hyperlink" xfId="22795" builtinId="8" hidden="1"/>
    <cellStyle name="Hyperlink" xfId="22797" builtinId="8" hidden="1"/>
    <cellStyle name="Hyperlink" xfId="22799" builtinId="8" hidden="1"/>
    <cellStyle name="Hyperlink" xfId="22801" builtinId="8" hidden="1"/>
    <cellStyle name="Hyperlink" xfId="22803" builtinId="8" hidden="1"/>
    <cellStyle name="Hyperlink" xfId="22805" builtinId="8" hidden="1"/>
    <cellStyle name="Hyperlink" xfId="22807" builtinId="8" hidden="1"/>
    <cellStyle name="Hyperlink" xfId="22809" builtinId="8" hidden="1"/>
    <cellStyle name="Hyperlink" xfId="22811" builtinId="8" hidden="1"/>
    <cellStyle name="Hyperlink" xfId="22813" builtinId="8" hidden="1"/>
    <cellStyle name="Hyperlink" xfId="22815" builtinId="8" hidden="1"/>
    <cellStyle name="Hyperlink" xfId="22817" builtinId="8" hidden="1"/>
    <cellStyle name="Hyperlink" xfId="22819" builtinId="8" hidden="1"/>
    <cellStyle name="Hyperlink" xfId="22821" builtinId="8" hidden="1"/>
    <cellStyle name="Hyperlink" xfId="22823" builtinId="8" hidden="1"/>
    <cellStyle name="Hyperlink" xfId="22825" builtinId="8" hidden="1"/>
    <cellStyle name="Hyperlink" xfId="22827" builtinId="8" hidden="1"/>
    <cellStyle name="Hyperlink" xfId="22829" builtinId="8" hidden="1"/>
    <cellStyle name="Hyperlink" xfId="22831" builtinId="8" hidden="1"/>
    <cellStyle name="Hyperlink" xfId="22833" builtinId="8" hidden="1"/>
    <cellStyle name="Hyperlink" xfId="22835" builtinId="8" hidden="1"/>
    <cellStyle name="Hyperlink" xfId="22837" builtinId="8" hidden="1"/>
    <cellStyle name="Hyperlink" xfId="22839" builtinId="8" hidden="1"/>
    <cellStyle name="Hyperlink" xfId="22841" builtinId="8" hidden="1"/>
    <cellStyle name="Hyperlink" xfId="22843" builtinId="8" hidden="1"/>
    <cellStyle name="Hyperlink" xfId="22845" builtinId="8" hidden="1"/>
    <cellStyle name="Hyperlink" xfId="22847" builtinId="8" hidden="1"/>
    <cellStyle name="Hyperlink" xfId="22849" builtinId="8" hidden="1"/>
    <cellStyle name="Hyperlink" xfId="22851" builtinId="8" hidden="1"/>
    <cellStyle name="Hyperlink" xfId="22853" builtinId="8" hidden="1"/>
    <cellStyle name="Hyperlink" xfId="22855" builtinId="8" hidden="1"/>
    <cellStyle name="Hyperlink" xfId="22857" builtinId="8" hidden="1"/>
    <cellStyle name="Hyperlink" xfId="22859" builtinId="8" hidden="1"/>
    <cellStyle name="Hyperlink" xfId="22861" builtinId="8" hidden="1"/>
    <cellStyle name="Hyperlink" xfId="22863" builtinId="8" hidden="1"/>
    <cellStyle name="Hyperlink" xfId="22865" builtinId="8" hidden="1"/>
    <cellStyle name="Hyperlink" xfId="22867" builtinId="8" hidden="1"/>
    <cellStyle name="Hyperlink" xfId="22869" builtinId="8" hidden="1"/>
    <cellStyle name="Hyperlink" xfId="22871" builtinId="8" hidden="1"/>
    <cellStyle name="Hyperlink" xfId="22873" builtinId="8" hidden="1"/>
    <cellStyle name="Hyperlink" xfId="22875" builtinId="8" hidden="1"/>
    <cellStyle name="Hyperlink" xfId="22877" builtinId="8" hidden="1"/>
    <cellStyle name="Hyperlink" xfId="22879" builtinId="8" hidden="1"/>
    <cellStyle name="Hyperlink" xfId="22881" builtinId="8" hidden="1"/>
    <cellStyle name="Hyperlink" xfId="22883" builtinId="8" hidden="1"/>
    <cellStyle name="Hyperlink" xfId="22885" builtinId="8" hidden="1"/>
    <cellStyle name="Hyperlink" xfId="22887" builtinId="8" hidden="1"/>
    <cellStyle name="Hyperlink" xfId="22889" builtinId="8" hidden="1"/>
    <cellStyle name="Hyperlink" xfId="22891" builtinId="8" hidden="1"/>
    <cellStyle name="Hyperlink" xfId="22893" builtinId="8" hidden="1"/>
    <cellStyle name="Hyperlink" xfId="22895" builtinId="8" hidden="1"/>
    <cellStyle name="Hyperlink" xfId="22897" builtinId="8" hidden="1"/>
    <cellStyle name="Hyperlink" xfId="22899" builtinId="8" hidden="1"/>
    <cellStyle name="Hyperlink" xfId="22901" builtinId="8" hidden="1"/>
    <cellStyle name="Hyperlink" xfId="22903" builtinId="8" hidden="1"/>
    <cellStyle name="Hyperlink" xfId="22905" builtinId="8" hidden="1"/>
    <cellStyle name="Hyperlink" xfId="22907" builtinId="8" hidden="1"/>
    <cellStyle name="Hyperlink" xfId="22909" builtinId="8" hidden="1"/>
    <cellStyle name="Hyperlink" xfId="22911" builtinId="8" hidden="1"/>
    <cellStyle name="Hyperlink" xfId="22913" builtinId="8" hidden="1"/>
    <cellStyle name="Hyperlink" xfId="22915" builtinId="8" hidden="1"/>
    <cellStyle name="Hyperlink" xfId="22917" builtinId="8" hidden="1"/>
    <cellStyle name="Hyperlink" xfId="22919" builtinId="8" hidden="1"/>
    <cellStyle name="Hyperlink" xfId="22921" builtinId="8" hidden="1"/>
    <cellStyle name="Hyperlink" xfId="22923" builtinId="8" hidden="1"/>
    <cellStyle name="Hyperlink" xfId="22925" builtinId="8" hidden="1"/>
    <cellStyle name="Hyperlink" xfId="22927" builtinId="8" hidden="1"/>
    <cellStyle name="Hyperlink" xfId="22929" builtinId="8" hidden="1"/>
    <cellStyle name="Hyperlink" xfId="22931" builtinId="8" hidden="1"/>
    <cellStyle name="Hyperlink" xfId="22933" builtinId="8" hidden="1"/>
    <cellStyle name="Hyperlink" xfId="22935" builtinId="8" hidden="1"/>
    <cellStyle name="Hyperlink" xfId="22937" builtinId="8" hidden="1"/>
    <cellStyle name="Hyperlink" xfId="22939" builtinId="8" hidden="1"/>
    <cellStyle name="Hyperlink" xfId="22941" builtinId="8" hidden="1"/>
    <cellStyle name="Hyperlink" xfId="22943" builtinId="8" hidden="1"/>
    <cellStyle name="Hyperlink" xfId="22945" builtinId="8" hidden="1"/>
    <cellStyle name="Hyperlink" xfId="22947" builtinId="8" hidden="1"/>
    <cellStyle name="Hyperlink" xfId="22949" builtinId="8" hidden="1"/>
    <cellStyle name="Hyperlink" xfId="22951" builtinId="8" hidden="1"/>
    <cellStyle name="Hyperlink" xfId="22953" builtinId="8" hidden="1"/>
    <cellStyle name="Hyperlink" xfId="22955" builtinId="8" hidden="1"/>
    <cellStyle name="Hyperlink" xfId="22957" builtinId="8" hidden="1"/>
    <cellStyle name="Hyperlink" xfId="22959" builtinId="8" hidden="1"/>
    <cellStyle name="Hyperlink" xfId="22961" builtinId="8" hidden="1"/>
    <cellStyle name="Hyperlink" xfId="22963" builtinId="8" hidden="1"/>
    <cellStyle name="Hyperlink" xfId="22965" builtinId="8" hidden="1"/>
    <cellStyle name="Hyperlink" xfId="22967" builtinId="8" hidden="1"/>
    <cellStyle name="Hyperlink" xfId="22969" builtinId="8" hidden="1"/>
    <cellStyle name="Hyperlink" xfId="22971" builtinId="8" hidden="1"/>
    <cellStyle name="Hyperlink" xfId="22973" builtinId="8" hidden="1"/>
    <cellStyle name="Hyperlink" xfId="22975" builtinId="8" hidden="1"/>
    <cellStyle name="Hyperlink" xfId="22977" builtinId="8" hidden="1"/>
    <cellStyle name="Hyperlink" xfId="22979" builtinId="8" hidden="1"/>
    <cellStyle name="Hyperlink" xfId="22981" builtinId="8" hidden="1"/>
    <cellStyle name="Hyperlink" xfId="22983" builtinId="8" hidden="1"/>
    <cellStyle name="Hyperlink" xfId="22985" builtinId="8" hidden="1"/>
    <cellStyle name="Hyperlink" xfId="22987" builtinId="8" hidden="1"/>
    <cellStyle name="Hyperlink" xfId="22989" builtinId="8" hidden="1"/>
    <cellStyle name="Hyperlink" xfId="22991" builtinId="8" hidden="1"/>
    <cellStyle name="Hyperlink" xfId="22993" builtinId="8" hidden="1"/>
    <cellStyle name="Hyperlink" xfId="22995" builtinId="8" hidden="1"/>
    <cellStyle name="Hyperlink" xfId="22997" builtinId="8" hidden="1"/>
    <cellStyle name="Hyperlink" xfId="22999" builtinId="8" hidden="1"/>
    <cellStyle name="Hyperlink" xfId="23001" builtinId="8" hidden="1"/>
    <cellStyle name="Hyperlink" xfId="23003" builtinId="8" hidden="1"/>
    <cellStyle name="Hyperlink" xfId="23005" builtinId="8" hidden="1"/>
    <cellStyle name="Hyperlink" xfId="23007" builtinId="8" hidden="1"/>
    <cellStyle name="Hyperlink" xfId="23009" builtinId="8" hidden="1"/>
    <cellStyle name="Hyperlink" xfId="23011" builtinId="8" hidden="1"/>
    <cellStyle name="Hyperlink" xfId="23013" builtinId="8" hidden="1"/>
    <cellStyle name="Hyperlink" xfId="23015" builtinId="8" hidden="1"/>
    <cellStyle name="Hyperlink" xfId="23017" builtinId="8" hidden="1"/>
    <cellStyle name="Hyperlink" xfId="23019" builtinId="8" hidden="1"/>
    <cellStyle name="Hyperlink" xfId="23021" builtinId="8" hidden="1"/>
    <cellStyle name="Hyperlink" xfId="23023" builtinId="8" hidden="1"/>
    <cellStyle name="Hyperlink" xfId="23025" builtinId="8" hidden="1"/>
    <cellStyle name="Hyperlink" xfId="23027" builtinId="8" hidden="1"/>
    <cellStyle name="Hyperlink" xfId="23029" builtinId="8" hidden="1"/>
    <cellStyle name="Hyperlink" xfId="23031" builtinId="8" hidden="1"/>
    <cellStyle name="Hyperlink" xfId="23033" builtinId="8" hidden="1"/>
    <cellStyle name="Hyperlink" xfId="23035" builtinId="8" hidden="1"/>
    <cellStyle name="Hyperlink" xfId="23037" builtinId="8" hidden="1"/>
    <cellStyle name="Hyperlink" xfId="23039" builtinId="8" hidden="1"/>
    <cellStyle name="Hyperlink" xfId="23041" builtinId="8" hidden="1"/>
    <cellStyle name="Hyperlink" xfId="23043" builtinId="8" hidden="1"/>
    <cellStyle name="Hyperlink" xfId="23045" builtinId="8" hidden="1"/>
    <cellStyle name="Hyperlink" xfId="23047" builtinId="8" hidden="1"/>
    <cellStyle name="Hyperlink" xfId="23049" builtinId="8" hidden="1"/>
    <cellStyle name="Hyperlink" xfId="23051" builtinId="8" hidden="1"/>
    <cellStyle name="Hyperlink" xfId="23053" builtinId="8" hidden="1"/>
    <cellStyle name="Hyperlink" xfId="23055" builtinId="8" hidden="1"/>
    <cellStyle name="Hyperlink" xfId="23057" builtinId="8" hidden="1"/>
    <cellStyle name="Hyperlink" xfId="23059" builtinId="8" hidden="1"/>
    <cellStyle name="Hyperlink" xfId="23061" builtinId="8" hidden="1"/>
    <cellStyle name="Hyperlink" xfId="23063" builtinId="8" hidden="1"/>
    <cellStyle name="Hyperlink" xfId="23065" builtinId="8" hidden="1"/>
    <cellStyle name="Hyperlink" xfId="23067" builtinId="8" hidden="1"/>
    <cellStyle name="Hyperlink" xfId="23069" builtinId="8" hidden="1"/>
    <cellStyle name="Hyperlink" xfId="23071" builtinId="8" hidden="1"/>
    <cellStyle name="Hyperlink" xfId="23073" builtinId="8" hidden="1"/>
    <cellStyle name="Hyperlink" xfId="23075" builtinId="8" hidden="1"/>
    <cellStyle name="Hyperlink" xfId="23077" builtinId="8" hidden="1"/>
    <cellStyle name="Hyperlink" xfId="23079" builtinId="8" hidden="1"/>
    <cellStyle name="Hyperlink" xfId="23081" builtinId="8" hidden="1"/>
    <cellStyle name="Hyperlink" xfId="23083" builtinId="8" hidden="1"/>
    <cellStyle name="Hyperlink" xfId="23085" builtinId="8" hidden="1"/>
    <cellStyle name="Hyperlink" xfId="23087" builtinId="8" hidden="1"/>
    <cellStyle name="Hyperlink" xfId="23089" builtinId="8" hidden="1"/>
    <cellStyle name="Hyperlink" xfId="23091" builtinId="8" hidden="1"/>
    <cellStyle name="Hyperlink" xfId="23093" builtinId="8" hidden="1"/>
    <cellStyle name="Hyperlink" xfId="23095" builtinId="8" hidden="1"/>
    <cellStyle name="Hyperlink" xfId="23097" builtinId="8" hidden="1"/>
    <cellStyle name="Hyperlink" xfId="23099" builtinId="8" hidden="1"/>
    <cellStyle name="Hyperlink" xfId="23101" builtinId="8" hidden="1"/>
    <cellStyle name="Hyperlink" xfId="23103" builtinId="8" hidden="1"/>
    <cellStyle name="Hyperlink" xfId="23105" builtinId="8" hidden="1"/>
    <cellStyle name="Hyperlink" xfId="23107" builtinId="8" hidden="1"/>
    <cellStyle name="Hyperlink" xfId="23109" builtinId="8" hidden="1"/>
    <cellStyle name="Hyperlink" xfId="23111" builtinId="8" hidden="1"/>
    <cellStyle name="Hyperlink" xfId="23113" builtinId="8" hidden="1"/>
    <cellStyle name="Hyperlink" xfId="23115" builtinId="8" hidden="1"/>
    <cellStyle name="Hyperlink" xfId="23117" builtinId="8" hidden="1"/>
    <cellStyle name="Hyperlink" xfId="23119" builtinId="8" hidden="1"/>
    <cellStyle name="Hyperlink" xfId="23121" builtinId="8" hidden="1"/>
    <cellStyle name="Hyperlink" xfId="23123" builtinId="8" hidden="1"/>
    <cellStyle name="Hyperlink" xfId="23125" builtinId="8" hidden="1"/>
    <cellStyle name="Hyperlink" xfId="23127" builtinId="8" hidden="1"/>
    <cellStyle name="Hyperlink" xfId="23129" builtinId="8" hidden="1"/>
    <cellStyle name="Hyperlink" xfId="23131" builtinId="8" hidden="1"/>
    <cellStyle name="Hyperlink" xfId="23133" builtinId="8" hidden="1"/>
    <cellStyle name="Hyperlink" xfId="23135" builtinId="8" hidden="1"/>
    <cellStyle name="Hyperlink" xfId="23137" builtinId="8" hidden="1"/>
    <cellStyle name="Hyperlink" xfId="23139" builtinId="8" hidden="1"/>
    <cellStyle name="Hyperlink" xfId="23141" builtinId="8" hidden="1"/>
    <cellStyle name="Hyperlink" xfId="23143" builtinId="8" hidden="1"/>
    <cellStyle name="Hyperlink" xfId="23145" builtinId="8" hidden="1"/>
    <cellStyle name="Hyperlink" xfId="23147" builtinId="8" hidden="1"/>
    <cellStyle name="Hyperlink" xfId="23149" builtinId="8" hidden="1"/>
    <cellStyle name="Hyperlink" xfId="23151" builtinId="8" hidden="1"/>
    <cellStyle name="Hyperlink" xfId="23153" builtinId="8" hidden="1"/>
    <cellStyle name="Hyperlink" xfId="23155" builtinId="8" hidden="1"/>
    <cellStyle name="Hyperlink" xfId="23157" builtinId="8" hidden="1"/>
    <cellStyle name="Hyperlink" xfId="23159" builtinId="8" hidden="1"/>
    <cellStyle name="Hyperlink" xfId="23161" builtinId="8" hidden="1"/>
    <cellStyle name="Hyperlink" xfId="23163" builtinId="8" hidden="1"/>
    <cellStyle name="Hyperlink" xfId="23165" builtinId="8" hidden="1"/>
    <cellStyle name="Hyperlink" xfId="23167" builtinId="8" hidden="1"/>
    <cellStyle name="Hyperlink" xfId="23169" builtinId="8" hidden="1"/>
    <cellStyle name="Hyperlink" xfId="23171" builtinId="8" hidden="1"/>
    <cellStyle name="Hyperlink" xfId="23173" builtinId="8" hidden="1"/>
    <cellStyle name="Hyperlink" xfId="23175" builtinId="8" hidden="1"/>
    <cellStyle name="Hyperlink" xfId="23177" builtinId="8" hidden="1"/>
    <cellStyle name="Hyperlink" xfId="23179" builtinId="8" hidden="1"/>
    <cellStyle name="Hyperlink" xfId="23181" builtinId="8" hidden="1"/>
    <cellStyle name="Hyperlink" xfId="23183" builtinId="8" hidden="1"/>
    <cellStyle name="Hyperlink" xfId="23185" builtinId="8" hidden="1"/>
    <cellStyle name="Hyperlink" xfId="23187" builtinId="8" hidden="1"/>
    <cellStyle name="Hyperlink" xfId="23189" builtinId="8" hidden="1"/>
    <cellStyle name="Hyperlink" xfId="23191" builtinId="8" hidden="1"/>
    <cellStyle name="Hyperlink" xfId="23193" builtinId="8" hidden="1"/>
    <cellStyle name="Hyperlink" xfId="23195" builtinId="8" hidden="1"/>
    <cellStyle name="Hyperlink" xfId="23197" builtinId="8" hidden="1"/>
    <cellStyle name="Hyperlink" xfId="23199" builtinId="8" hidden="1"/>
    <cellStyle name="Hyperlink" xfId="23201" builtinId="8" hidden="1"/>
    <cellStyle name="Hyperlink" xfId="23203" builtinId="8" hidden="1"/>
    <cellStyle name="Hyperlink" xfId="23205" builtinId="8" hidden="1"/>
    <cellStyle name="Hyperlink" xfId="23207" builtinId="8" hidden="1"/>
    <cellStyle name="Hyperlink" xfId="23209" builtinId="8" hidden="1"/>
    <cellStyle name="Hyperlink" xfId="23211" builtinId="8" hidden="1"/>
    <cellStyle name="Hyperlink" xfId="23213" builtinId="8" hidden="1"/>
    <cellStyle name="Hyperlink" xfId="23215" builtinId="8" hidden="1"/>
    <cellStyle name="Hyperlink" xfId="23217" builtinId="8" hidden="1"/>
    <cellStyle name="Hyperlink" xfId="23219" builtinId="8" hidden="1"/>
    <cellStyle name="Hyperlink" xfId="23221" builtinId="8" hidden="1"/>
    <cellStyle name="Hyperlink" xfId="23223" builtinId="8" hidden="1"/>
    <cellStyle name="Hyperlink" xfId="23225" builtinId="8" hidden="1"/>
    <cellStyle name="Hyperlink" xfId="23227" builtinId="8" hidden="1"/>
    <cellStyle name="Hyperlink" xfId="23229" builtinId="8" hidden="1"/>
    <cellStyle name="Hyperlink" xfId="23231" builtinId="8" hidden="1"/>
    <cellStyle name="Hyperlink" xfId="23233" builtinId="8" hidden="1"/>
    <cellStyle name="Hyperlink" xfId="23235" builtinId="8" hidden="1"/>
    <cellStyle name="Hyperlink" xfId="23237" builtinId="8" hidden="1"/>
    <cellStyle name="Hyperlink" xfId="23239" builtinId="8" hidden="1"/>
    <cellStyle name="Hyperlink" xfId="23241" builtinId="8" hidden="1"/>
    <cellStyle name="Hyperlink" xfId="23243" builtinId="8" hidden="1"/>
    <cellStyle name="Hyperlink" xfId="23245" builtinId="8" hidden="1"/>
    <cellStyle name="Hyperlink" xfId="23247" builtinId="8" hidden="1"/>
    <cellStyle name="Hyperlink" xfId="23249" builtinId="8" hidden="1"/>
    <cellStyle name="Hyperlink" xfId="23251" builtinId="8" hidden="1"/>
    <cellStyle name="Hyperlink" xfId="23253" builtinId="8" hidden="1"/>
    <cellStyle name="Hyperlink" xfId="23255" builtinId="8" hidden="1"/>
    <cellStyle name="Hyperlink" xfId="23257" builtinId="8" hidden="1"/>
    <cellStyle name="Hyperlink" xfId="23259" builtinId="8" hidden="1"/>
    <cellStyle name="Hyperlink" xfId="23261" builtinId="8" hidden="1"/>
    <cellStyle name="Hyperlink" xfId="23263" builtinId="8" hidden="1"/>
    <cellStyle name="Hyperlink" xfId="23265" builtinId="8" hidden="1"/>
    <cellStyle name="Hyperlink" xfId="23267" builtinId="8" hidden="1"/>
    <cellStyle name="Hyperlink" xfId="23269" builtinId="8" hidden="1"/>
    <cellStyle name="Hyperlink" xfId="23271" builtinId="8" hidden="1"/>
    <cellStyle name="Hyperlink" xfId="23273" builtinId="8" hidden="1"/>
    <cellStyle name="Hyperlink" xfId="23275" builtinId="8" hidden="1"/>
    <cellStyle name="Hyperlink" xfId="23277" builtinId="8" hidden="1"/>
    <cellStyle name="Hyperlink" xfId="23279" builtinId="8" hidden="1"/>
    <cellStyle name="Hyperlink" xfId="23281" builtinId="8" hidden="1"/>
    <cellStyle name="Hyperlink" xfId="23283" builtinId="8" hidden="1"/>
    <cellStyle name="Hyperlink" xfId="23285" builtinId="8" hidden="1"/>
    <cellStyle name="Hyperlink" xfId="23287" builtinId="8" hidden="1"/>
    <cellStyle name="Hyperlink" xfId="23289" builtinId="8" hidden="1"/>
    <cellStyle name="Hyperlink" xfId="23291" builtinId="8" hidden="1"/>
    <cellStyle name="Hyperlink" xfId="23293" builtinId="8" hidden="1"/>
    <cellStyle name="Hyperlink" xfId="23295" builtinId="8" hidden="1"/>
    <cellStyle name="Hyperlink" xfId="23297" builtinId="8" hidden="1"/>
    <cellStyle name="Hyperlink" xfId="23299" builtinId="8" hidden="1"/>
    <cellStyle name="Hyperlink" xfId="23301" builtinId="8" hidden="1"/>
    <cellStyle name="Hyperlink" xfId="23303" builtinId="8" hidden="1"/>
    <cellStyle name="Hyperlink" xfId="23305" builtinId="8" hidden="1"/>
    <cellStyle name="Hyperlink" xfId="23307" builtinId="8" hidden="1"/>
    <cellStyle name="Hyperlink" xfId="23309" builtinId="8" hidden="1"/>
    <cellStyle name="Hyperlink" xfId="23311" builtinId="8" hidden="1"/>
    <cellStyle name="Hyperlink" xfId="23313" builtinId="8" hidden="1"/>
    <cellStyle name="Hyperlink" xfId="23315" builtinId="8" hidden="1"/>
    <cellStyle name="Hyperlink" xfId="23317" builtinId="8" hidden="1"/>
    <cellStyle name="Hyperlink" xfId="23319" builtinId="8" hidden="1"/>
    <cellStyle name="Hyperlink" xfId="23321" builtinId="8" hidden="1"/>
    <cellStyle name="Hyperlink" xfId="23323" builtinId="8" hidden="1"/>
    <cellStyle name="Hyperlink" xfId="23325" builtinId="8" hidden="1"/>
    <cellStyle name="Hyperlink" xfId="23327" builtinId="8" hidden="1"/>
    <cellStyle name="Hyperlink" xfId="23329" builtinId="8" hidden="1"/>
    <cellStyle name="Hyperlink" xfId="23331" builtinId="8" hidden="1"/>
    <cellStyle name="Hyperlink" xfId="23333" builtinId="8" hidden="1"/>
    <cellStyle name="Hyperlink" xfId="23335" builtinId="8" hidden="1"/>
    <cellStyle name="Hyperlink" xfId="23337" builtinId="8" hidden="1"/>
    <cellStyle name="Hyperlink" xfId="23339" builtinId="8" hidden="1"/>
    <cellStyle name="Hyperlink" xfId="23341" builtinId="8" hidden="1"/>
    <cellStyle name="Hyperlink" xfId="23343" builtinId="8" hidden="1"/>
    <cellStyle name="Hyperlink" xfId="23345" builtinId="8" hidden="1"/>
    <cellStyle name="Hyperlink" xfId="23347" builtinId="8" hidden="1"/>
    <cellStyle name="Hyperlink" xfId="23349" builtinId="8" hidden="1"/>
    <cellStyle name="Hyperlink" xfId="23351" builtinId="8" hidden="1"/>
    <cellStyle name="Hyperlink" xfId="23353" builtinId="8" hidden="1"/>
    <cellStyle name="Hyperlink" xfId="23355" builtinId="8" hidden="1"/>
    <cellStyle name="Hyperlink" xfId="23357" builtinId="8" hidden="1"/>
    <cellStyle name="Hyperlink" xfId="23359" builtinId="8" hidden="1"/>
    <cellStyle name="Hyperlink" xfId="23361" builtinId="8" hidden="1"/>
    <cellStyle name="Hyperlink" xfId="23363" builtinId="8" hidden="1"/>
    <cellStyle name="Hyperlink" xfId="23365" builtinId="8" hidden="1"/>
    <cellStyle name="Hyperlink" xfId="23367" builtinId="8" hidden="1"/>
    <cellStyle name="Hyperlink" xfId="23369" builtinId="8" hidden="1"/>
    <cellStyle name="Hyperlink" xfId="23371" builtinId="8" hidden="1"/>
    <cellStyle name="Hyperlink" xfId="23373" builtinId="8" hidden="1"/>
    <cellStyle name="Hyperlink" xfId="23375" builtinId="8" hidden="1"/>
    <cellStyle name="Hyperlink" xfId="23377" builtinId="8" hidden="1"/>
    <cellStyle name="Hyperlink" xfId="23379" builtinId="8" hidden="1"/>
    <cellStyle name="Hyperlink" xfId="23381" builtinId="8" hidden="1"/>
    <cellStyle name="Hyperlink" xfId="23383" builtinId="8" hidden="1"/>
    <cellStyle name="Hyperlink" xfId="23385" builtinId="8" hidden="1"/>
    <cellStyle name="Hyperlink" xfId="23387" builtinId="8"/>
    <cellStyle name="Item" xfId="152"/>
    <cellStyle name="Normal" xfId="0" builtinId="0"/>
    <cellStyle name="Normal 2" xfId="149"/>
    <cellStyle name="Normal 2 2 2" xfId="23388"/>
    <cellStyle name="Normal 3" xfId="18026"/>
    <cellStyle name="Percent" xfId="156" builtinId="5"/>
    <cellStyle name="Table Cell" xfId="153"/>
    <cellStyle name="Table Cell Date" xfId="154"/>
    <cellStyle name="Table Heading" xfId="155"/>
  </cellStyles>
  <dxfs count="215">
    <dxf>
      <font>
        <color theme="0"/>
      </font>
      <fill>
        <patternFill>
          <bgColor rgb="FF333333"/>
        </patternFill>
      </fill>
    </dxf>
    <dxf>
      <font>
        <color theme="0"/>
      </font>
      <fill>
        <patternFill>
          <bgColor theme="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ont>
        <color rgb="FF9C0006"/>
      </font>
      <fill>
        <patternFill>
          <bgColor rgb="FFFFC7CE"/>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ont>
        <color rgb="FF9C0006"/>
      </font>
      <fill>
        <patternFill>
          <bgColor rgb="FFFFC7CE"/>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ont>
        <color rgb="FF9C0006"/>
      </font>
      <fill>
        <patternFill>
          <bgColor rgb="FFFFC7CE"/>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ont>
        <color rgb="FF9C0006"/>
      </font>
      <fill>
        <patternFill>
          <bgColor rgb="FFFFC7CE"/>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ont>
        <color rgb="FF9C0006"/>
      </font>
      <fill>
        <patternFill>
          <bgColor rgb="FFFFC7CE"/>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ill>
        <patternFill>
          <bgColor rgb="FFEAEAEA"/>
        </patternFill>
      </fill>
    </dxf>
    <dxf>
      <border>
        <right style="thin">
          <color auto="1"/>
        </right>
        <vertical/>
        <horizontal/>
      </border>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ill>
        <patternFill>
          <bgColor rgb="FFEAEAEA"/>
        </patternFill>
      </fill>
    </dxf>
    <dxf>
      <border>
        <right style="thin">
          <color auto="1"/>
        </right>
        <vertical/>
        <horizontal/>
      </border>
    </dxf>
    <dxf>
      <font>
        <color rgb="FF9C0006"/>
      </font>
      <fill>
        <patternFill>
          <bgColor rgb="FFFFC7CE"/>
        </patternFill>
      </fill>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ont>
        <color rgb="FF9C0006"/>
      </font>
      <fill>
        <patternFill>
          <bgColor rgb="FFFFC7CE"/>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ont>
        <b/>
        <i val="0"/>
        <color rgb="FFFF0000"/>
      </font>
    </dxf>
    <dxf>
      <font>
        <b/>
        <i val="0"/>
        <color rgb="FFFF0000"/>
      </font>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ill>
        <patternFill>
          <bgColor rgb="FFEAEAEA"/>
        </patternFill>
      </fill>
    </dxf>
    <dxf>
      <border>
        <right style="thin">
          <color auto="1"/>
        </right>
        <vertical/>
        <horizontal/>
      </border>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border>
        <right style="thin">
          <color indexed="64"/>
        </right>
        <vertical style="thin">
          <color indexed="64"/>
        </vertical>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border>
    </dxf>
    <dxf>
      <border>
        <left style="thin">
          <color indexed="64"/>
        </left>
      </border>
    </dxf>
    <dxf>
      <border>
        <left style="thin">
          <color indexed="64"/>
        </left>
      </border>
    </dxf>
    <dxf>
      <border>
        <bottom style="thin">
          <color theme="0" tint="-0.14996795556505021"/>
        </bottom>
      </border>
    </dxf>
    <dxf>
      <font>
        <b/>
      </font>
      <numFmt numFmtId="0" formatCode="General"/>
      <fill>
        <patternFill patternType="solid">
          <fgColor indexed="64"/>
          <bgColor rgb="FFDFE5E6"/>
        </patternFill>
      </fill>
    </dxf>
    <dxf>
      <font>
        <b/>
      </font>
      <numFmt numFmtId="0" formatCode="General"/>
      <fill>
        <patternFill patternType="solid">
          <fgColor indexed="64"/>
          <bgColor rgb="FFDFE5E6"/>
        </patternFill>
      </fill>
    </dxf>
    <dxf>
      <border>
        <right style="thin">
          <color auto="1"/>
        </right>
        <top style="thin">
          <color auto="1"/>
        </top>
        <bottom style="thin">
          <color auto="1"/>
        </bottom>
      </border>
    </dxf>
    <dxf>
      <border>
        <right style="thin">
          <color auto="1"/>
        </right>
        <top style="thin">
          <color auto="1"/>
        </top>
        <bottom style="thin">
          <color auto="1"/>
        </bottom>
      </border>
    </dxf>
    <dxf>
      <border>
        <right style="thin">
          <color auto="1"/>
        </right>
      </border>
    </dxf>
    <dxf>
      <border>
        <top style="thin">
          <color auto="1"/>
        </top>
      </border>
    </dxf>
    <dxf>
      <border>
        <top style="thin">
          <color auto="1"/>
        </top>
      </border>
    </dxf>
    <dxf>
      <border>
        <bottom style="thin">
          <color auto="1"/>
        </bottom>
      </border>
    </dxf>
    <dxf>
      <border>
        <bottom style="thin">
          <color auto="1"/>
        </bottom>
      </border>
    </dxf>
    <dxf>
      <numFmt numFmtId="2" formatCode="0.00"/>
      <alignment horizontal="right" readingOrder="0"/>
    </dxf>
    <dxf>
      <numFmt numFmtId="2" formatCode="0.00"/>
    </dxf>
    <dxf>
      <numFmt numFmtId="166" formatCode="[$-809]dd\-mmm\-yy;@"/>
      <alignment vertical="top" readingOrder="0"/>
    </dxf>
    <dxf>
      <font>
        <sz val="10"/>
      </font>
    </dxf>
    <dxf>
      <font>
        <color rgb="FFFF0000"/>
      </font>
    </dxf>
    <dxf>
      <fill>
        <patternFill patternType="solid">
          <bgColor theme="3" tint="0.59999389629810485"/>
        </patternFill>
      </fill>
    </dxf>
    <dxf>
      <fill>
        <patternFill patternType="solid">
          <bgColor theme="3" tint="0.59999389629810485"/>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C000"/>
        </patternFill>
      </fill>
    </dxf>
    <dxf>
      <fill>
        <patternFill patternType="solid">
          <bgColor rgb="FFFFC000"/>
        </patternFill>
      </fill>
    </dxf>
    <dxf>
      <border>
        <bottom style="thin">
          <color indexed="64"/>
        </bottom>
        <horizontal style="thin">
          <color indexed="64"/>
        </horizontal>
      </border>
    </dxf>
    <dxf>
      <border>
        <bottom style="thin">
          <color indexed="64"/>
        </bottom>
        <horizontal style="thin">
          <color indexed="64"/>
        </horizontal>
      </border>
    </dxf>
    <dxf>
      <border>
        <horizontal style="thin">
          <color auto="1"/>
        </horizontal>
      </border>
    </dxf>
    <dxf>
      <border>
        <horizontal style="thin">
          <color auto="1"/>
        </horizontal>
      </border>
    </dxf>
    <dxf>
      <border>
        <top style="thin">
          <color indexed="64"/>
        </top>
        <bottom style="thin">
          <color indexed="64"/>
        </bottom>
      </border>
    </dxf>
    <dxf>
      <border>
        <top style="thin">
          <color indexed="64"/>
        </top>
        <bottom style="thin">
          <color indexed="64"/>
        </bottom>
      </border>
    </dxf>
    <dxf>
      <border>
        <left style="thin">
          <color indexed="64"/>
        </left>
        <right style="thin">
          <color indexed="64"/>
        </right>
        <vertical style="thin">
          <color indexed="64"/>
        </vertical>
      </border>
    </dxf>
    <dxf>
      <border>
        <left style="thin">
          <color indexed="64"/>
        </left>
        <right style="thin">
          <color indexed="64"/>
        </right>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left style="thin">
          <color indexed="64"/>
        </left>
        <right style="thin">
          <color indexed="64"/>
        </right>
        <horizontal style="thin">
          <color indexed="64"/>
        </horizontal>
      </border>
    </dxf>
    <dxf>
      <font>
        <b/>
      </font>
      <numFmt numFmtId="0" formatCode="General"/>
      <fill>
        <patternFill patternType="solid">
          <fgColor indexed="64"/>
          <bgColor rgb="FFDFE5E6"/>
        </patternFill>
      </fill>
    </dxf>
    <dxf>
      <font>
        <b/>
      </font>
      <numFmt numFmtId="0" formatCode="General"/>
      <fill>
        <patternFill patternType="solid">
          <fgColor indexed="64"/>
          <bgColor rgb="FFDFE5E6"/>
        </patternFill>
      </fill>
    </dxf>
    <dxf>
      <border>
        <right style="thin">
          <color auto="1"/>
        </right>
        <top style="thin">
          <color auto="1"/>
        </top>
        <bottom style="thin">
          <color auto="1"/>
        </bottom>
      </border>
    </dxf>
    <dxf>
      <border>
        <right style="thin">
          <color auto="1"/>
        </right>
      </border>
    </dxf>
    <dxf>
      <border>
        <right style="thin">
          <color auto="1"/>
        </right>
      </border>
    </dxf>
    <dxf>
      <border>
        <top style="thin">
          <color auto="1"/>
        </top>
      </border>
    </dxf>
    <dxf>
      <border>
        <top style="thin">
          <color auto="1"/>
        </top>
      </border>
    </dxf>
    <dxf>
      <border>
        <bottom style="thin">
          <color auto="1"/>
        </bottom>
      </border>
    </dxf>
    <dxf>
      <border>
        <bottom style="thin">
          <color auto="1"/>
        </bottom>
      </border>
    </dxf>
    <dxf>
      <numFmt numFmtId="2" formatCode="0.00"/>
      <alignment horizontal="right" readingOrder="0"/>
    </dxf>
    <dxf>
      <numFmt numFmtId="2" formatCode="0.00"/>
    </dxf>
    <dxf>
      <numFmt numFmtId="166" formatCode="[$-809]dd\-mmm\-yy;@"/>
      <alignment vertical="top" readingOrder="0"/>
    </dxf>
    <dxf>
      <font>
        <sz val="10"/>
      </font>
    </dxf>
    <dxf>
      <border>
        <left style="thin">
          <color auto="1"/>
        </left>
        <right style="thin">
          <color auto="1"/>
        </right>
        <vertical style="thin">
          <color auto="1"/>
        </vertical>
      </border>
    </dxf>
    <dxf>
      <font>
        <b/>
        <i val="0"/>
      </font>
      <fill>
        <patternFill>
          <bgColor rgb="FFDFE5E6"/>
        </patternFill>
      </fill>
    </dxf>
    <dxf>
      <border>
        <left style="thin">
          <color auto="1"/>
        </left>
        <right style="thin">
          <color auto="1"/>
        </right>
        <top style="thin">
          <color auto="1"/>
        </top>
        <bottom style="thin">
          <color auto="1"/>
        </bottom>
        <vertical style="thin">
          <color auto="1"/>
        </vertical>
      </border>
    </dxf>
    <dxf>
      <border>
        <left style="thin">
          <color auto="1"/>
        </left>
        <right style="thin">
          <color auto="1"/>
        </right>
        <top style="thin">
          <color auto="1"/>
        </top>
        <bottom style="thin">
          <color auto="1"/>
        </bottom>
        <vertical style="thin">
          <color auto="1"/>
        </vertical>
      </border>
    </dxf>
    <dxf>
      <border>
        <left style="thin">
          <color auto="1"/>
        </left>
        <right style="thin">
          <color auto="1"/>
        </right>
        <top style="thin">
          <color auto="1"/>
        </top>
        <bottom style="thin">
          <color auto="1"/>
        </bottom>
        <vertical style="thin">
          <color auto="1"/>
        </vertic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bgColor rgb="FFDAEEF3"/>
        </patternFill>
      </fill>
    </dxf>
    <dxf>
      <border>
        <left style="thin">
          <color auto="1"/>
        </left>
        <right style="thin">
          <color auto="1"/>
        </right>
        <top style="thin">
          <color auto="1"/>
        </top>
        <bottom style="thin">
          <color auto="1"/>
        </bottom>
        <vertical style="thin">
          <color auto="1"/>
        </vertical>
      </border>
    </dxf>
    <dxf>
      <border>
        <left style="thin">
          <color auto="1"/>
        </left>
        <right style="thin">
          <color auto="1"/>
        </right>
        <vertical style="thin">
          <color auto="1"/>
        </vertical>
      </border>
    </dxf>
    <dxf>
      <border diagonalUp="1">
        <left style="thin">
          <color auto="1"/>
        </left>
        <right style="thin">
          <color auto="1"/>
        </right>
        <top style="thin">
          <color auto="1"/>
        </top>
        <bottom style="thin">
          <color auto="1"/>
        </bottom>
        <diagonal style="thin">
          <color auto="1"/>
        </diagonal>
        <vertical style="thin">
          <color auto="1"/>
        </vertical>
      </border>
    </dxf>
    <dxf>
      <font>
        <b/>
        <i val="0"/>
      </font>
      <fill>
        <patternFill>
          <fgColor rgb="FFDAEEF3"/>
          <bgColor rgb="FFDAEEF3"/>
        </patternFill>
      </fill>
    </dxf>
    <dxf>
      <font>
        <b/>
        <i val="0"/>
      </font>
      <fill>
        <patternFill>
          <bgColor rgb="FFDAEEF3"/>
        </patternFill>
      </fill>
    </dxf>
    <dxf>
      <border>
        <left style="thin">
          <color auto="1"/>
        </left>
        <right style="thin">
          <color auto="1"/>
        </right>
        <top style="thin">
          <color auto="1"/>
        </top>
        <bottom style="thin">
          <color auto="1"/>
        </bottom>
      </border>
    </dxf>
  </dxfs>
  <tableStyles count="1" defaultTableStyle="TableStyleMedium9" defaultPivotStyle="PivotStyleMedium4">
    <tableStyle name="PivotTable Style 1" table="0" count="15">
      <tableStyleElement type="wholeTable" dxfId="214"/>
      <tableStyleElement type="headerRow" dxfId="213"/>
      <tableStyleElement type="totalRow" dxfId="212"/>
      <tableStyleElement type="firstColumn" dxfId="211"/>
      <tableStyleElement type="firstColumnStripe" dxfId="210"/>
      <tableStyleElement type="secondColumnStripe" dxfId="209"/>
      <tableStyleElement type="firstHeaderCell" dxfId="208"/>
      <tableStyleElement type="firstSubtotalColumn" dxfId="207"/>
      <tableStyleElement type="secondSubtotalColumn" dxfId="206"/>
      <tableStyleElement type="thirdSubtotalColumn" dxfId="205"/>
      <tableStyleElement type="firstColumnSubheading" dxfId="204"/>
      <tableStyleElement type="secondColumnSubheading" dxfId="203"/>
      <tableStyleElement type="thirdColumnSubheading" dxfId="202"/>
      <tableStyleElement type="pageFieldLabels" dxfId="201"/>
      <tableStyleElement type="pageFieldValues" dxfId="200"/>
    </tableStyle>
  </tableStyles>
  <colors>
    <mruColors>
      <color rgb="FFFFCC00"/>
      <color rgb="FFFFFF99"/>
      <color rgb="FFDFE5E6"/>
      <color rgb="FFDAEEF3"/>
      <color rgb="FFFF6600"/>
      <color rgb="FFCCFFFF"/>
      <color rgb="FF9EB49E"/>
      <color rgb="FFC0C0C0"/>
      <color rgb="FFCFE2CE"/>
      <color rgb="FF3333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1085850</xdr:colOff>
      <xdr:row>2</xdr:row>
      <xdr:rowOff>171450</xdr:rowOff>
    </xdr:to>
    <xdr:pic>
      <xdr:nvPicPr>
        <xdr:cNvPr id="4" name="Picture 3"/>
        <xdr:cNvPicPr>
          <a:picLocks noChangeAspect="1"/>
        </xdr:cNvPicPr>
      </xdr:nvPicPr>
      <xdr:blipFill>
        <a:blip xmlns:r="http://schemas.openxmlformats.org/officeDocument/2006/relationships" r:embed="rId1"/>
        <a:stretch>
          <a:fillRect/>
        </a:stretch>
      </xdr:blipFill>
      <xdr:spPr>
        <a:xfrm>
          <a:off x="142875" y="142875"/>
          <a:ext cx="1085850" cy="45720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2819400</xdr:colOff>
          <xdr:row>1</xdr:row>
          <xdr:rowOff>66675</xdr:rowOff>
        </xdr:from>
        <xdr:to>
          <xdr:col>2</xdr:col>
          <xdr:colOff>4038600</xdr:colOff>
          <xdr:row>2</xdr:row>
          <xdr:rowOff>28575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Migrate Content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38100</xdr:rowOff>
    </xdr:from>
    <xdr:to>
      <xdr:col>1</xdr:col>
      <xdr:colOff>1216152</xdr:colOff>
      <xdr:row>0</xdr:row>
      <xdr:rowOff>400049</xdr:rowOff>
    </xdr:to>
    <xdr:pic>
      <xdr:nvPicPr>
        <xdr:cNvPr id="2" name="Picture 1"/>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600075</xdr:colOff>
      <xdr:row>2</xdr:row>
      <xdr:rowOff>0</xdr:rowOff>
    </xdr:from>
    <xdr:to>
      <xdr:col>17</xdr:col>
      <xdr:colOff>333375</xdr:colOff>
      <xdr:row>7</xdr:row>
      <xdr:rowOff>0</xdr:rowOff>
    </xdr:to>
    <xdr:grpSp>
      <xdr:nvGrpSpPr>
        <xdr:cNvPr id="6" name="Group 5"/>
        <xdr:cNvGrpSpPr/>
      </xdr:nvGrpSpPr>
      <xdr:grpSpPr>
        <a:xfrm>
          <a:off x="13436600" y="730250"/>
          <a:ext cx="2369608" cy="1005417"/>
          <a:chOff x="6096000" y="2466975"/>
          <a:chExt cx="2476500" cy="942975"/>
        </a:xfrm>
      </xdr:grpSpPr>
      <xdr:sp macro="" textlink="">
        <xdr:nvSpPr>
          <xdr:cNvPr id="3" name="TextBox 2"/>
          <xdr:cNvSpPr txBox="1"/>
        </xdr:nvSpPr>
        <xdr:spPr>
          <a:xfrm>
            <a:off x="6096000" y="2466975"/>
            <a:ext cx="2476500" cy="942975"/>
          </a:xfrm>
          <a:prstGeom prst="rect">
            <a:avLst/>
          </a:prstGeom>
          <a:noFill/>
          <a:ln>
            <a:solidFill>
              <a:srgbClr val="000000"/>
            </a:solidFill>
          </a:ln>
        </xdr:spPr>
        <xdr:style>
          <a:lnRef idx="0">
            <a:scrgbClr r="0" g="0" b="0"/>
          </a:lnRef>
          <a:fillRef idx="0">
            <a:scrgbClr r="0" g="0" b="0"/>
          </a:fillRef>
          <a:effectRef idx="0">
            <a:scrgbClr r="0" g="0" b="0"/>
          </a:effectRef>
          <a:fontRef idx="minor">
            <a:schemeClr val="tx1"/>
          </a:fontRef>
        </xdr:style>
        <xdr:txBody>
          <a:bodyPr vertOverflow="clip" wrap="square" tIns="90000" bIns="90000" numCol="1" rtlCol="0" anchor="t">
            <a:noAutofit/>
          </a:bodyPr>
          <a:lstStyle/>
          <a:p>
            <a:r>
              <a:rPr lang="en-US" sz="1100" b="1"/>
              <a:t>Color Key</a:t>
            </a:r>
          </a:p>
        </xdr:txBody>
      </xdr:sp>
      <xdr:sp macro="" textlink="">
        <xdr:nvSpPr>
          <xdr:cNvPr id="4" name="Rectangle 3"/>
          <xdr:cNvSpPr/>
        </xdr:nvSpPr>
        <xdr:spPr>
          <a:xfrm>
            <a:off x="6200775" y="2809875"/>
            <a:ext cx="514350" cy="200025"/>
          </a:xfrm>
          <a:prstGeom prst="rect">
            <a:avLst/>
          </a:prstGeom>
          <a:solidFill>
            <a:srgbClr val="C0C0C0"/>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sp macro="" textlink="">
        <xdr:nvSpPr>
          <xdr:cNvPr id="5" name="TextBox 4"/>
          <xdr:cNvSpPr txBox="1"/>
        </xdr:nvSpPr>
        <xdr:spPr>
          <a:xfrm>
            <a:off x="6715125" y="2809875"/>
            <a:ext cx="1857375" cy="6000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90000" tIns="0" rIns="90000" bIns="0" rtlCol="0" anchor="t">
            <a:noAutofit/>
          </a:bodyPr>
          <a:lstStyle/>
          <a:p>
            <a:r>
              <a:rPr lang="en-US" sz="900"/>
              <a:t>These are derived cells and should not be edited.  To add rows, copy from existing rows to preserve the formulas.</a:t>
            </a:r>
          </a:p>
        </xdr:txBody>
      </xdr:sp>
    </xdr:grpSp>
    <xdr:clientData/>
  </xdr:twoCellAnchor>
  <mc:AlternateContent xmlns:mc="http://schemas.openxmlformats.org/markup-compatibility/2006">
    <mc:Choice xmlns:a14="http://schemas.microsoft.com/office/drawing/2010/main" Requires="a14">
      <xdr:twoCellAnchor>
        <xdr:from>
          <xdr:col>6</xdr:col>
          <xdr:colOff>38100</xdr:colOff>
          <xdr:row>0</xdr:row>
          <xdr:rowOff>142875</xdr:rowOff>
        </xdr:from>
        <xdr:to>
          <xdr:col>7</xdr:col>
          <xdr:colOff>0</xdr:colOff>
          <xdr:row>0</xdr:row>
          <xdr:rowOff>381000</xdr:rowOff>
        </xdr:to>
        <xdr:sp macro="" textlink="">
          <xdr:nvSpPr>
            <xdr:cNvPr id="5125" name="Button 5" hidden="1">
              <a:extLst>
                <a:ext uri="{63B3BB69-23CF-44E3-9099-C40C66FF867C}">
                  <a14:compatExt spid="_x0000_s51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Add New Story Type</a:t>
              </a:r>
            </a:p>
          </xdr:txBody>
        </xdr:sp>
        <xdr:clientData fPrintsWithSheet="0"/>
      </xdr:twoCellAnchor>
    </mc:Choice>
    <mc:Fallback/>
  </mc:AlternateContent>
  <xdr:twoCellAnchor editAs="oneCell">
    <xdr:from>
      <xdr:col>1</xdr:col>
      <xdr:colOff>0</xdr:colOff>
      <xdr:row>0</xdr:row>
      <xdr:rowOff>38100</xdr:rowOff>
    </xdr:from>
    <xdr:to>
      <xdr:col>2</xdr:col>
      <xdr:colOff>644652</xdr:colOff>
      <xdr:row>0</xdr:row>
      <xdr:rowOff>400049</xdr:rowOff>
    </xdr:to>
    <xdr:pic>
      <xdr:nvPicPr>
        <xdr:cNvPr id="7" name="Picture 6"/>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23</xdr:col>
      <xdr:colOff>190500</xdr:colOff>
      <xdr:row>5</xdr:row>
      <xdr:rowOff>0</xdr:rowOff>
    </xdr:from>
    <xdr:to>
      <xdr:col>27</xdr:col>
      <xdr:colOff>247651</xdr:colOff>
      <xdr:row>12</xdr:row>
      <xdr:rowOff>0</xdr:rowOff>
    </xdr:to>
    <xdr:grpSp>
      <xdr:nvGrpSpPr>
        <xdr:cNvPr id="2" name="Group 1"/>
        <xdr:cNvGrpSpPr/>
      </xdr:nvGrpSpPr>
      <xdr:grpSpPr>
        <a:xfrm>
          <a:off x="18835688" y="1012031"/>
          <a:ext cx="2795588" cy="1845469"/>
          <a:chOff x="12439650" y="2705100"/>
          <a:chExt cx="2800351" cy="1152525"/>
        </a:xfrm>
      </xdr:grpSpPr>
      <xdr:sp macro="" textlink="">
        <xdr:nvSpPr>
          <xdr:cNvPr id="3" name="TextBox 2"/>
          <xdr:cNvSpPr txBox="1"/>
        </xdr:nvSpPr>
        <xdr:spPr>
          <a:xfrm>
            <a:off x="12439650" y="2705100"/>
            <a:ext cx="2800350" cy="1152525"/>
          </a:xfrm>
          <a:prstGeom prst="rect">
            <a:avLst/>
          </a:prstGeom>
          <a:noFill/>
          <a:ln>
            <a:solidFill>
              <a:srgbClr val="000000"/>
            </a:solidFill>
          </a:ln>
        </xdr:spPr>
        <xdr:style>
          <a:lnRef idx="0">
            <a:scrgbClr r="0" g="0" b="0"/>
          </a:lnRef>
          <a:fillRef idx="0">
            <a:scrgbClr r="0" g="0" b="0"/>
          </a:fillRef>
          <a:effectRef idx="0">
            <a:scrgbClr r="0" g="0" b="0"/>
          </a:effectRef>
          <a:fontRef idx="minor">
            <a:schemeClr val="tx1"/>
          </a:fontRef>
        </xdr:style>
        <xdr:txBody>
          <a:bodyPr vertOverflow="clip" wrap="square" tIns="90000" bIns="90000" numCol="1" rtlCol="0" anchor="t">
            <a:noAutofit/>
          </a:bodyPr>
          <a:lstStyle/>
          <a:p>
            <a:r>
              <a:rPr lang="en-US" sz="1100" b="1"/>
              <a:t>Color Key</a:t>
            </a:r>
          </a:p>
        </xdr:txBody>
      </xdr:sp>
      <xdr:sp macro="" textlink="">
        <xdr:nvSpPr>
          <xdr:cNvPr id="4" name="Rectangle 3"/>
          <xdr:cNvSpPr/>
        </xdr:nvSpPr>
        <xdr:spPr>
          <a:xfrm>
            <a:off x="12559256" y="3081152"/>
            <a:ext cx="507002" cy="219364"/>
          </a:xfrm>
          <a:prstGeom prst="rect">
            <a:avLst/>
          </a:prstGeom>
          <a:solidFill>
            <a:srgbClr val="C0C0C0"/>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sp macro="" textlink="">
        <xdr:nvSpPr>
          <xdr:cNvPr id="5" name="TextBox 4"/>
          <xdr:cNvSpPr txBox="1"/>
        </xdr:nvSpPr>
        <xdr:spPr>
          <a:xfrm>
            <a:off x="13154025" y="3076575"/>
            <a:ext cx="2085976" cy="7810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90000" tIns="0" rIns="90000" bIns="0" rtlCol="0" anchor="t">
            <a:noAutofit/>
          </a:bodyPr>
          <a:lstStyle/>
          <a:p>
            <a:pPr rtl="0"/>
            <a:r>
              <a:rPr lang="en-US" sz="900" b="0" i="0" baseline="0">
                <a:solidFill>
                  <a:schemeClr val="tx1"/>
                </a:solidFill>
                <a:latin typeface="+mn-lt"/>
                <a:ea typeface="+mn-ea"/>
                <a:cs typeface="+mn-cs"/>
              </a:rPr>
              <a:t>These are derived cells and should not be edited unless you intentionally want to change the formula. When adding rows you must copy from existing rows to preserve the formulas.</a:t>
            </a:r>
            <a:endParaRPr lang="en-US" sz="600"/>
          </a:p>
        </xdr:txBody>
      </xdr:sp>
      <xdr:sp macro="" textlink="">
        <xdr:nvSpPr>
          <xdr:cNvPr id="6" name="Rectangle 5"/>
          <xdr:cNvSpPr/>
        </xdr:nvSpPr>
        <xdr:spPr>
          <a:xfrm>
            <a:off x="12559256" y="3305175"/>
            <a:ext cx="507002" cy="219364"/>
          </a:xfrm>
          <a:prstGeom prst="rect">
            <a:avLst/>
          </a:prstGeom>
          <a:solidFill>
            <a:schemeClr val="bg1">
              <a:lumMod val="95000"/>
            </a:schemeClr>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grpSp>
    <xdr:clientData/>
  </xdr:twoCellAnchor>
  <xdr:oneCellAnchor>
    <xdr:from>
      <xdr:col>1</xdr:col>
      <xdr:colOff>0</xdr:colOff>
      <xdr:row>1</xdr:row>
      <xdr:rowOff>9525</xdr:rowOff>
    </xdr:from>
    <xdr:ext cx="1214492" cy="361949"/>
    <xdr:pic>
      <xdr:nvPicPr>
        <xdr:cNvPr id="7" name="Picture 6"/>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238125</xdr:colOff>
          <xdr:row>4</xdr:row>
          <xdr:rowOff>28575</xdr:rowOff>
        </xdr:from>
        <xdr:to>
          <xdr:col>7</xdr:col>
          <xdr:colOff>28575</xdr:colOff>
          <xdr:row>6</xdr:row>
          <xdr:rowOff>152400</xdr:rowOff>
        </xdr:to>
        <xdr:sp macro="" textlink="">
          <xdr:nvSpPr>
            <xdr:cNvPr id="11275" name="Button 11" hidden="1">
              <a:extLst>
                <a:ext uri="{63B3BB69-23CF-44E3-9099-C40C66FF867C}">
                  <a14:compatExt spid="_x0000_s112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Add New Week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0</xdr:rowOff>
        </xdr:from>
        <xdr:to>
          <xdr:col>7</xdr:col>
          <xdr:colOff>9525</xdr:colOff>
          <xdr:row>3</xdr:row>
          <xdr:rowOff>66675</xdr:rowOff>
        </xdr:to>
        <xdr:sp macro="" textlink="">
          <xdr:nvSpPr>
            <xdr:cNvPr id="11276" name="Button 12" hidden="1">
              <a:extLst>
                <a:ext uri="{63B3BB69-23CF-44E3-9099-C40C66FF867C}">
                  <a14:compatExt spid="_x0000_s1127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Export Data</a:t>
              </a:r>
            </a:p>
          </xdr:txBody>
        </xdr:sp>
        <xdr:clientData fPrintsWithSheet="0"/>
      </xdr:twoCellAnchor>
    </mc:Choice>
    <mc:Fallback/>
  </mc:AlternateContent>
  <xdr:twoCellAnchor editAs="oneCell">
    <xdr:from>
      <xdr:col>1</xdr:col>
      <xdr:colOff>0</xdr:colOff>
      <xdr:row>0</xdr:row>
      <xdr:rowOff>38100</xdr:rowOff>
    </xdr:from>
    <xdr:to>
      <xdr:col>2</xdr:col>
      <xdr:colOff>1073277</xdr:colOff>
      <xdr:row>0</xdr:row>
      <xdr:rowOff>400049</xdr:rowOff>
    </xdr:to>
    <xdr:pic>
      <xdr:nvPicPr>
        <xdr:cNvPr id="4" name="Picture 3"/>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885825</xdr:colOff>
          <xdr:row>1</xdr:row>
          <xdr:rowOff>9525</xdr:rowOff>
        </xdr:from>
        <xdr:to>
          <xdr:col>3</xdr:col>
          <xdr:colOff>1057275</xdr:colOff>
          <xdr:row>1</xdr:row>
          <xdr:rowOff>304800</xdr:rowOff>
        </xdr:to>
        <xdr:sp macro="" textlink="">
          <xdr:nvSpPr>
            <xdr:cNvPr id="11278" name="Button 14" hidden="1">
              <a:extLst>
                <a:ext uri="{63B3BB69-23CF-44E3-9099-C40C66FF867C}">
                  <a14:compatExt spid="_x0000_s11278"/>
                </a:ext>
              </a:extLst>
            </xdr:cNvPr>
            <xdr:cNvSpPr/>
          </xdr:nvSpPr>
          <xdr:spPr>
            <a:xfrm>
              <a:off x="0" y="0"/>
              <a:ext cx="0" cy="0"/>
            </a:xfrm>
            <a:prstGeom prst="rect">
              <a:avLst/>
            </a:prstGeom>
          </xdr:spPr>
          <xdr:txBody>
            <a:bodyPr vertOverflow="clip" wrap="square" lIns="54864" tIns="27432" rIns="54864" bIns="27432" anchor="ctr" upright="1"/>
            <a:lstStyle/>
            <a:p>
              <a:pPr algn="ctr" rtl="0">
                <a:defRPr sz="1000"/>
              </a:pPr>
              <a:r>
                <a:rPr lang="en-US" sz="1200" b="1" i="0" u="none" strike="noStrike" baseline="0">
                  <a:solidFill>
                    <a:srgbClr val="000000"/>
                  </a:solidFill>
                  <a:latin typeface="Webdings"/>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885825</xdr:colOff>
          <xdr:row>3</xdr:row>
          <xdr:rowOff>0</xdr:rowOff>
        </xdr:from>
        <xdr:to>
          <xdr:col>3</xdr:col>
          <xdr:colOff>1057275</xdr:colOff>
          <xdr:row>3</xdr:row>
          <xdr:rowOff>295275</xdr:rowOff>
        </xdr:to>
        <xdr:sp macro="" textlink="">
          <xdr:nvSpPr>
            <xdr:cNvPr id="11279" name="Button 15" hidden="1">
              <a:extLst>
                <a:ext uri="{63B3BB69-23CF-44E3-9099-C40C66FF867C}">
                  <a14:compatExt spid="_x0000_s11279"/>
                </a:ext>
              </a:extLst>
            </xdr:cNvPr>
            <xdr:cNvSpPr/>
          </xdr:nvSpPr>
          <xdr:spPr>
            <a:xfrm>
              <a:off x="0" y="0"/>
              <a:ext cx="0" cy="0"/>
            </a:xfrm>
            <a:prstGeom prst="rect">
              <a:avLst/>
            </a:prstGeom>
          </xdr:spPr>
          <xdr:txBody>
            <a:bodyPr vertOverflow="clip" wrap="square" lIns="54864" tIns="27432" rIns="54864" bIns="27432" anchor="ctr" upright="1"/>
            <a:lstStyle/>
            <a:p>
              <a:pPr algn="ctr" rtl="0">
                <a:defRPr sz="1000"/>
              </a:pPr>
              <a:r>
                <a:rPr lang="en-US" sz="1200" b="1" i="0" u="none" strike="noStrike" baseline="0">
                  <a:solidFill>
                    <a:srgbClr val="000000"/>
                  </a:solidFill>
                  <a:latin typeface="Webdings"/>
                </a:rPr>
                <a:t>6</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11</xdr:col>
      <xdr:colOff>390525</xdr:colOff>
      <xdr:row>3</xdr:row>
      <xdr:rowOff>38100</xdr:rowOff>
    </xdr:from>
    <xdr:to>
      <xdr:col>14</xdr:col>
      <xdr:colOff>523876</xdr:colOff>
      <xdr:row>4</xdr:row>
      <xdr:rowOff>790575</xdr:rowOff>
    </xdr:to>
    <xdr:grpSp>
      <xdr:nvGrpSpPr>
        <xdr:cNvPr id="8" name="Group 7"/>
        <xdr:cNvGrpSpPr/>
      </xdr:nvGrpSpPr>
      <xdr:grpSpPr>
        <a:xfrm>
          <a:off x="13058775" y="812006"/>
          <a:ext cx="2800351" cy="757238"/>
          <a:chOff x="12439650" y="2705100"/>
          <a:chExt cx="2800351" cy="1152525"/>
        </a:xfrm>
      </xdr:grpSpPr>
      <xdr:sp macro="" textlink="">
        <xdr:nvSpPr>
          <xdr:cNvPr id="4" name="TextBox 3"/>
          <xdr:cNvSpPr txBox="1"/>
        </xdr:nvSpPr>
        <xdr:spPr>
          <a:xfrm>
            <a:off x="12439650" y="2705100"/>
            <a:ext cx="2800350" cy="1152525"/>
          </a:xfrm>
          <a:prstGeom prst="rect">
            <a:avLst/>
          </a:prstGeom>
          <a:noFill/>
          <a:ln>
            <a:solidFill>
              <a:srgbClr val="000000"/>
            </a:solidFill>
          </a:ln>
        </xdr:spPr>
        <xdr:style>
          <a:lnRef idx="0">
            <a:scrgbClr r="0" g="0" b="0"/>
          </a:lnRef>
          <a:fillRef idx="0">
            <a:scrgbClr r="0" g="0" b="0"/>
          </a:fillRef>
          <a:effectRef idx="0">
            <a:scrgbClr r="0" g="0" b="0"/>
          </a:effectRef>
          <a:fontRef idx="minor">
            <a:schemeClr val="tx1"/>
          </a:fontRef>
        </xdr:style>
        <xdr:txBody>
          <a:bodyPr vertOverflow="clip" wrap="square" tIns="90000" bIns="90000" numCol="1" rtlCol="0" anchor="t">
            <a:noAutofit/>
          </a:bodyPr>
          <a:lstStyle/>
          <a:p>
            <a:r>
              <a:rPr lang="en-US" sz="1100" b="1"/>
              <a:t>Color Key</a:t>
            </a:r>
          </a:p>
        </xdr:txBody>
      </xdr:sp>
      <xdr:sp macro="" textlink="">
        <xdr:nvSpPr>
          <xdr:cNvPr id="5" name="Rectangle 4"/>
          <xdr:cNvSpPr/>
        </xdr:nvSpPr>
        <xdr:spPr>
          <a:xfrm>
            <a:off x="12559256" y="3081152"/>
            <a:ext cx="507002" cy="219364"/>
          </a:xfrm>
          <a:prstGeom prst="rect">
            <a:avLst/>
          </a:prstGeom>
          <a:solidFill>
            <a:srgbClr val="C0C0C0"/>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sp macro="" textlink="">
        <xdr:nvSpPr>
          <xdr:cNvPr id="6" name="TextBox 5"/>
          <xdr:cNvSpPr txBox="1"/>
        </xdr:nvSpPr>
        <xdr:spPr>
          <a:xfrm>
            <a:off x="13154025" y="3076575"/>
            <a:ext cx="2085976" cy="7810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90000" tIns="0" rIns="90000" bIns="0" rtlCol="0" anchor="t">
            <a:noAutofit/>
          </a:bodyPr>
          <a:lstStyle/>
          <a:p>
            <a:pPr rtl="0"/>
            <a:r>
              <a:rPr lang="en-US" sz="900" b="0" i="0" baseline="0">
                <a:solidFill>
                  <a:schemeClr val="tx1"/>
                </a:solidFill>
                <a:latin typeface="+mn-lt"/>
                <a:ea typeface="+mn-ea"/>
                <a:cs typeface="+mn-cs"/>
              </a:rPr>
              <a:t>These are derived cells and should not be edited unless you intentionally want to change the formula. When adding rows you must copy from existing rows to preserve the formulas.</a:t>
            </a:r>
            <a:endParaRPr lang="en-US" sz="600"/>
          </a:p>
        </xdr:txBody>
      </xdr:sp>
      <xdr:sp macro="" textlink="">
        <xdr:nvSpPr>
          <xdr:cNvPr id="7" name="Rectangle 6"/>
          <xdr:cNvSpPr/>
        </xdr:nvSpPr>
        <xdr:spPr>
          <a:xfrm>
            <a:off x="12559256" y="3305175"/>
            <a:ext cx="507002" cy="219364"/>
          </a:xfrm>
          <a:prstGeom prst="rect">
            <a:avLst/>
          </a:prstGeom>
          <a:solidFill>
            <a:schemeClr val="bg1">
              <a:lumMod val="95000"/>
            </a:schemeClr>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grpSp>
    <xdr:clientData/>
  </xdr:twoCellAnchor>
  <xdr:twoCellAnchor editAs="oneCell">
    <xdr:from>
      <xdr:col>1</xdr:col>
      <xdr:colOff>0</xdr:colOff>
      <xdr:row>1</xdr:row>
      <xdr:rowOff>9525</xdr:rowOff>
    </xdr:from>
    <xdr:to>
      <xdr:col>2</xdr:col>
      <xdr:colOff>349377</xdr:colOff>
      <xdr:row>1</xdr:row>
      <xdr:rowOff>371474</xdr:rowOff>
    </xdr:to>
    <xdr:pic>
      <xdr:nvPicPr>
        <xdr:cNvPr id="9" name="Picture 8"/>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11</xdr:col>
      <xdr:colOff>238124</xdr:colOff>
      <xdr:row>4</xdr:row>
      <xdr:rowOff>133350</xdr:rowOff>
    </xdr:from>
    <xdr:to>
      <xdr:col>14</xdr:col>
      <xdr:colOff>609600</xdr:colOff>
      <xdr:row>9</xdr:row>
      <xdr:rowOff>142875</xdr:rowOff>
    </xdr:to>
    <xdr:grpSp>
      <xdr:nvGrpSpPr>
        <xdr:cNvPr id="3" name="Group 2"/>
        <xdr:cNvGrpSpPr/>
      </xdr:nvGrpSpPr>
      <xdr:grpSpPr>
        <a:xfrm>
          <a:off x="14504457" y="1130300"/>
          <a:ext cx="3049060" cy="1277408"/>
          <a:chOff x="12081970" y="2943225"/>
          <a:chExt cx="2800351" cy="1152525"/>
        </a:xfrm>
      </xdr:grpSpPr>
      <xdr:sp macro="" textlink="">
        <xdr:nvSpPr>
          <xdr:cNvPr id="4" name="TextBox 3"/>
          <xdr:cNvSpPr txBox="1"/>
        </xdr:nvSpPr>
        <xdr:spPr>
          <a:xfrm>
            <a:off x="12081970" y="2943225"/>
            <a:ext cx="2800350" cy="1152525"/>
          </a:xfrm>
          <a:prstGeom prst="rect">
            <a:avLst/>
          </a:prstGeom>
          <a:noFill/>
          <a:ln>
            <a:solidFill>
              <a:srgbClr val="000000"/>
            </a:solidFill>
          </a:ln>
        </xdr:spPr>
        <xdr:style>
          <a:lnRef idx="0">
            <a:scrgbClr r="0" g="0" b="0"/>
          </a:lnRef>
          <a:fillRef idx="0">
            <a:scrgbClr r="0" g="0" b="0"/>
          </a:fillRef>
          <a:effectRef idx="0">
            <a:scrgbClr r="0" g="0" b="0"/>
          </a:effectRef>
          <a:fontRef idx="minor">
            <a:schemeClr val="tx1"/>
          </a:fontRef>
        </xdr:style>
        <xdr:txBody>
          <a:bodyPr vertOverflow="clip" wrap="square" tIns="90000" bIns="90000" numCol="1" rtlCol="0" anchor="t">
            <a:noAutofit/>
          </a:bodyPr>
          <a:lstStyle/>
          <a:p>
            <a:r>
              <a:rPr lang="en-US" sz="1100" b="1"/>
              <a:t>Color Key</a:t>
            </a:r>
          </a:p>
        </xdr:txBody>
      </xdr:sp>
      <xdr:sp macro="" textlink="">
        <xdr:nvSpPr>
          <xdr:cNvPr id="5" name="Rectangle 4"/>
          <xdr:cNvSpPr/>
        </xdr:nvSpPr>
        <xdr:spPr>
          <a:xfrm>
            <a:off x="12201576" y="3319277"/>
            <a:ext cx="507002" cy="219364"/>
          </a:xfrm>
          <a:prstGeom prst="rect">
            <a:avLst/>
          </a:prstGeom>
          <a:solidFill>
            <a:srgbClr val="C0C0C0"/>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sp macro="" textlink="">
        <xdr:nvSpPr>
          <xdr:cNvPr id="6" name="TextBox 5"/>
          <xdr:cNvSpPr txBox="1"/>
        </xdr:nvSpPr>
        <xdr:spPr>
          <a:xfrm>
            <a:off x="12796345" y="3314700"/>
            <a:ext cx="2085976" cy="7810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90000" tIns="0" rIns="90000" bIns="0" rtlCol="0" anchor="t">
            <a:noAutofit/>
          </a:bodyPr>
          <a:lstStyle/>
          <a:p>
            <a:pPr rtl="0"/>
            <a:r>
              <a:rPr lang="en-US" sz="900" b="0" i="0" baseline="0">
                <a:solidFill>
                  <a:schemeClr val="tx1"/>
                </a:solidFill>
                <a:latin typeface="+mn-lt"/>
                <a:ea typeface="+mn-ea"/>
                <a:cs typeface="+mn-cs"/>
              </a:rPr>
              <a:t>These are derived cells and should not be edited unless you intentionally want to change the formula. When adding rows you must copy from existing rows to preserve the formulas.</a:t>
            </a:r>
            <a:endParaRPr lang="en-US" sz="600"/>
          </a:p>
        </xdr:txBody>
      </xdr:sp>
      <xdr:sp macro="" textlink="">
        <xdr:nvSpPr>
          <xdr:cNvPr id="7" name="Rectangle 6"/>
          <xdr:cNvSpPr/>
        </xdr:nvSpPr>
        <xdr:spPr>
          <a:xfrm>
            <a:off x="12201576" y="3543300"/>
            <a:ext cx="507002" cy="219364"/>
          </a:xfrm>
          <a:prstGeom prst="rect">
            <a:avLst/>
          </a:prstGeom>
          <a:solidFill>
            <a:schemeClr val="bg1">
              <a:lumMod val="95000"/>
            </a:schemeClr>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grpSp>
    <xdr:clientData/>
  </xdr:twoCellAnchor>
  <xdr:twoCellAnchor editAs="oneCell">
    <xdr:from>
      <xdr:col>1</xdr:col>
      <xdr:colOff>228600</xdr:colOff>
      <xdr:row>1</xdr:row>
      <xdr:rowOff>28575</xdr:rowOff>
    </xdr:from>
    <xdr:to>
      <xdr:col>2</xdr:col>
      <xdr:colOff>492252</xdr:colOff>
      <xdr:row>1</xdr:row>
      <xdr:rowOff>390524</xdr:rowOff>
    </xdr:to>
    <xdr:pic>
      <xdr:nvPicPr>
        <xdr:cNvPr id="8" name="Picture 7"/>
        <xdr:cNvPicPr>
          <a:picLocks noChangeAspect="1"/>
        </xdr:cNvPicPr>
      </xdr:nvPicPr>
      <xdr:blipFill>
        <a:blip xmlns:r="http://schemas.openxmlformats.org/officeDocument/2006/relationships" r:embed="rId1"/>
        <a:stretch>
          <a:fillRect/>
        </a:stretch>
      </xdr:blipFill>
      <xdr:spPr>
        <a:xfrm>
          <a:off x="371475" y="57150"/>
          <a:ext cx="1216152" cy="3619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0</xdr:row>
      <xdr:rowOff>38100</xdr:rowOff>
    </xdr:from>
    <xdr:to>
      <xdr:col>1</xdr:col>
      <xdr:colOff>1216152</xdr:colOff>
      <xdr:row>0</xdr:row>
      <xdr:rowOff>400049</xdr:rowOff>
    </xdr:to>
    <xdr:pic>
      <xdr:nvPicPr>
        <xdr:cNvPr id="2" name="Picture 1"/>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0</xdr:row>
      <xdr:rowOff>38100</xdr:rowOff>
    </xdr:from>
    <xdr:to>
      <xdr:col>1</xdr:col>
      <xdr:colOff>1216152</xdr:colOff>
      <xdr:row>0</xdr:row>
      <xdr:rowOff>400049</xdr:rowOff>
    </xdr:to>
    <xdr:pic>
      <xdr:nvPicPr>
        <xdr:cNvPr id="2" name="Picture 1"/>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path1/AppData/Local/Microsoft/Windows/Temporary%20Internet%20Files/Content.Outlook/MEIV0RD9/JDP_Updates_EstimationToo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lp"/>
      <sheetName val="Project Overview"/>
      <sheetName val="Tasks (Metrics)"/>
      <sheetName val="Metrics"/>
      <sheetName val="Stories"/>
      <sheetName val="Add-Ins"/>
      <sheetName val="Objective Risks"/>
      <sheetName val="Staffing Plan"/>
      <sheetName val="Data"/>
      <sheetName val="Export Results"/>
      <sheetName val="Export_Stories"/>
      <sheetName val="Total LOE"/>
      <sheetName val="Roles"/>
      <sheetName val="LLP"/>
      <sheetName val="Resources"/>
      <sheetName val="Client Review Schedule"/>
      <sheetName val="AIR"/>
      <sheetName val="MLP"/>
    </sheetNames>
    <sheetDataSet>
      <sheetData sheetId="0"/>
      <sheetData sheetId="1">
        <row r="17">
          <cell r="B17" t="str">
            <v>None</v>
          </cell>
        </row>
      </sheetData>
      <sheetData sheetId="2"/>
      <sheetData sheetId="3">
        <row r="9">
          <cell r="B9" t="str">
            <v>None</v>
          </cell>
        </row>
      </sheetData>
      <sheetData sheetId="4"/>
      <sheetData sheetId="5"/>
      <sheetData sheetId="6"/>
      <sheetData sheetId="7"/>
      <sheetData sheetId="8">
        <row r="7">
          <cell r="F7" t="str">
            <v>In</v>
          </cell>
        </row>
        <row r="8">
          <cell r="F8" t="str">
            <v>Out</v>
          </cell>
        </row>
      </sheetData>
      <sheetData sheetId="9"/>
      <sheetData sheetId="10"/>
      <sheetData sheetId="11"/>
      <sheetData sheetId="12"/>
      <sheetData sheetId="13"/>
      <sheetData sheetId="14"/>
      <sheetData sheetId="15"/>
      <sheetData sheetId="16"/>
      <sheetData sheetId="17"/>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764BIT" refreshedDate="42517.620281134259" createdVersion="4" refreshedVersion="4" minRefreshableVersion="3" recordCount="69">
  <cacheSource type="worksheet">
    <worksheetSource name="stories_pivot_range"/>
  </cacheSource>
  <cacheFields count="20">
    <cacheField name="Category" numFmtId="0">
      <sharedItems containsBlank="1" count="24">
        <s v="CR"/>
        <m/>
        <s v="CONTENT OPTIMIZATION" u="1"/>
        <s v="DISCOVERY" u="1"/>
        <s v="UAT" u="1"/>
        <s v="RESEARCH" u="1"/>
        <s v="DEFINE/DESIGN" u="1"/>
        <s v="PAR Deployment" u="1"/>
        <s v="Content Stategist" u="1"/>
        <s v="IMPLEMENTATION" u="1"/>
        <s v="Warranty" u="1"/>
        <s v="Design Support" u="1"/>
        <s v="asdsa" u="1"/>
        <s v="Internal CR" u="1"/>
        <s v="USER EXPERIENCE" u="1"/>
        <s v="USER RESEARCH" u="1"/>
        <s v="VISUAL DESIGN" u="1"/>
        <s v="Content Authoring" u="1"/>
        <s v="BUSINESS REQUIRMENTS" u="1"/>
        <s v="Forms" u="1"/>
        <s v="Batch 3" u="1"/>
        <s v="Content Strategist" u="1"/>
        <s v="assa" u="1"/>
        <s v="Experience Design Support" u="1"/>
      </sharedItems>
    </cacheField>
    <cacheField name="Sub Category" numFmtId="0">
      <sharedItems containsBlank="1" count="85">
        <s v="PGE-519 (PPR-4399)- Implementation of CTA for Landing Pages"/>
        <s v="PGE-213 (PPR-4617) -Phone Number Links in Mobile"/>
        <s v="PGE-683(PPR-3161)-Remove second label in text box or disable"/>
        <s v="PGE-144(PPR-4619)- The tables on my test page look different from the tables shown on Frontify"/>
        <s v="PGE-595 (PPR-4620) - Homepage Hero Key Tasks | Increasing from 4 to 6"/>
        <s v="PGE-687 (PPR-4622) -Inccorect background color of Inactive tab for comoponent C009"/>
        <s v="PGE-597(PPR-4623)-C020 Media Gellery | &quot;previous&quot; and &quot;next&quot; buttons are displayed even though this content is &quot;1 of 1&quot;"/>
        <s v="PGE-1103(PPR-4625)- Hide HOMEPAGE Hero Image in Mobile View"/>
        <s v="PGE-1102(PPR-2205) - CTA copy alignment"/>
        <s v="PGE-1101 (PPR-2305, PPR-4626)"/>
        <s v="PGE-1099-  Feature link alignment for 3 column screen"/>
        <s v="PGE-1098(PPR-4627) - Need better definition between components when more than one component is authored on a page"/>
        <s v="PGE-1097 - alignments when multiple components are used at the same page"/>
        <s v="PGE-1105 (PPR-4628) - Update mobile view for Resource Center "/>
        <s v="Stabilization"/>
        <s v="Integration Testing &amp; Function QA support (PG&amp;E Environment)"/>
        <m/>
        <s v="Copy Writing" u="1"/>
        <s v="PGE-160 (PPR-3086)-Add &quot;My Accounts and Services&quot; and &quot;Edit Profile &amp; alerts&quot; to header User Avatar dropdown" u="1"/>
        <s v="COPY" u="1"/>
        <s v="PPR-2182: setDescription" u="1"/>
        <s v="Authoring" u="1"/>
        <s v="Regular Forms" u="1"/>
        <s v="Estimate Project Cost selector page" u="1"/>
        <s v="PGE-720 (PPR-4616)-C-032 Map needs to include address in a form" u="1"/>
        <s v="PGE-1105" u="1"/>
        <s v="UAT" u="1"/>
        <s v="PGE-1104 (PPR-4624)" u="1"/>
        <s v="PPR-2142-  Media Gallery | Layout Updates" u="1"/>
        <s v="PPR-4517-C018 Resource Center | Remove minimum number of Resources" u="1"/>
        <s v="PPR-3336-Update google geocoding &amp; map code to have appropriate client id key in it" u="1"/>
        <s v="PPR-4624" u="1"/>
        <s v="Client Feedback Incorporation" u="1"/>
        <s v="Creative QA" u="1"/>
        <s v="Forms- HTML" u="1"/>
        <s v="Header/Success Page" u="1"/>
        <s v="PPR-2256-Alignment of CTA in short form component" u="1"/>
        <s v="PPR-2244-Site Maintenance Page | Desktop | Line-height of Heading tags" u="1"/>
        <s v="Infra" u="1"/>
        <s v="Warranty" u="1"/>
        <s v="PGE-613 - Create Sitemap Component" u="1"/>
        <s v="PPR-1503: Overall Transition/Animation quality" u="1"/>
        <s v="PPR-4618" u="1"/>
        <s v="Design Support" u="1"/>
        <s v="PPR-820: Creating an icon " u="1"/>
        <s v="PPR-4370-C019 Table B| Increase max. number of columns to 6" u="1"/>
        <s v="Migration" u="1"/>
        <s v="Error Page 404 &amp; 500" u="1"/>
        <s v="USER EXPERIENCE" u="1"/>
        <s v="Forms- Creatieve" u="1"/>
        <s v="Deployment/Go Live" u="1"/>
        <s v="UAT Support" u="1"/>
        <s v="PPR-2190" u="1"/>
        <s v="Look Up Forms" u="1"/>
        <s v="USER RESEARCH" u="1"/>
        <s v="Functional Testing" u="1"/>
        <s v="VISUAL DESIGN" u="1"/>
        <s v="PGE-1104 (PPR-4624)-C013 BIO/PROFILE ENTRY | The ellipses at the end of an excerpted copy block are bumped up against the copy and are preceded by a comma – looks crowded." u="1"/>
        <s v="PGE-681 (PPR-4618)" u="1"/>
        <s v="PPR-2697-Breadcrumbs | Update Tablet alignment" u="1"/>
        <s v="SITE DEVELOPMENT" u="1"/>
        <s v="COPYWRITING" u="1"/>
        <s v="PPR-1503-Overall Transition/Animation quality" u="1"/>
        <s v="PPR-3185- if there is no title, or a title of three or less characters, display the linkable URL instead" u="1"/>
        <s v="PGE-1102(PPR-2205) - CTA copy is alignment" u="1"/>
        <s v="CONTENT STRATEGY" u="1"/>
        <s v="Error Page 404 &amp; 500 - QA" u="1"/>
        <s v="BUSINESS REQUIREMENTS" u="1"/>
        <s v="PGE-490 (PPR-3085)- Lack of Contrast Between H3, H4, and regular text" u="1"/>
        <s v="Usability Testing" u="1"/>
        <s v="PPR-1939-Content Preview | Source text not laid out according to design document" u="1"/>
        <s v="CONTENT" u="1"/>
        <s v="Error Page 500" u="1"/>
        <s v="Technology" u="1"/>
        <s v="PGE-970 (PPR-4621) - Comment field should not be required" u="1"/>
        <s v="sad" u="1"/>
        <s v="Error Page 404" u="1"/>
        <s v="Experience Design Support" u="1"/>
        <s v="PPR-2234-Content preview | PDF | PDF validation is not done" u="1"/>
        <s v="UAT (PAR + Forms)" u="1"/>
        <s v="CMS DEV" u="1"/>
        <s v="Functional Testing (PAR)" u="1"/>
        <s v="sa" u="1"/>
        <s v="Tech Support" u="1"/>
        <s v="Content Migration" u="1"/>
      </sharedItems>
    </cacheField>
    <cacheField name="Phase" numFmtId="0">
      <sharedItems containsBlank="1" count="12">
        <s v="DEFINE/DESIGN"/>
        <s v="DEVELOP"/>
        <s v="QA"/>
        <s v="OPTIMIZATION/MIGRATION"/>
        <m/>
        <s v="OPTIMIZATION" u="1"/>
        <s v="UAT" u="1"/>
        <s v="Warranty" u="1"/>
        <s v="CUTOVER" u="1"/>
        <s v="None" u="1"/>
        <s v="DISCOVER" u="1"/>
        <s v="MIGRATE" u="1"/>
      </sharedItems>
    </cacheField>
    <cacheField name="Track" numFmtId="0">
      <sharedItems containsBlank="1"/>
    </cacheField>
    <cacheField name="Story Name" numFmtId="0">
      <sharedItems containsBlank="1"/>
    </cacheField>
    <cacheField name="Description" numFmtId="0">
      <sharedItems containsBlank="1"/>
    </cacheField>
    <cacheField name="Scope Reference" numFmtId="0">
      <sharedItems containsNonDate="0" containsString="0" containsBlank="1"/>
    </cacheField>
    <cacheField name="In/Out" numFmtId="0">
      <sharedItems containsBlank="1"/>
    </cacheField>
    <cacheField name="Release" numFmtId="0">
      <sharedItems containsNonDate="0" containsBlank="1" count="2">
        <m/>
        <s v="None" u="1"/>
      </sharedItems>
    </cacheField>
    <cacheField name="Story Type" numFmtId="0">
      <sharedItems containsBlank="1"/>
    </cacheField>
    <cacheField name="ABP" numFmtId="2">
      <sharedItems containsString="0" containsBlank="1" containsNumber="1" minValue="0.25" maxValue="5"/>
    </cacheField>
    <cacheField name="HP" numFmtId="2">
      <sharedItems containsString="0" containsBlank="1" containsNumber="1" minValue="0.25" maxValue="5"/>
    </cacheField>
    <cacheField name="Multiplier" numFmtId="1">
      <sharedItems containsString="0" containsBlank="1" containsNumber="1" containsInteger="1" minValue="0" maxValue="12"/>
    </cacheField>
    <cacheField name="ABP Calc" numFmtId="2">
      <sharedItems containsString="0" containsBlank="1" containsNumber="1" minValue="0.4" maxValue="2.85"/>
    </cacheField>
    <cacheField name="ABP2" numFmtId="2">
      <sharedItems containsBlank="1" containsMixedTypes="1" containsNumber="1" minValue="0.4" maxValue="10"/>
    </cacheField>
    <cacheField name="HP Calc" numFmtId="2">
      <sharedItems containsString="0" containsBlank="1" containsNumber="1" minValue="0.7" maxValue="3"/>
    </cacheField>
    <cacheField name="HP2" numFmtId="2">
      <sharedItems containsBlank="1" containsMixedTypes="1" containsNumber="1" minValue="0.5" maxValue="10"/>
    </cacheField>
    <cacheField name="Buffered Calc" numFmtId="2">
      <sharedItems containsNonDate="0" containsString="0" containsBlank="1"/>
    </cacheField>
    <cacheField name="Buffered" numFmtId="2">
      <sharedItems containsBlank="1" containsMixedTypes="1" containsNumber="1" minValue="0.5" maxValue="10"/>
    </cacheField>
    <cacheField name="Notes" numFmtId="0">
      <sharedItems containsBlank="1"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9">
  <r>
    <x v="0"/>
    <x v="0"/>
    <x v="0"/>
    <s v="VISUAL DESIGN"/>
    <s v="New skin for Sign in CTA "/>
    <m/>
    <m/>
    <m/>
    <x v="0"/>
    <m/>
    <m/>
    <m/>
    <m/>
    <m/>
    <s v=""/>
    <m/>
    <s v=""/>
    <m/>
    <s v=""/>
    <s v="21 landing pages will have to be reauthored"/>
  </r>
  <r>
    <x v="0"/>
    <x v="0"/>
    <x v="0"/>
    <s v="CMS DEV"/>
    <s v="Impact analysis and design for new skin"/>
    <m/>
    <m/>
    <s v="In"/>
    <x v="0"/>
    <s v="SitePublisher Design - Content Component - Low"/>
    <n v="0.4"/>
    <n v="0.7"/>
    <n v="1"/>
    <n v="0.4"/>
    <n v="0.4"/>
    <n v="0.7"/>
    <n v="0.7"/>
    <m/>
    <n v="0.6"/>
    <m/>
  </r>
  <r>
    <x v="0"/>
    <x v="0"/>
    <x v="1"/>
    <s v="CMS DEV"/>
    <s v="New skin development for Sign in CTA"/>
    <m/>
    <m/>
    <s v="In"/>
    <x v="0"/>
    <s v="SitePublisher - Content Component - Low"/>
    <n v="1"/>
    <n v="1.75"/>
    <n v="1"/>
    <n v="1"/>
    <n v="1"/>
    <n v="1.75"/>
    <n v="1.75"/>
    <m/>
    <n v="1.4"/>
    <m/>
  </r>
  <r>
    <x v="0"/>
    <x v="0"/>
    <x v="1"/>
    <s v="CMS DEV"/>
    <s v="Landing Page Template update with Sign in CTA"/>
    <m/>
    <m/>
    <s v="In"/>
    <x v="0"/>
    <m/>
    <n v="0.5"/>
    <n v="1"/>
    <n v="1"/>
    <n v="1"/>
    <n v="0.5"/>
    <n v="1.75"/>
    <n v="1"/>
    <m/>
    <n v="0.8"/>
    <m/>
  </r>
  <r>
    <x v="0"/>
    <x v="0"/>
    <x v="1"/>
    <s v="SITE DEV"/>
    <s v="Implementation of CTA for Landing Pages"/>
    <s v="HTML development &amp; css chnges"/>
    <m/>
    <s v="In"/>
    <x v="0"/>
    <m/>
    <n v="1"/>
    <n v="2"/>
    <n v="1"/>
    <m/>
    <n v="1"/>
    <m/>
    <n v="2"/>
    <m/>
    <n v="1.5"/>
    <m/>
  </r>
  <r>
    <x v="0"/>
    <x v="0"/>
    <x v="2"/>
    <s v="QUALITY ASSURANCE"/>
    <s v="Implementation of CTA for Landing Pages"/>
    <m/>
    <m/>
    <s v="In"/>
    <x v="0"/>
    <m/>
    <n v="1.5"/>
    <n v="2.5"/>
    <n v="1"/>
    <m/>
    <n v="1.5"/>
    <m/>
    <n v="2.5"/>
    <m/>
    <n v="2"/>
    <m/>
  </r>
  <r>
    <x v="0"/>
    <x v="1"/>
    <x v="1"/>
    <s v="SITE DEV"/>
    <s v="HTML update for Bio Profile &amp; Event Details to include &quot;tel&quot; tag"/>
    <m/>
    <m/>
    <s v="In"/>
    <x v="0"/>
    <m/>
    <n v="0.5"/>
    <n v="0.75"/>
    <n v="1"/>
    <m/>
    <n v="0.5"/>
    <m/>
    <n v="0.75"/>
    <m/>
    <n v="0.6"/>
    <s v="Changes will be made for _x000a_1&gt; Bio Profile (C013)_x000a_2&gt; Event Detail (C027)"/>
  </r>
  <r>
    <x v="0"/>
    <x v="1"/>
    <x v="1"/>
    <s v="CMS DEV"/>
    <s v="Component Update"/>
    <m/>
    <m/>
    <s v="In"/>
    <x v="0"/>
    <m/>
    <n v="1"/>
    <n v="1.25"/>
    <n v="1"/>
    <m/>
    <n v="1"/>
    <m/>
    <n v="1.25"/>
    <m/>
    <n v="1.1000000000000001"/>
    <m/>
  </r>
  <r>
    <x v="0"/>
    <x v="1"/>
    <x v="2"/>
    <s v="QUALITY ASSURANCE"/>
    <s v="Phone Number Links in Mobile"/>
    <m/>
    <m/>
    <s v="In"/>
    <x v="0"/>
    <m/>
    <n v="0.5"/>
    <n v="1"/>
    <n v="1"/>
    <m/>
    <n v="0.5"/>
    <m/>
    <n v="1"/>
    <m/>
    <n v="0.8"/>
    <m/>
  </r>
  <r>
    <x v="0"/>
    <x v="2"/>
    <x v="0"/>
    <s v="VISUAL DESIGN"/>
    <s v="Update visuals"/>
    <m/>
    <m/>
    <m/>
    <x v="0"/>
    <m/>
    <m/>
    <m/>
    <m/>
    <m/>
    <s v=""/>
    <m/>
    <s v=""/>
    <m/>
    <s v=""/>
    <m/>
  </r>
  <r>
    <x v="0"/>
    <x v="2"/>
    <x v="1"/>
    <s v="SITE DEV"/>
    <s v="Remove  place holder text"/>
    <m/>
    <m/>
    <s v="In"/>
    <x v="0"/>
    <m/>
    <n v="0.25"/>
    <n v="0.25"/>
    <n v="8"/>
    <m/>
    <n v="2"/>
    <m/>
    <n v="2"/>
    <m/>
    <n v="2"/>
    <m/>
  </r>
  <r>
    <x v="0"/>
    <x v="2"/>
    <x v="1"/>
    <s v="CMS DEV"/>
    <s v="DCR update to update HTML"/>
    <m/>
    <m/>
    <s v="In"/>
    <x v="0"/>
    <m/>
    <n v="0.25"/>
    <n v="0.25"/>
    <n v="8"/>
    <m/>
    <n v="2"/>
    <m/>
    <n v="2"/>
    <m/>
    <n v="2"/>
    <m/>
  </r>
  <r>
    <x v="0"/>
    <x v="2"/>
    <x v="2"/>
    <s v="QUALITY ASSURANCE"/>
    <s v="Verification"/>
    <m/>
    <m/>
    <s v="In"/>
    <x v="0"/>
    <m/>
    <n v="0.25"/>
    <n v="0.25"/>
    <n v="8"/>
    <m/>
    <n v="2"/>
    <m/>
    <n v="2"/>
    <m/>
    <n v="2"/>
    <m/>
  </r>
  <r>
    <x v="0"/>
    <x v="3"/>
    <x v="0"/>
    <s v="USER EXPERIENCE"/>
    <m/>
    <m/>
    <m/>
    <m/>
    <x v="0"/>
    <m/>
    <m/>
    <m/>
    <m/>
    <n v="2.85"/>
    <s v=""/>
    <n v="3"/>
    <s v=""/>
    <m/>
    <s v=""/>
    <m/>
  </r>
  <r>
    <x v="0"/>
    <x v="3"/>
    <x v="1"/>
    <s v="SITE DEV"/>
    <s v="Medium complexity mobile view"/>
    <m/>
    <m/>
    <s v="In"/>
    <x v="0"/>
    <s v="SITE DEV - HTML MEDIUM COMPLEXITY"/>
    <n v="2.85"/>
    <n v="3"/>
    <n v="1"/>
    <n v="2.85"/>
    <n v="2.85"/>
    <n v="3"/>
    <n v="3"/>
    <m/>
    <n v="2.9"/>
    <m/>
  </r>
  <r>
    <x v="0"/>
    <x v="3"/>
    <x v="1"/>
    <s v="CMS DEV"/>
    <s v="Component Update - Medium Complexity"/>
    <m/>
    <m/>
    <s v="In"/>
    <x v="0"/>
    <s v="SitePublisher - Content Component - Low"/>
    <n v="1"/>
    <n v="1.75"/>
    <n v="1"/>
    <n v="1"/>
    <n v="1"/>
    <n v="1.75"/>
    <n v="1.75"/>
    <m/>
    <n v="1.4"/>
    <m/>
  </r>
  <r>
    <x v="0"/>
    <x v="3"/>
    <x v="2"/>
    <s v="QUALITY ASSURANCE"/>
    <s v="Verification"/>
    <m/>
    <m/>
    <s v="In"/>
    <x v="0"/>
    <m/>
    <n v="2"/>
    <n v="2"/>
    <n v="1"/>
    <m/>
    <n v="2"/>
    <m/>
    <n v="2"/>
    <m/>
    <n v="2"/>
    <m/>
  </r>
  <r>
    <x v="0"/>
    <x v="4"/>
    <x v="0"/>
    <s v="VISUAL DESIGN"/>
    <m/>
    <m/>
    <m/>
    <m/>
    <x v="0"/>
    <m/>
    <m/>
    <m/>
    <m/>
    <m/>
    <s v=""/>
    <m/>
    <s v=""/>
    <m/>
    <s v=""/>
    <m/>
  </r>
  <r>
    <x v="0"/>
    <x v="4"/>
    <x v="1"/>
    <s v="SITE DEV"/>
    <s v="HTML &amp; CSS development to support 6 key tasks"/>
    <m/>
    <m/>
    <s v="In"/>
    <x v="0"/>
    <m/>
    <n v="2"/>
    <n v="2.5"/>
    <n v="1"/>
    <m/>
    <n v="2"/>
    <m/>
    <n v="2.5"/>
    <m/>
    <n v="2.2999999999999998"/>
    <s v="Additional Complexity to support mobile view with 6 key tasks as it possibly will bring long scroll and intoduce low complexity changes to mobile view of Home Page Hero component"/>
  </r>
  <r>
    <x v="0"/>
    <x v="4"/>
    <x v="0"/>
    <s v="CMS DEV"/>
    <s v="Design to support additional screen"/>
    <m/>
    <m/>
    <s v="In"/>
    <x v="0"/>
    <s v="SitePublisher Design - Content Component - Low"/>
    <n v="0.4"/>
    <n v="0.7"/>
    <n v="1"/>
    <n v="0.4"/>
    <n v="0.4"/>
    <n v="0.7"/>
    <n v="0.7"/>
    <m/>
    <n v="0.6"/>
    <m/>
  </r>
  <r>
    <x v="0"/>
    <x v="4"/>
    <x v="1"/>
    <s v="CMS DEV"/>
    <s v="New skin development to support 6 key task"/>
    <m/>
    <m/>
    <s v="In"/>
    <x v="0"/>
    <m/>
    <n v="1.5"/>
    <n v="2.25"/>
    <n v="1"/>
    <n v="1"/>
    <n v="1.5"/>
    <n v="1.75"/>
    <n v="2.25"/>
    <m/>
    <n v="1.9"/>
    <m/>
  </r>
  <r>
    <x v="0"/>
    <x v="4"/>
    <x v="2"/>
    <s v="QUALITY ASSURANCE"/>
    <s v="Verification"/>
    <m/>
    <m/>
    <s v="In"/>
    <x v="0"/>
    <m/>
    <n v="2"/>
    <n v="3"/>
    <n v="1"/>
    <m/>
    <n v="2"/>
    <m/>
    <n v="3"/>
    <m/>
    <n v="2.5"/>
    <s v="Validate realestate of 6 key components support across all the device in mobile/desktop"/>
  </r>
  <r>
    <x v="0"/>
    <x v="5"/>
    <x v="0"/>
    <s v="VISUAL DESIGN"/>
    <m/>
    <m/>
    <m/>
    <m/>
    <x v="0"/>
    <m/>
    <m/>
    <m/>
    <m/>
    <m/>
    <s v=""/>
    <m/>
    <s v=""/>
    <m/>
    <s v=""/>
    <m/>
  </r>
  <r>
    <x v="0"/>
    <x v="5"/>
    <x v="1"/>
    <s v="SITE DEV"/>
    <s v="Changing background color of the tab and perform color contrast check for all browsers and device"/>
    <m/>
    <m/>
    <s v="In"/>
    <x v="0"/>
    <m/>
    <n v="0.5"/>
    <n v="0.75"/>
    <n v="1"/>
    <m/>
    <n v="0.5"/>
    <m/>
    <n v="0.75"/>
    <m/>
    <n v="0.6"/>
    <m/>
  </r>
  <r>
    <x v="0"/>
    <x v="5"/>
    <x v="2"/>
    <s v="QUALITY ASSURANCE"/>
    <s v="Verification"/>
    <m/>
    <m/>
    <s v="In"/>
    <x v="0"/>
    <m/>
    <n v="0.5"/>
    <n v="0.75"/>
    <n v="1"/>
    <m/>
    <n v="0.5"/>
    <m/>
    <n v="0.75"/>
    <m/>
    <n v="0.6"/>
    <m/>
  </r>
  <r>
    <x v="0"/>
    <x v="6"/>
    <x v="0"/>
    <s v="USER EXPERIENCE"/>
    <m/>
    <m/>
    <m/>
    <m/>
    <x v="0"/>
    <m/>
    <m/>
    <m/>
    <m/>
    <m/>
    <s v=""/>
    <m/>
    <s v=""/>
    <m/>
    <s v=""/>
    <m/>
  </r>
  <r>
    <x v="0"/>
    <x v="6"/>
    <x v="1"/>
    <s v="SITE DEV"/>
    <s v="Component update to implement logic to display buttons only when there are multiple items to be viewed"/>
    <m/>
    <m/>
    <s v="In"/>
    <x v="0"/>
    <m/>
    <n v="0.75"/>
    <n v="1.25"/>
    <n v="1"/>
    <n v="1"/>
    <n v="0.75"/>
    <n v="1.75"/>
    <n v="1.25"/>
    <m/>
    <n v="1"/>
    <s v="Sudip/ Kunal to add assumption"/>
  </r>
  <r>
    <x v="0"/>
    <x v="6"/>
    <x v="2"/>
    <s v="QUALITY ASSURANCE"/>
    <s v="Verification"/>
    <m/>
    <m/>
    <s v="In"/>
    <x v="0"/>
    <m/>
    <n v="0.5"/>
    <n v="0.75"/>
    <n v="1"/>
    <m/>
    <n v="0.5"/>
    <m/>
    <n v="0.75"/>
    <m/>
    <n v="0.6"/>
    <m/>
  </r>
  <r>
    <x v="0"/>
    <x v="7"/>
    <x v="0"/>
    <s v="VISUAL DESIGN"/>
    <m/>
    <m/>
    <m/>
    <m/>
    <x v="0"/>
    <m/>
    <m/>
    <m/>
    <m/>
    <m/>
    <s v=""/>
    <m/>
    <s v=""/>
    <m/>
    <s v=""/>
    <m/>
  </r>
  <r>
    <x v="0"/>
    <x v="7"/>
    <x v="1"/>
    <s v="SITE DEV"/>
    <s v="Dynamically changing &quot;Alert&quot; position for mobile view "/>
    <m/>
    <m/>
    <s v="In"/>
    <x v="0"/>
    <m/>
    <n v="1.5"/>
    <n v="2"/>
    <n v="1"/>
    <m/>
    <n v="1.5"/>
    <m/>
    <n v="2"/>
    <m/>
    <n v="1.8"/>
    <s v="Alert will come after Key tasks and tabbing order will be different for Desktop and Mobile._x000a__x000a_Desktop Tabbing order: Login, Alert, Key Tasks_x000a_Mobile Tabbing order: Login, Key Tasks, Alert_x000a_"/>
  </r>
  <r>
    <x v="0"/>
    <x v="7"/>
    <x v="1"/>
    <s v="CMS DEV"/>
    <s v="Removing Image for mobile view"/>
    <m/>
    <m/>
    <s v="In"/>
    <x v="0"/>
    <s v="SitePublisher - Content Component - Low"/>
    <n v="0.5"/>
    <n v="0.75"/>
    <n v="1"/>
    <m/>
    <n v="0.5"/>
    <m/>
    <n v="0.75"/>
    <m/>
    <n v="0.6"/>
    <m/>
  </r>
  <r>
    <x v="0"/>
    <x v="7"/>
    <x v="2"/>
    <s v="QUALITY ASSURANCE"/>
    <s v="Verification"/>
    <m/>
    <m/>
    <s v="In"/>
    <x v="0"/>
    <m/>
    <n v="1"/>
    <n v="1.5"/>
    <n v="1"/>
    <m/>
    <n v="1"/>
    <m/>
    <n v="1.5"/>
    <m/>
    <n v="1.3"/>
    <m/>
  </r>
  <r>
    <x v="0"/>
    <x v="8"/>
    <x v="0"/>
    <s v="USER EXPERIENCE"/>
    <m/>
    <m/>
    <m/>
    <m/>
    <x v="0"/>
    <m/>
    <m/>
    <m/>
    <m/>
    <m/>
    <s v=""/>
    <m/>
    <s v=""/>
    <m/>
    <s v=""/>
    <s v="List of components that will be impacted:_x000a_1. C001 - Homepage hero login section_x000a_2. C004 - Login_x000a_3. C007 - Content Preview_x000a_4. C013 - Bioprofile listing_x000a_5. C014 - Bioprofile detail_x000a_6. C017 - Short form content with tertiary CTA_x000a_7. C020 - Media Gallery_x000a_8. C029 - Sign In CTA"/>
  </r>
  <r>
    <x v="0"/>
    <x v="8"/>
    <x v="1"/>
    <s v="SITE DEV"/>
    <s v="tertiary link arrow wrapping with the link text change"/>
    <m/>
    <m/>
    <s v="In"/>
    <x v="0"/>
    <m/>
    <n v="0.5"/>
    <n v="0.75"/>
    <n v="2"/>
    <m/>
    <n v="1"/>
    <m/>
    <n v="1.5"/>
    <m/>
    <n v="1.3"/>
    <s v="List of components that will be impacted:_x000a_1. C001 - Homepage hero login section_x000a_2. C004 - Login_x000a_3. C007 - Content Preview_x000a_4. C013 - Bioprofile listing_x000a_5. C014 - Bioprofile detail_x000a_6. C017 - Short form content with tertiary CTA_x000a_7. C020 - Media Gallery_x000a_8. C029 - Sign In CTA"/>
  </r>
  <r>
    <x v="0"/>
    <x v="8"/>
    <x v="1"/>
    <s v="CMS DEV"/>
    <s v="Component update - Search Results"/>
    <m/>
    <m/>
    <s v="In"/>
    <x v="0"/>
    <m/>
    <n v="0.75"/>
    <n v="1.25"/>
    <n v="1"/>
    <n v="1"/>
    <n v="0.75"/>
    <n v="1.75"/>
    <n v="1.25"/>
    <m/>
    <n v="1"/>
    <m/>
  </r>
  <r>
    <x v="0"/>
    <x v="8"/>
    <x v="2"/>
    <s v="QUALITY ASSURANCE"/>
    <s v="Preparation and review of Test cases"/>
    <m/>
    <m/>
    <s v="In"/>
    <x v="0"/>
    <m/>
    <n v="0.5"/>
    <n v="0.75"/>
    <n v="1"/>
    <m/>
    <n v="0.5"/>
    <m/>
    <n v="0.75"/>
    <m/>
    <n v="0.6"/>
    <m/>
  </r>
  <r>
    <x v="0"/>
    <x v="8"/>
    <x v="2"/>
    <s v="QUALITY ASSURANCE"/>
    <s v="Functional Validation &amp; cross browser"/>
    <m/>
    <m/>
    <s v="In"/>
    <x v="0"/>
    <m/>
    <n v="0.25"/>
    <n v="0.25"/>
    <n v="9"/>
    <m/>
    <n v="2.25"/>
    <m/>
    <n v="2.25"/>
    <m/>
    <n v="2.2999999999999998"/>
    <m/>
  </r>
  <r>
    <x v="0"/>
    <x v="8"/>
    <x v="2"/>
    <s v="QUALITY ASSURANCE"/>
    <s v="Retesting of defects and regression"/>
    <m/>
    <m/>
    <s v="In"/>
    <x v="0"/>
    <m/>
    <n v="0.5"/>
    <n v="0.5"/>
    <n v="1"/>
    <m/>
    <n v="0.5"/>
    <m/>
    <n v="0.5"/>
    <m/>
    <n v="0.5"/>
    <m/>
  </r>
  <r>
    <x v="0"/>
    <x v="9"/>
    <x v="1"/>
    <s v="SITE DEV"/>
    <m/>
    <m/>
    <m/>
    <s v="Out"/>
    <x v="0"/>
    <m/>
    <m/>
    <m/>
    <m/>
    <m/>
    <s v=""/>
    <m/>
    <s v=""/>
    <m/>
    <s v=""/>
    <m/>
  </r>
  <r>
    <x v="0"/>
    <x v="9"/>
    <x v="0"/>
    <s v="CMS DEV"/>
    <m/>
    <m/>
    <m/>
    <s v="Out"/>
    <x v="0"/>
    <s v="SitePublisher Design - Content Component - Low"/>
    <n v="0.4"/>
    <n v="0.7"/>
    <n v="1"/>
    <n v="0.4"/>
    <s v=""/>
    <n v="0.7"/>
    <s v=""/>
    <m/>
    <s v=""/>
    <m/>
  </r>
  <r>
    <x v="0"/>
    <x v="9"/>
    <x v="1"/>
    <s v="CMS DEV"/>
    <m/>
    <m/>
    <m/>
    <s v="Out"/>
    <x v="0"/>
    <s v="SitePublisher - Content Component - Low"/>
    <n v="1"/>
    <n v="1.75"/>
    <n v="1"/>
    <n v="1"/>
    <s v=""/>
    <n v="1.75"/>
    <s v=""/>
    <m/>
    <s v=""/>
    <m/>
  </r>
  <r>
    <x v="0"/>
    <x v="9"/>
    <x v="2"/>
    <s v="QUALITY ASSURANCE"/>
    <m/>
    <m/>
    <m/>
    <s v="Out"/>
    <x v="0"/>
    <m/>
    <m/>
    <m/>
    <m/>
    <m/>
    <s v=""/>
    <m/>
    <s v=""/>
    <m/>
    <s v=""/>
    <m/>
  </r>
  <r>
    <x v="0"/>
    <x v="10"/>
    <x v="0"/>
    <s v="USER EXPERIENCE"/>
    <m/>
    <m/>
    <m/>
    <m/>
    <x v="0"/>
    <m/>
    <m/>
    <m/>
    <m/>
    <m/>
    <s v=""/>
    <m/>
    <s v=""/>
    <m/>
    <s v=""/>
    <m/>
  </r>
  <r>
    <x v="0"/>
    <x v="10"/>
    <x v="1"/>
    <s v="SITE DEV"/>
    <s v="HTML changes for alligning updated grid structure"/>
    <m/>
    <m/>
    <s v="In"/>
    <x v="0"/>
    <m/>
    <n v="1"/>
    <n v="1.5"/>
    <n v="1"/>
    <m/>
    <n v="1"/>
    <m/>
    <n v="1.5"/>
    <m/>
    <n v="1.3"/>
    <s v="Estimation done based on ,_x000a__x000a_i. 3-column layout will use 4 grid columns_x000a_ii. 2-column layout will use 6 grid columns_x000a_"/>
  </r>
  <r>
    <x v="0"/>
    <x v="10"/>
    <x v="1"/>
    <s v="CMS DEV"/>
    <s v="Component Update"/>
    <m/>
    <m/>
    <s v="In"/>
    <x v="0"/>
    <m/>
    <n v="0.75"/>
    <n v="1"/>
    <n v="1"/>
    <m/>
    <n v="0.75"/>
    <m/>
    <n v="1"/>
    <m/>
    <n v="0.9"/>
    <m/>
  </r>
  <r>
    <x v="0"/>
    <x v="10"/>
    <x v="2"/>
    <s v="QUALITY ASSURANCE"/>
    <s v="Verification"/>
    <m/>
    <m/>
    <s v="In"/>
    <x v="0"/>
    <m/>
    <n v="1"/>
    <n v="1"/>
    <n v="1"/>
    <m/>
    <n v="1"/>
    <m/>
    <n v="1"/>
    <m/>
    <n v="1"/>
    <m/>
  </r>
  <r>
    <x v="0"/>
    <x v="11"/>
    <x v="1"/>
    <s v="USER EXPERIENCE"/>
    <m/>
    <m/>
    <m/>
    <m/>
    <x v="0"/>
    <m/>
    <m/>
    <m/>
    <m/>
    <m/>
    <m/>
    <m/>
    <m/>
    <m/>
    <m/>
    <m/>
  </r>
  <r>
    <x v="0"/>
    <x v="11"/>
    <x v="1"/>
    <s v="SITE DEV"/>
    <s v="Global css change to align component spacing"/>
    <m/>
    <m/>
    <s v="Out"/>
    <x v="0"/>
    <m/>
    <n v="0.25"/>
    <n v="0.5"/>
    <n v="1"/>
    <m/>
    <s v=""/>
    <m/>
    <s v=""/>
    <m/>
    <s v=""/>
    <s v="i. Use VS1 Spacer instead of VS2 Spacer for general spacing between components_x000a_iii. We could include an optional background color (#F1F1F1) for grouped components_x000a_iii. Removing VS2 spacers inside component as mentioned in following internal CR PPR-2254 "/>
  </r>
  <r>
    <x v="0"/>
    <x v="11"/>
    <x v="1"/>
    <s v="SITE DEV"/>
    <s v="Reduce spacing between heading and body copy of the component"/>
    <m/>
    <m/>
    <s v="Out"/>
    <x v="0"/>
    <m/>
    <n v="0.25"/>
    <n v="0.25"/>
    <n v="12"/>
    <m/>
    <s v=""/>
    <m/>
    <s v=""/>
    <m/>
    <s v=""/>
    <s v="Assumping 5 component where spacing between heading and body copy need to be addressed"/>
  </r>
  <r>
    <x v="0"/>
    <x v="11"/>
    <x v="1"/>
    <s v="SITE DEV"/>
    <s v="Reduce spacing between heading and body copy of the component"/>
    <m/>
    <m/>
    <s v="Out"/>
    <x v="0"/>
    <m/>
    <n v="0.25"/>
    <n v="0.5"/>
    <n v="5"/>
    <m/>
    <s v=""/>
    <m/>
    <s v=""/>
    <m/>
    <s v=""/>
    <s v="1&gt; Assumping 5 component will go through this changes,_x000a_Short Form Content, Feature Links,  Bio Profile Listing, etc_x000a_2&gt;Content Preview, Event Preview, Resource center, Media Gallery already has border/color to demarcation so this component will not be covered as part of this. "/>
  </r>
  <r>
    <x v="0"/>
    <x v="11"/>
    <x v="1"/>
    <s v="CMS DEV"/>
    <s v="Component update to support additional background color"/>
    <m/>
    <m/>
    <s v="Out"/>
    <x v="0"/>
    <m/>
    <n v="0.5"/>
    <n v="1"/>
    <n v="5"/>
    <m/>
    <s v=""/>
    <m/>
    <s v=""/>
    <m/>
    <s v=""/>
    <s v="1&gt; Authoring impacts to apply this feature_x000a_2&gt; No template will be updated to include this features of the component"/>
  </r>
  <r>
    <x v="0"/>
    <x v="11"/>
    <x v="2"/>
    <s v="QUALITY ASSURANCE"/>
    <s v="Preparation and review of Test cases"/>
    <m/>
    <m/>
    <s v="Out"/>
    <x v="0"/>
    <m/>
    <n v="0.5"/>
    <n v="0.5"/>
    <n v="1"/>
    <m/>
    <s v=""/>
    <m/>
    <s v=""/>
    <m/>
    <s v=""/>
    <m/>
  </r>
  <r>
    <x v="0"/>
    <x v="11"/>
    <x v="2"/>
    <s v="QUALITY ASSURANCE"/>
    <s v="Functional Validation"/>
    <m/>
    <m/>
    <s v="Out"/>
    <x v="0"/>
    <m/>
    <n v="0.25"/>
    <n v="0.5"/>
    <n v="12"/>
    <m/>
    <s v=""/>
    <m/>
    <s v=""/>
    <m/>
    <s v=""/>
    <s v="Validating for different skins of 5 components"/>
  </r>
  <r>
    <x v="0"/>
    <x v="11"/>
    <x v="2"/>
    <s v="QUALITY ASSURANCE"/>
    <s v="Cross browser validation"/>
    <m/>
    <m/>
    <s v="Out"/>
    <x v="0"/>
    <m/>
    <n v="1"/>
    <n v="2"/>
    <n v="1"/>
    <m/>
    <s v=""/>
    <m/>
    <s v=""/>
    <m/>
    <s v=""/>
    <m/>
  </r>
  <r>
    <x v="0"/>
    <x v="11"/>
    <x v="2"/>
    <s v="QUALITY ASSURANCE"/>
    <s v="Retesting of defects and regression"/>
    <m/>
    <m/>
    <s v="Out"/>
    <x v="0"/>
    <m/>
    <n v="1"/>
    <n v="1"/>
    <n v="1"/>
    <m/>
    <s v=""/>
    <m/>
    <s v=""/>
    <m/>
    <s v=""/>
    <m/>
  </r>
  <r>
    <x v="0"/>
    <x v="12"/>
    <x v="0"/>
    <s v="USER EXPERIENCE"/>
    <m/>
    <m/>
    <m/>
    <m/>
    <x v="0"/>
    <m/>
    <m/>
    <m/>
    <m/>
    <m/>
    <s v=""/>
    <m/>
    <s v=""/>
    <m/>
    <s v=""/>
    <s v="1&gt; Assuming 5 component need to go through the change. _x000a_2&gt; All components have 1 Skin_x000a_2&gt; Providing standard offset for component as additional feature"/>
  </r>
  <r>
    <x v="0"/>
    <x v="12"/>
    <x v="1"/>
    <s v="SITE DEV"/>
    <s v="Providing standard offset for component as additional feature"/>
    <m/>
    <m/>
    <s v="In"/>
    <x v="0"/>
    <m/>
    <n v="0.5"/>
    <n v="0.75"/>
    <n v="5"/>
    <m/>
    <n v="2.5"/>
    <m/>
    <n v="3.75"/>
    <m/>
    <n v="3.1"/>
    <s v="1&gt; Assuming 5 component need to go through the change. _x000a_2&gt; All components have 1 Skin_x000a_2&gt; Providing standard offset for component as additional feature"/>
  </r>
  <r>
    <x v="0"/>
    <x v="12"/>
    <x v="1"/>
    <s v="CMS DEV"/>
    <s v="Component Updates to provide additional options for making component to align in the page with other component"/>
    <m/>
    <m/>
    <s v="In"/>
    <x v="0"/>
    <m/>
    <n v="0.25"/>
    <n v="0.5"/>
    <n v="5"/>
    <m/>
    <n v="1.25"/>
    <m/>
    <n v="2.5"/>
    <m/>
    <n v="1.9"/>
    <m/>
  </r>
  <r>
    <x v="0"/>
    <x v="12"/>
    <x v="2"/>
    <s v="QUALITY ASSURANCE"/>
    <s v="Verification"/>
    <m/>
    <m/>
    <s v="In"/>
    <x v="0"/>
    <m/>
    <n v="0.5"/>
    <n v="0.5"/>
    <n v="5"/>
    <m/>
    <n v="2.5"/>
    <m/>
    <n v="2.5"/>
    <m/>
    <n v="2.5"/>
    <m/>
  </r>
  <r>
    <x v="0"/>
    <x v="13"/>
    <x v="1"/>
    <s v="SITE DEV"/>
    <m/>
    <m/>
    <m/>
    <s v="In"/>
    <x v="0"/>
    <m/>
    <n v="1"/>
    <n v="1.5"/>
    <n v="2"/>
    <m/>
    <n v="2"/>
    <m/>
    <n v="3"/>
    <m/>
    <n v="2.5"/>
    <s v="Applicable for both_x000a_1&gt;  Feature Link_x000a_2&gt; Resource Center"/>
  </r>
  <r>
    <x v="0"/>
    <x v="13"/>
    <x v="1"/>
    <s v="CMS DEV"/>
    <m/>
    <m/>
    <m/>
    <s v="In"/>
    <x v="0"/>
    <m/>
    <n v="0.75"/>
    <n v="1.25"/>
    <n v="2"/>
    <m/>
    <n v="1.5"/>
    <m/>
    <n v="2.5"/>
    <m/>
    <n v="2"/>
    <m/>
  </r>
  <r>
    <x v="0"/>
    <x v="13"/>
    <x v="2"/>
    <s v="QUALITY ASSURANCE"/>
    <m/>
    <m/>
    <m/>
    <s v="In"/>
    <x v="0"/>
    <m/>
    <n v="1"/>
    <n v="1.5"/>
    <n v="2"/>
    <m/>
    <n v="2"/>
    <m/>
    <n v="3"/>
    <m/>
    <n v="2.5"/>
    <m/>
  </r>
  <r>
    <x v="0"/>
    <x v="14"/>
    <x v="3"/>
    <s v="CMS DEV"/>
    <s v="Stabilization"/>
    <m/>
    <m/>
    <s v="In"/>
    <x v="0"/>
    <m/>
    <n v="2"/>
    <n v="2"/>
    <n v="4"/>
    <m/>
    <n v="8"/>
    <m/>
    <n v="8"/>
    <m/>
    <n v="8"/>
    <m/>
  </r>
  <r>
    <x v="0"/>
    <x v="14"/>
    <x v="3"/>
    <s v="SITE DEV"/>
    <s v="Stabilization"/>
    <m/>
    <m/>
    <s v="In"/>
    <x v="0"/>
    <m/>
    <n v="2"/>
    <n v="2"/>
    <n v="3"/>
    <m/>
    <n v="6"/>
    <m/>
    <n v="6"/>
    <m/>
    <n v="6"/>
    <m/>
  </r>
  <r>
    <x v="0"/>
    <x v="14"/>
    <x v="3"/>
    <s v="QUALITY ASSURANCE"/>
    <s v="Stabilization"/>
    <m/>
    <m/>
    <s v="In"/>
    <x v="0"/>
    <m/>
    <n v="2"/>
    <n v="2"/>
    <n v="3"/>
    <m/>
    <n v="6"/>
    <m/>
    <n v="6"/>
    <m/>
    <n v="6"/>
    <m/>
  </r>
  <r>
    <x v="0"/>
    <x v="15"/>
    <x v="3"/>
    <s v="CMS DEV"/>
    <s v="Stabilization"/>
    <m/>
    <m/>
    <s v="In"/>
    <x v="0"/>
    <m/>
    <n v="5"/>
    <n v="5"/>
    <n v="2"/>
    <m/>
    <n v="10"/>
    <m/>
    <n v="10"/>
    <m/>
    <n v="10"/>
    <m/>
  </r>
  <r>
    <x v="0"/>
    <x v="15"/>
    <x v="3"/>
    <s v="SITE DEV"/>
    <s v="Stabilization"/>
    <m/>
    <m/>
    <s v="In"/>
    <x v="0"/>
    <m/>
    <n v="5"/>
    <n v="5"/>
    <n v="2"/>
    <m/>
    <n v="10"/>
    <m/>
    <n v="10"/>
    <m/>
    <n v="10"/>
    <m/>
  </r>
  <r>
    <x v="0"/>
    <x v="15"/>
    <x v="3"/>
    <s v="QUALITY ASSURANCE"/>
    <s v="Stabilization"/>
    <m/>
    <m/>
    <s v="In"/>
    <x v="0"/>
    <m/>
    <n v="5"/>
    <n v="5"/>
    <n v="2"/>
    <m/>
    <n v="10"/>
    <m/>
    <n v="10"/>
    <m/>
    <n v="10"/>
    <m/>
  </r>
  <r>
    <x v="1"/>
    <x v="16"/>
    <x v="4"/>
    <m/>
    <m/>
    <m/>
    <m/>
    <s v="Out"/>
    <x v="0"/>
    <m/>
    <n v="0.5"/>
    <n v="0.5"/>
    <n v="0"/>
    <m/>
    <s v=""/>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192" applyNumberFormats="0" applyBorderFormats="0" applyFontFormats="0" applyPatternFormats="0" applyAlignmentFormats="0" applyWidthHeightFormats="1" dataCaption="Values" updatedVersion="4" minRefreshableVersion="3" useAutoFormatting="1" itemPrintTitles="1" createdVersion="4" indent="0" compact="0" compactData="0" gridDropZones="1" multipleFieldFilters="0">
  <location ref="S7:Y9" firstHeaderRow="1" firstDataRow="2" firstDataCol="1" rowPageCount="1" colPageCount="1"/>
  <pivotFields count="20">
    <pivotField compact="0" outline="0" showAll="0" defaultSubtotal="0">
      <items count="24">
        <item sd="0" x="1"/>
        <item m="1" x="12"/>
        <item m="1" x="22"/>
        <item m="1" x="18"/>
        <item m="1" x="14"/>
        <item m="1" x="16"/>
        <item m="1" x="15"/>
        <item m="1" x="5"/>
        <item m="1" x="3"/>
        <item m="1" x="6"/>
        <item m="1" x="9"/>
        <item m="1" x="2"/>
        <item m="1" x="4"/>
        <item m="1" x="20"/>
        <item x="0"/>
        <item m="1" x="19"/>
        <item m="1" x="7"/>
        <item m="1" x="17"/>
        <item m="1" x="8"/>
        <item m="1" x="21"/>
        <item m="1" x="11"/>
        <item m="1" x="23"/>
        <item m="1" x="10"/>
        <item m="1" x="13"/>
      </items>
    </pivotField>
    <pivotField compact="0" outline="0" showAll="0" defaultSubtotal="0"/>
    <pivotField axis="axisCol" compact="0" outline="0" multipleItemSelectionAllowed="1" showAll="0" defaultSubtotal="0">
      <items count="12">
        <item x="4"/>
        <item m="1" x="9"/>
        <item m="1" x="10"/>
        <item x="0"/>
        <item x="1"/>
        <item m="1" x="5"/>
        <item x="3"/>
        <item m="1" x="6"/>
        <item x="2"/>
        <item m="1" x="11"/>
        <item m="1" x="8"/>
        <item m="1" x="7"/>
      </items>
    </pivotField>
    <pivotField compact="0" outline="0" showAll="0" defaultSubtotal="0"/>
    <pivotField compact="0" outline="0" showAll="0"/>
    <pivotField compact="0" outline="0" showAll="0"/>
    <pivotField compact="0" outline="0" showAll="0"/>
    <pivotField compact="0" outline="0" showAll="0" defaultSubtotal="0"/>
    <pivotField axis="axisPage" compact="0" outline="0" showAll="0">
      <items count="3">
        <item x="0"/>
        <item m="1" x="1"/>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dataField="1" compact="0" outline="0" showAll="0" defaultSubtotal="0"/>
    <pivotField compact="0" outline="0" showAll="0" defaultSubtotal="0"/>
  </pivotFields>
  <rowItems count="1">
    <i/>
  </rowItems>
  <colFields count="1">
    <field x="2"/>
  </colFields>
  <colItems count="6">
    <i>
      <x/>
    </i>
    <i>
      <x v="3"/>
    </i>
    <i>
      <x v="4"/>
    </i>
    <i>
      <x v="6"/>
    </i>
    <i>
      <x v="8"/>
    </i>
    <i t="grand">
      <x/>
    </i>
  </colItems>
  <pageFields count="1">
    <pageField fld="8" hier="-1"/>
  </pageFields>
  <dataFields count="1">
    <dataField name="Sum of Buffered" fld="18" baseField="0" baseItem="1" numFmtId="2"/>
  </dataFields>
  <formats count="22">
    <format dxfId="164">
      <pivotArea type="all" dataOnly="0" outline="0" fieldPosition="0"/>
    </format>
    <format dxfId="163">
      <pivotArea type="all" dataOnly="0" outline="0" fieldPosition="0"/>
    </format>
    <format dxfId="162">
      <pivotArea outline="0" collapsedLevelsAreSubtotals="1" fieldPosition="0"/>
    </format>
    <format dxfId="161">
      <pivotArea dataOnly="0" labelOnly="1" grandRow="1" outline="0" fieldPosition="0"/>
    </format>
    <format dxfId="160">
      <pivotArea grandRow="1" outline="0" collapsedLevelsAreSubtotals="1" fieldPosition="0"/>
    </format>
    <format dxfId="159">
      <pivotArea dataOnly="0" labelOnly="1" grandRow="1" outline="0" fieldPosition="0"/>
    </format>
    <format dxfId="158">
      <pivotArea type="origin" dataOnly="0" labelOnly="1" outline="0" fieldPosition="0"/>
    </format>
    <format dxfId="157">
      <pivotArea type="topRight" dataOnly="0" labelOnly="1" outline="0" fieldPosition="0"/>
    </format>
    <format dxfId="156">
      <pivotArea type="topRight" dataOnly="0" labelOnly="1" outline="0" fieldPosition="0"/>
    </format>
    <format dxfId="155">
      <pivotArea field="2" type="button" dataOnly="0" labelOnly="1" outline="0" axis="axisCol" fieldPosition="0"/>
    </format>
    <format dxfId="154">
      <pivotArea dataOnly="0" labelOnly="1" outline="0" fieldPosition="0">
        <references count="1">
          <reference field="2" count="0"/>
        </references>
      </pivotArea>
    </format>
    <format dxfId="153">
      <pivotArea type="origin" dataOnly="0" labelOnly="1" outline="0" offset="A1" fieldPosition="0"/>
    </format>
    <format dxfId="152">
      <pivotArea field="2" type="button" dataOnly="0" labelOnly="1" outline="0" axis="axisCol" fieldPosition="0"/>
    </format>
    <format dxfId="151">
      <pivotArea field="2" type="button" dataOnly="0" labelOnly="1" outline="0" axis="axisCol" fieldPosition="0"/>
    </format>
    <format dxfId="150">
      <pivotArea type="origin" dataOnly="0" labelOnly="1" outline="0" fieldPosition="0"/>
    </format>
    <format dxfId="149">
      <pivotArea field="0" type="button" dataOnly="0" labelOnly="1" outline="0"/>
    </format>
    <format dxfId="148">
      <pivotArea field="2" type="button" dataOnly="0" labelOnly="1" outline="0" axis="axisCol" fieldPosition="0"/>
    </format>
    <format dxfId="147">
      <pivotArea outline="0" collapsedLevelsAreSubtotals="1" fieldPosition="0"/>
    </format>
    <format dxfId="146">
      <pivotArea dataOnly="0" labelOnly="1" grandRow="1" outline="0" fieldPosition="0"/>
    </format>
    <format dxfId="145">
      <pivotArea dataOnly="0" labelOnly="1" outline="0" fieldPosition="0">
        <references count="1">
          <reference field="2" count="0"/>
        </references>
      </pivotArea>
    </format>
    <format dxfId="144">
      <pivotArea dataOnly="0" labelOnly="1" grandCol="1" outline="0" fieldPosition="0"/>
    </format>
    <format dxfId="143">
      <pivotArea outline="0" collapsedLevelsAreSubtotals="1" fieldPosition="0">
        <references count="1">
          <reference field="2" count="0" selected="0"/>
        </references>
      </pivotArea>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192" applyNumberFormats="0" applyBorderFormats="0" applyFontFormats="0" applyPatternFormats="0" applyAlignmentFormats="0" applyWidthHeightFormats="1" dataCaption="Values" updatedVersion="4" minRefreshableVersion="3" useAutoFormatting="1" itemPrintTitles="1" createdVersion="4" indent="0" compact="0" compactData="0" gridDropZones="1" multipleFieldFilters="0">
  <location ref="O9:Q28" firstHeaderRow="2" firstDataRow="2" firstDataCol="2" rowPageCount="2" colPageCount="1"/>
  <pivotFields count="20">
    <pivotField axis="axisRow" compact="0" outline="0" showAll="0" defaultSubtotal="0">
      <items count="24">
        <item x="1"/>
        <item m="1" x="12"/>
        <item m="1" x="22"/>
        <item m="1" x="18"/>
        <item m="1" x="14"/>
        <item m="1" x="16"/>
        <item m="1" x="15"/>
        <item m="1" x="5"/>
        <item m="1" x="3"/>
        <item m="1" x="6"/>
        <item m="1" x="9"/>
        <item m="1" x="2"/>
        <item m="1" x="4"/>
        <item m="1" x="20"/>
        <item x="0"/>
        <item m="1" x="19"/>
        <item m="1" x="7"/>
        <item m="1" x="17"/>
        <item m="1" x="8"/>
        <item m="1" x="21"/>
        <item m="1" x="11"/>
        <item m="1" x="23"/>
        <item m="1" x="10"/>
        <item m="1" x="13"/>
      </items>
    </pivotField>
    <pivotField axis="axisRow" compact="0" outline="0" showAll="0" defaultSubtotal="0">
      <items count="85">
        <item x="16"/>
        <item m="1" x="75"/>
        <item m="1" x="82"/>
        <item m="1" x="67"/>
        <item m="1" x="65"/>
        <item m="1" x="48"/>
        <item m="1" x="73"/>
        <item m="1" x="56"/>
        <item m="1" x="54"/>
        <item m="1" x="60"/>
        <item m="1" x="61"/>
        <item m="1" x="19"/>
        <item m="1" x="80"/>
        <item m="1" x="71"/>
        <item m="1" x="69"/>
        <item m="1" x="76"/>
        <item m="1" x="72"/>
        <item m="1" x="44"/>
        <item m="1" x="41"/>
        <item m="1" x="20"/>
        <item m="1" x="49"/>
        <item m="1" x="34"/>
        <item m="1" x="22"/>
        <item m="1" x="53"/>
        <item m="1" x="23"/>
        <item m="1" x="35"/>
        <item m="1" x="46"/>
        <item m="1" x="84"/>
        <item x="14"/>
        <item m="1" x="50"/>
        <item m="1" x="26"/>
        <item m="1" x="38"/>
        <item m="1" x="47"/>
        <item m="1" x="21"/>
        <item m="1" x="33"/>
        <item m="1" x="32"/>
        <item m="1" x="66"/>
        <item m="1" x="17"/>
        <item m="1" x="83"/>
        <item m="1" x="43"/>
        <item m="1" x="77"/>
        <item m="1" x="55"/>
        <item m="1" x="81"/>
        <item m="1" x="79"/>
        <item m="1" x="51"/>
        <item m="1" x="39"/>
        <item x="0"/>
        <item m="1" x="18"/>
        <item m="1" x="24"/>
        <item m="1" x="68"/>
        <item x="1"/>
        <item x="2"/>
        <item m="1" x="42"/>
        <item x="3"/>
        <item x="4"/>
        <item m="1" x="74"/>
        <item x="5"/>
        <item x="6"/>
        <item m="1" x="27"/>
        <item m="1" x="31"/>
        <item m="1" x="57"/>
        <item x="7"/>
        <item m="1" x="64"/>
        <item x="9"/>
        <item x="10"/>
        <item x="11"/>
        <item x="12"/>
        <item m="1" x="40"/>
        <item m="1" x="25"/>
        <item m="1" x="52"/>
        <item x="13"/>
        <item m="1" x="30"/>
        <item m="1" x="63"/>
        <item m="1" x="59"/>
        <item m="1" x="36"/>
        <item m="1" x="78"/>
        <item m="1" x="28"/>
        <item m="1" x="70"/>
        <item m="1" x="62"/>
        <item m="1" x="58"/>
        <item x="8"/>
        <item m="1" x="45"/>
        <item m="1" x="29"/>
        <item m="1" x="37"/>
        <item x="15"/>
      </items>
    </pivotField>
    <pivotField axis="axisPage" compact="0" outline="0" multipleItemSelectionAllowed="1" showAll="0" defaultSubtotal="0">
      <items count="12">
        <item x="4"/>
        <item m="1" x="9"/>
        <item m="1" x="10"/>
        <item x="0"/>
        <item x="1"/>
        <item m="1" x="5"/>
        <item x="3"/>
        <item m="1" x="6"/>
        <item x="2"/>
        <item m="1" x="11"/>
        <item m="1" x="8"/>
        <item m="1" x="7"/>
      </items>
    </pivotField>
    <pivotField compact="0" outline="0" showAll="0" defaultSubtotal="0"/>
    <pivotField compact="0" outline="0" showAll="0"/>
    <pivotField compact="0" outline="0" showAll="0"/>
    <pivotField compact="0" outline="0" showAll="0"/>
    <pivotField compact="0" outline="0" showAll="0" defaultSubtotal="0"/>
    <pivotField axis="axisPage" compact="0" outline="0" showAll="0">
      <items count="3">
        <item x="0"/>
        <item m="1" x="1"/>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dataField="1" compact="0" outline="0" showAll="0" defaultSubtotal="0"/>
    <pivotField compact="0" outline="0" showAll="0" defaultSubtotal="0"/>
  </pivotFields>
  <rowFields count="2">
    <field x="0"/>
    <field x="1"/>
  </rowFields>
  <rowItems count="18">
    <i>
      <x/>
      <x/>
    </i>
    <i>
      <x v="14"/>
      <x v="28"/>
    </i>
    <i r="1">
      <x v="46"/>
    </i>
    <i r="1">
      <x v="50"/>
    </i>
    <i r="1">
      <x v="51"/>
    </i>
    <i r="1">
      <x v="53"/>
    </i>
    <i r="1">
      <x v="54"/>
    </i>
    <i r="1">
      <x v="56"/>
    </i>
    <i r="1">
      <x v="57"/>
    </i>
    <i r="1">
      <x v="61"/>
    </i>
    <i r="1">
      <x v="63"/>
    </i>
    <i r="1">
      <x v="64"/>
    </i>
    <i r="1">
      <x v="65"/>
    </i>
    <i r="1">
      <x v="66"/>
    </i>
    <i r="1">
      <x v="70"/>
    </i>
    <i r="1">
      <x v="80"/>
    </i>
    <i r="1">
      <x v="84"/>
    </i>
    <i t="grand">
      <x/>
    </i>
  </rowItems>
  <colItems count="1">
    <i/>
  </colItems>
  <pageFields count="2">
    <pageField fld="2" hier="-1"/>
    <pageField fld="8" hier="-1"/>
  </pageFields>
  <dataFields count="1">
    <dataField name="Sum of Buffered" fld="18" baseField="0" baseItem="1" numFmtId="2"/>
  </dataFields>
  <formats count="35">
    <format dxfId="199">
      <pivotArea type="all" dataOnly="0" outline="0" fieldPosition="0"/>
    </format>
    <format dxfId="198">
      <pivotArea type="all" dataOnly="0" outline="0" fieldPosition="0"/>
    </format>
    <format dxfId="197">
      <pivotArea outline="0" collapsedLevelsAreSubtotals="1" fieldPosition="0"/>
    </format>
    <format dxfId="196">
      <pivotArea dataOnly="0" labelOnly="1" grandRow="1" outline="0" fieldPosition="0"/>
    </format>
    <format dxfId="195">
      <pivotArea grandRow="1" outline="0" collapsedLevelsAreSubtotals="1" fieldPosition="0"/>
    </format>
    <format dxfId="194">
      <pivotArea dataOnly="0" labelOnly="1" grandRow="1" outline="0" fieldPosition="0"/>
    </format>
    <format dxfId="193">
      <pivotArea type="origin" dataOnly="0" labelOnly="1" outline="0" fieldPosition="0"/>
    </format>
    <format dxfId="192">
      <pivotArea type="topRight" dataOnly="0" labelOnly="1" outline="0" fieldPosition="0"/>
    </format>
    <format dxfId="191">
      <pivotArea outline="0" collapsedLevelsAreSubtotals="1" fieldPosition="0"/>
    </format>
    <format dxfId="190">
      <pivotArea type="topRight" dataOnly="0" labelOnly="1" outline="0" fieldPosition="0"/>
    </format>
    <format dxfId="189">
      <pivotArea field="2" type="button" dataOnly="0" labelOnly="1" outline="0" axis="axisPage" fieldPosition="0"/>
    </format>
    <format dxfId="188">
      <pivotArea type="origin" dataOnly="0" labelOnly="1" outline="0" offset="A1" fieldPosition="0"/>
    </format>
    <format dxfId="187">
      <pivotArea field="2" type="button" dataOnly="0" labelOnly="1" outline="0" axis="axisPage" fieldPosition="0"/>
    </format>
    <format dxfId="186">
      <pivotArea type="all" dataOnly="0" outline="0" fieldPosition="0"/>
    </format>
    <format dxfId="185">
      <pivotArea field="0" type="button" dataOnly="0" labelOnly="1" outline="0" axis="axisRow" fieldPosition="0"/>
    </format>
    <format dxfId="184">
      <pivotArea field="1" type="button" dataOnly="0" labelOnly="1" outline="0" axis="axisRow" fieldPosition="1"/>
    </format>
    <format dxfId="183">
      <pivotArea outline="0" collapsedLevelsAreSubtotals="1" fieldPosition="0">
        <references count="2">
          <reference field="0" count="0" selected="0"/>
          <reference field="1" count="0" selected="0"/>
        </references>
      </pivotArea>
    </format>
    <format dxfId="182">
      <pivotArea dataOnly="0" labelOnly="1" outline="0" fieldPosition="0">
        <references count="1">
          <reference field="0" count="0"/>
        </references>
      </pivotArea>
    </format>
    <format dxfId="181">
      <pivotArea dataOnly="0" labelOnly="1" outline="0" offset="IV256" fieldPosition="0">
        <references count="1">
          <reference field="0" count="1">
            <x v="0"/>
          </reference>
        </references>
      </pivotArea>
    </format>
    <format dxfId="180">
      <pivotArea dataOnly="0" labelOnly="1" grandRow="1" outline="0" offset="IV256" fieldPosition="0"/>
    </format>
    <format dxfId="179">
      <pivotArea dataOnly="0" labelOnly="1" outline="0" fieldPosition="0">
        <references count="1">
          <reference field="2" count="0"/>
        </references>
      </pivotArea>
    </format>
    <format dxfId="178">
      <pivotArea dataOnly="0" labelOnly="1" outline="0" fieldPosition="0">
        <references count="1">
          <reference field="8" count="0"/>
        </references>
      </pivotArea>
    </format>
    <format dxfId="177">
      <pivotArea dataOnly="0" labelOnly="1" outline="0" fieldPosition="0">
        <references count="1">
          <reference field="2" count="0"/>
        </references>
      </pivotArea>
    </format>
    <format dxfId="176">
      <pivotArea dataOnly="0" labelOnly="1" outline="0" fieldPosition="0">
        <references count="1">
          <reference field="8" count="0"/>
        </references>
      </pivotArea>
    </format>
    <format dxfId="175">
      <pivotArea field="2" type="button" dataOnly="0" labelOnly="1" outline="0" axis="axisPage" fieldPosition="0"/>
    </format>
    <format dxfId="174">
      <pivotArea field="8" type="button" dataOnly="0" labelOnly="1" outline="0" axis="axisPage" fieldPosition="1"/>
    </format>
    <format dxfId="173">
      <pivotArea outline="0" collapsedLevelsAreSubtotals="1" fieldPosition="0">
        <references count="2">
          <reference field="0" count="1" selected="0">
            <x v="14"/>
          </reference>
          <reference field="1" count="1" selected="0">
            <x v="67"/>
          </reference>
        </references>
      </pivotArea>
    </format>
    <format dxfId="172">
      <pivotArea dataOnly="0" labelOnly="1" outline="0" fieldPosition="0">
        <references count="2">
          <reference field="0" count="1" selected="0">
            <x v="14"/>
          </reference>
          <reference field="1" count="1">
            <x v="67"/>
          </reference>
        </references>
      </pivotArea>
    </format>
    <format dxfId="171">
      <pivotArea dataOnly="0" labelOnly="1" outline="0" fieldPosition="0">
        <references count="2">
          <reference field="0" count="1" selected="0">
            <x v="14"/>
          </reference>
          <reference field="1" count="1">
            <x v="47"/>
          </reference>
        </references>
      </pivotArea>
    </format>
    <format dxfId="170">
      <pivotArea dataOnly="0" labelOnly="1" outline="0" fieldPosition="0">
        <references count="2">
          <reference field="0" count="1" selected="0">
            <x v="14"/>
          </reference>
          <reference field="1" count="1">
            <x v="48"/>
          </reference>
        </references>
      </pivotArea>
    </format>
    <format dxfId="169">
      <pivotArea outline="0" collapsedLevelsAreSubtotals="1" fieldPosition="0">
        <references count="2">
          <reference field="0" count="1" selected="0">
            <x v="14"/>
          </reference>
          <reference field="1" count="1" selected="0">
            <x v="49"/>
          </reference>
        </references>
      </pivotArea>
    </format>
    <format dxfId="168">
      <pivotArea dataOnly="0" labelOnly="1" outline="0" fieldPosition="0">
        <references count="2">
          <reference field="0" count="1" selected="0">
            <x v="14"/>
          </reference>
          <reference field="1" count="1">
            <x v="49"/>
          </reference>
        </references>
      </pivotArea>
    </format>
    <format dxfId="167">
      <pivotArea dataOnly="0" labelOnly="1" outline="0" fieldPosition="0">
        <references count="2">
          <reference field="0" count="1" selected="0">
            <x v="14"/>
          </reference>
          <reference field="1" count="1">
            <x v="55"/>
          </reference>
        </references>
      </pivotArea>
    </format>
    <format dxfId="166">
      <pivotArea dataOnly="0" labelOnly="1" outline="0" fieldPosition="0">
        <references count="2">
          <reference field="0" count="1" selected="0">
            <x v="14"/>
          </reference>
          <reference field="1" count="1">
            <x v="60"/>
          </reference>
        </references>
      </pivotArea>
    </format>
    <format dxfId="165">
      <pivotArea dataOnly="0" labelOnly="1" outline="0" fieldPosition="0">
        <references count="2">
          <reference field="0" count="1" selected="0">
            <x v="14"/>
          </reference>
          <reference field="1" count="1">
            <x v="79"/>
          </reference>
        </references>
      </pivotArea>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vmlDrawing" Target="../drawings/vmlDrawing5.vml"/><Relationship Id="rId1" Type="http://schemas.openxmlformats.org/officeDocument/2006/relationships/drawing" Target="../drawings/drawing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vmlDrawing" Target="../drawings/vmlDrawing8.v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9.vml"/><Relationship Id="rId7" Type="http://schemas.openxmlformats.org/officeDocument/2006/relationships/ctrlProp" Target="../ctrlProps/ctrlProp5.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10.vml"/><Relationship Id="rId9"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vmlDrawing" Target="../drawings/vmlDrawing11.vml"/><Relationship Id="rId1" Type="http://schemas.openxmlformats.org/officeDocument/2006/relationships/drawing" Target="../drawings/drawing6.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vmlDrawing" Target="../drawings/vmlDrawing13.vml"/><Relationship Id="rId1" Type="http://schemas.openxmlformats.org/officeDocument/2006/relationships/drawing" Target="../drawings/drawing7.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omments" Target="../comments6.xml"/><Relationship Id="rId5" Type="http://schemas.openxmlformats.org/officeDocument/2006/relationships/vmlDrawing" Target="../drawings/vmlDrawing16.v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vmlDrawing" Target="../drawings/vmlDrawing17.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9.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B1:G10"/>
  <sheetViews>
    <sheetView showGridLines="0" workbookViewId="0"/>
  </sheetViews>
  <sheetFormatPr defaultColWidth="8.875" defaultRowHeight="15.75"/>
  <cols>
    <col min="1" max="1" width="1.875" customWidth="1"/>
    <col min="2" max="2" width="15.625" customWidth="1"/>
    <col min="3" max="3" width="139.5" customWidth="1"/>
    <col min="4" max="4" width="1.875" customWidth="1"/>
    <col min="5" max="5" width="0.625" customWidth="1"/>
    <col min="6" max="6" width="0" hidden="1" customWidth="1"/>
  </cols>
  <sheetData>
    <row r="1" spans="2:7" ht="11.25" customHeight="1"/>
    <row r="2" spans="2:7" ht="22.5" customHeight="1">
      <c r="C2" s="1" t="s">
        <v>6</v>
      </c>
    </row>
    <row r="3" spans="2:7" ht="22.5" customHeight="1">
      <c r="C3" s="3" t="str">
        <f>CONCATENATE("S|A - Estimation Tool v", tool_version_check)</f>
        <v>S|A - Estimation Tool v6.3.4</v>
      </c>
    </row>
    <row r="4" spans="2:7" ht="11.25" customHeight="1"/>
    <row r="5" spans="2:7" ht="40.5" customHeight="1">
      <c r="B5" s="57" t="s">
        <v>0</v>
      </c>
      <c r="C5" s="537" t="s">
        <v>5</v>
      </c>
      <c r="D5" s="538"/>
      <c r="E5" s="539"/>
      <c r="G5" t="str">
        <f>TEXT(,"")</f>
        <v/>
      </c>
    </row>
    <row r="6" spans="2:7" ht="144.75" customHeight="1">
      <c r="B6" s="58" t="s">
        <v>1</v>
      </c>
      <c r="C6" s="540" t="s">
        <v>1285</v>
      </c>
      <c r="D6" s="541"/>
      <c r="E6" s="542"/>
    </row>
    <row r="7" spans="2:7" ht="375" customHeight="1">
      <c r="B7" s="58" t="s">
        <v>816</v>
      </c>
      <c r="C7" s="540" t="s">
        <v>1284</v>
      </c>
      <c r="D7" s="541"/>
      <c r="E7" s="542"/>
    </row>
    <row r="8" spans="2:7" ht="183" customHeight="1">
      <c r="B8" s="58" t="s">
        <v>2</v>
      </c>
      <c r="C8" s="540" t="s">
        <v>1286</v>
      </c>
      <c r="D8" s="541"/>
      <c r="E8" s="542"/>
    </row>
    <row r="9" spans="2:7" ht="53.25" customHeight="1">
      <c r="B9" s="58" t="s">
        <v>3</v>
      </c>
      <c r="C9" s="540" t="s">
        <v>1269</v>
      </c>
      <c r="D9" s="541"/>
      <c r="E9" s="542"/>
    </row>
    <row r="10" spans="2:7" ht="39.75" customHeight="1">
      <c r="B10" s="59" t="s">
        <v>4</v>
      </c>
      <c r="C10" s="534" t="s">
        <v>1176</v>
      </c>
      <c r="D10" s="535"/>
      <c r="E10" s="536"/>
    </row>
  </sheetData>
  <dataConsolidate/>
  <mergeCells count="6">
    <mergeCell ref="C10:E10"/>
    <mergeCell ref="C5:E5"/>
    <mergeCell ref="C6:E6"/>
    <mergeCell ref="C7:E7"/>
    <mergeCell ref="C8:E8"/>
    <mergeCell ref="C9:E9"/>
  </mergeCells>
  <pageMargins left="0.39370078740157499" right="0.39370078740157499" top="0.59055118110236204" bottom="0.59055118110236204" header="0.196850393700787" footer="0.196850393700787"/>
  <pageSetup scale="71" orientation="portrait" r:id="rId1"/>
  <headerFooter>
    <oddFooter>&amp;L&amp;"Calibri,Regular"&amp;9&amp;D&amp;C&amp;9&amp;GSapient Confidential
                &amp;6   Estimation Tool V5.0.0&amp;R&amp;"Calibri,Regular"&amp;9Page &amp;P</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Migration_Procedure">
                <anchor moveWithCells="1" sizeWithCells="1">
                  <from>
                    <xdr:col>2</xdr:col>
                    <xdr:colOff>2819400</xdr:colOff>
                    <xdr:row>1</xdr:row>
                    <xdr:rowOff>66675</xdr:rowOff>
                  </from>
                  <to>
                    <xdr:col>2</xdr:col>
                    <xdr:colOff>4038600</xdr:colOff>
                    <xdr:row>2</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D31"/>
  <sheetViews>
    <sheetView showGridLines="0" workbookViewId="0"/>
  </sheetViews>
  <sheetFormatPr defaultColWidth="8.875" defaultRowHeight="15.75"/>
  <cols>
    <col min="1" max="1" width="1.875" customWidth="1"/>
    <col min="2" max="2" width="30.625" customWidth="1"/>
    <col min="3" max="3" width="33.5" customWidth="1"/>
    <col min="4" max="4" width="26.5" customWidth="1"/>
    <col min="5" max="5" width="14.375" customWidth="1"/>
  </cols>
  <sheetData>
    <row r="1" spans="1:4" ht="49.5" customHeight="1">
      <c r="A1" s="4"/>
      <c r="B1" s="272" t="s">
        <v>7</v>
      </c>
      <c r="C1" s="273" t="str">
        <f>CONCATENATE(project_name, " | ", IF(LEN(project_phase)&gt;0,project_phase &amp; " ",""),"Estimation")</f>
        <v>PG&amp;E - CRs | Estimation</v>
      </c>
    </row>
    <row r="2" spans="1:4" ht="8.25" customHeight="1">
      <c r="C2" s="1"/>
    </row>
    <row r="3" spans="1:4" ht="15.75" customHeight="1">
      <c r="B3" s="54" t="s">
        <v>8</v>
      </c>
      <c r="C3" s="253" t="s">
        <v>1970</v>
      </c>
    </row>
    <row r="4" spans="1:4" ht="15.75" customHeight="1">
      <c r="B4" s="55" t="s">
        <v>9</v>
      </c>
      <c r="C4" s="254"/>
    </row>
    <row r="5" spans="1:4" ht="15.75" customHeight="1">
      <c r="B5" s="55" t="s">
        <v>26</v>
      </c>
      <c r="C5" s="254"/>
    </row>
    <row r="6" spans="1:4" ht="15.75" customHeight="1">
      <c r="B6" s="55" t="s">
        <v>10</v>
      </c>
      <c r="C6" s="254" t="s">
        <v>1175</v>
      </c>
    </row>
    <row r="7" spans="1:4" ht="15.75" customHeight="1">
      <c r="B7" s="56" t="s">
        <v>11</v>
      </c>
      <c r="C7" s="255"/>
    </row>
    <row r="8" spans="1:4" ht="25.5" customHeight="1">
      <c r="B8" s="4" t="s">
        <v>1188</v>
      </c>
    </row>
    <row r="9" spans="1:4">
      <c r="B9" s="343" t="s">
        <v>29</v>
      </c>
      <c r="C9" s="344" t="s">
        <v>1177</v>
      </c>
      <c r="D9" s="345" t="s">
        <v>532</v>
      </c>
    </row>
    <row r="10" spans="1:4">
      <c r="B10" s="341" t="s">
        <v>1377</v>
      </c>
      <c r="C10" s="342" t="s">
        <v>1384</v>
      </c>
      <c r="D10" s="334"/>
    </row>
    <row r="11" spans="1:4">
      <c r="B11" s="341" t="s">
        <v>1381</v>
      </c>
      <c r="C11" s="342" t="s">
        <v>1385</v>
      </c>
      <c r="D11" s="334"/>
    </row>
    <row r="12" spans="1:4">
      <c r="B12" s="334" t="s">
        <v>1378</v>
      </c>
      <c r="C12" s="335" t="s">
        <v>1386</v>
      </c>
      <c r="D12" s="334"/>
    </row>
    <row r="13" spans="1:4">
      <c r="B13" s="334" t="s">
        <v>1379</v>
      </c>
      <c r="C13" s="335" t="s">
        <v>1522</v>
      </c>
      <c r="D13" s="334"/>
    </row>
    <row r="14" spans="1:4">
      <c r="B14" s="334" t="s">
        <v>1382</v>
      </c>
      <c r="C14" s="335" t="s">
        <v>1521</v>
      </c>
      <c r="D14" s="334"/>
    </row>
    <row r="15" spans="1:4">
      <c r="B15" s="334" t="s">
        <v>1388</v>
      </c>
      <c r="C15" s="335" t="s">
        <v>1483</v>
      </c>
      <c r="D15" s="334"/>
    </row>
    <row r="16" spans="1:4">
      <c r="B16" s="334" t="s">
        <v>1489</v>
      </c>
      <c r="C16" s="334" t="s">
        <v>1842</v>
      </c>
      <c r="D16" s="336"/>
    </row>
    <row r="17" spans="2:4">
      <c r="B17" s="334" t="s">
        <v>1826</v>
      </c>
      <c r="C17" s="335" t="s">
        <v>1843</v>
      </c>
      <c r="D17" s="336"/>
    </row>
    <row r="18" spans="2:4">
      <c r="B18" s="334" t="s">
        <v>1387</v>
      </c>
      <c r="C18" s="335" t="s">
        <v>1849</v>
      </c>
      <c r="D18" s="336"/>
    </row>
    <row r="19" spans="2:4">
      <c r="B19" s="334" t="s">
        <v>1482</v>
      </c>
      <c r="C19" s="335"/>
      <c r="D19" s="336"/>
    </row>
    <row r="20" spans="2:4">
      <c r="B20" s="334" t="s">
        <v>1462</v>
      </c>
      <c r="C20" s="335"/>
      <c r="D20" s="336"/>
    </row>
    <row r="21" spans="2:4">
      <c r="B21" s="334" t="s">
        <v>1487</v>
      </c>
      <c r="C21" s="335"/>
      <c r="D21" s="336"/>
    </row>
    <row r="22" spans="2:4">
      <c r="B22" s="334" t="s">
        <v>1825</v>
      </c>
      <c r="C22" s="335"/>
      <c r="D22" s="336"/>
    </row>
    <row r="23" spans="2:4">
      <c r="B23" s="450" t="s">
        <v>1841</v>
      </c>
      <c r="C23" s="335"/>
      <c r="D23" s="336"/>
    </row>
    <row r="24" spans="2:4">
      <c r="B24" s="334" t="s">
        <v>1842</v>
      </c>
      <c r="C24" s="335"/>
      <c r="D24" s="336"/>
    </row>
    <row r="25" spans="2:4">
      <c r="B25" s="334" t="s">
        <v>1483</v>
      </c>
      <c r="C25" s="335"/>
      <c r="D25" s="336"/>
    </row>
    <row r="26" spans="2:4">
      <c r="B26" s="334" t="s">
        <v>1844</v>
      </c>
      <c r="C26" s="335"/>
      <c r="D26" s="336"/>
    </row>
    <row r="27" spans="2:4">
      <c r="B27" s="334" t="s">
        <v>1845</v>
      </c>
      <c r="C27" s="335"/>
      <c r="D27" s="336"/>
    </row>
    <row r="28" spans="2:4">
      <c r="B28" s="334"/>
      <c r="C28" s="335"/>
      <c r="D28" s="336"/>
    </row>
    <row r="29" spans="2:4">
      <c r="B29" s="334"/>
      <c r="C29" s="335"/>
      <c r="D29" s="336"/>
    </row>
    <row r="30" spans="2:4">
      <c r="B30" s="334"/>
      <c r="C30" s="335"/>
      <c r="D30" s="336"/>
    </row>
    <row r="31" spans="2:4">
      <c r="B31" s="337"/>
      <c r="C31" s="338"/>
      <c r="D31" s="339"/>
    </row>
  </sheetData>
  <dataConsolidate link="1"/>
  <dataValidations disablePrompts="1" count="2">
    <dataValidation type="list" allowBlank="1" showInputMessage="1" showErrorMessage="1" sqref="C7">
      <formula1>list_delivery_types</formula1>
    </dataValidation>
    <dataValidation type="list" allowBlank="1" showInputMessage="1" showErrorMessage="1" sqref="C5">
      <formula1>list_sa_phases</formula1>
    </dataValidation>
  </dataValidations>
  <pageMargins left="0.39370078740157499" right="0.39370078740157499" top="0.59055118110236204" bottom="0.59055118110236204" header="0.196850393700787" footer="0.196850393700787"/>
  <pageSetup scale="97" orientation="portrait"/>
  <headerFooter>
    <oddFooter>&amp;L&amp;"Calibri,Regular"&amp;9&amp;D&amp;C&amp;"Calibri,Regular"&amp;9&amp;GSapient Confidential
          &amp;6Estimation Tool V5.0.0&amp;R&amp;"Calibri,Regular"&amp;9Page &amp;P</oddFooter>
  </headerFooter>
  <drawing r:id="rId1"/>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outlinePr summaryBelow="0"/>
    <pageSetUpPr fitToPage="1"/>
  </sheetPr>
  <dimension ref="A1:M2978"/>
  <sheetViews>
    <sheetView showGridLines="0" zoomScale="90" zoomScaleNormal="90" zoomScalePageLayoutView="90" workbookViewId="0"/>
  </sheetViews>
  <sheetFormatPr defaultColWidth="8.875" defaultRowHeight="15.75" outlineLevelRow="1"/>
  <cols>
    <col min="1" max="1" width="1.875" style="5" customWidth="1"/>
    <col min="2" max="2" width="7.5" customWidth="1"/>
    <col min="3" max="3" width="19" customWidth="1"/>
    <col min="4" max="4" width="52.875" customWidth="1"/>
    <col min="5" max="6" width="6.125" customWidth="1"/>
    <col min="7" max="7" width="25" customWidth="1"/>
    <col min="8" max="8" width="1.875" customWidth="1"/>
    <col min="9" max="9" width="13.875" customWidth="1"/>
    <col min="10" max="10" width="13.5" customWidth="1"/>
    <col min="11" max="11" width="12.125" customWidth="1"/>
    <col min="12" max="13" width="6.625" customWidth="1"/>
    <col min="14" max="14" width="3" customWidth="1"/>
  </cols>
  <sheetData>
    <row r="1" spans="1:13" ht="49.5" customHeight="1">
      <c r="A1" s="4"/>
      <c r="B1" s="272" t="s">
        <v>18</v>
      </c>
      <c r="C1" s="274"/>
      <c r="D1" s="273" t="str">
        <f>project_headline</f>
        <v>PG&amp;E - CRs | Estimation</v>
      </c>
      <c r="E1" s="275"/>
      <c r="I1" s="281" t="s">
        <v>25</v>
      </c>
      <c r="J1" s="376"/>
      <c r="L1" s="376"/>
    </row>
    <row r="2" spans="1:13" ht="8.25" customHeight="1">
      <c r="A2"/>
    </row>
    <row r="3" spans="1:13" ht="15.75" customHeight="1">
      <c r="A3" s="374" t="s">
        <v>56</v>
      </c>
      <c r="B3" s="4"/>
      <c r="C3" s="547" t="s">
        <v>20</v>
      </c>
      <c r="D3" s="548"/>
      <c r="E3" s="60" t="s">
        <v>21</v>
      </c>
      <c r="F3" s="60" t="s">
        <v>22</v>
      </c>
      <c r="G3" s="61" t="s">
        <v>23</v>
      </c>
      <c r="I3" s="547" t="s">
        <v>20</v>
      </c>
      <c r="J3" s="577"/>
      <c r="K3" s="548"/>
      <c r="L3" s="63" t="s">
        <v>21</v>
      </c>
      <c r="M3" s="61" t="s">
        <v>22</v>
      </c>
    </row>
    <row r="4" spans="1:13" ht="15.75" customHeight="1">
      <c r="A4" s="372"/>
      <c r="B4" s="369"/>
      <c r="C4" s="549" t="s">
        <v>1380</v>
      </c>
      <c r="D4" s="550"/>
      <c r="E4" s="62">
        <f>SUM(E5:E19)</f>
        <v>2</v>
      </c>
      <c r="F4" s="62">
        <f>SUM(F5:F19)</f>
        <v>4</v>
      </c>
      <c r="G4" s="551" t="s">
        <v>1383</v>
      </c>
      <c r="I4" s="578" t="s">
        <v>17</v>
      </c>
      <c r="J4" s="579" t="s">
        <v>66</v>
      </c>
      <c r="K4" s="580" t="s">
        <v>66</v>
      </c>
      <c r="L4" s="53"/>
      <c r="M4" s="52"/>
    </row>
    <row r="5" spans="1:13" ht="15.75" customHeight="1" outlineLevel="1">
      <c r="A5" s="372"/>
      <c r="B5" s="370">
        <v>1</v>
      </c>
      <c r="C5" s="553"/>
      <c r="D5" s="554"/>
      <c r="E5" s="49">
        <v>2</v>
      </c>
      <c r="F5" s="49">
        <v>4</v>
      </c>
      <c r="G5" s="551"/>
      <c r="I5" s="543" t="s">
        <v>1380</v>
      </c>
      <c r="J5" s="544"/>
      <c r="K5" s="544"/>
      <c r="L5" s="467">
        <f t="shared" ref="L5:L36" si="0">VLOOKUP(I5,tasks_metrics_observation_area,3,FALSE)</f>
        <v>2</v>
      </c>
      <c r="M5" s="403">
        <f t="shared" ref="M5:M36" si="1">VLOOKUP(I5,tasks_metrics_observation_area,4,FALSE)</f>
        <v>4</v>
      </c>
    </row>
    <row r="6" spans="1:13" ht="15.75" customHeight="1" outlineLevel="1">
      <c r="A6" s="372"/>
      <c r="B6" s="370">
        <v>2</v>
      </c>
      <c r="C6" s="553"/>
      <c r="D6" s="554"/>
      <c r="E6" s="49"/>
      <c r="F6" s="49"/>
      <c r="G6" s="551"/>
      <c r="I6" s="545" t="s">
        <v>1394</v>
      </c>
      <c r="J6" s="546"/>
      <c r="K6" s="546"/>
      <c r="L6" s="465">
        <f t="shared" si="0"/>
        <v>1.125</v>
      </c>
      <c r="M6" s="407">
        <f t="shared" si="1"/>
        <v>2.25</v>
      </c>
    </row>
    <row r="7" spans="1:13" ht="15.75" customHeight="1" outlineLevel="1">
      <c r="A7" s="372"/>
      <c r="B7" s="370">
        <v>3</v>
      </c>
      <c r="C7" s="553"/>
      <c r="D7" s="554"/>
      <c r="E7" s="49"/>
      <c r="F7" s="49"/>
      <c r="G7" s="551"/>
      <c r="I7" s="545" t="s">
        <v>1395</v>
      </c>
      <c r="J7" s="546"/>
      <c r="K7" s="546"/>
      <c r="L7" s="465">
        <f t="shared" si="0"/>
        <v>0.45</v>
      </c>
      <c r="M7" s="407">
        <f t="shared" si="1"/>
        <v>0.55000000000000004</v>
      </c>
    </row>
    <row r="8" spans="1:13" ht="15.75" customHeight="1" outlineLevel="1">
      <c r="A8" s="372"/>
      <c r="B8" s="370">
        <v>4</v>
      </c>
      <c r="C8" s="553"/>
      <c r="D8" s="554"/>
      <c r="E8" s="50"/>
      <c r="F8" s="50"/>
      <c r="G8" s="551"/>
      <c r="I8" s="545" t="s">
        <v>1400</v>
      </c>
      <c r="J8" s="546"/>
      <c r="K8" s="546"/>
      <c r="L8" s="465">
        <f t="shared" si="0"/>
        <v>5.5</v>
      </c>
      <c r="M8" s="407">
        <f t="shared" si="1"/>
        <v>11.5</v>
      </c>
    </row>
    <row r="9" spans="1:13" ht="15.75" customHeight="1" outlineLevel="1">
      <c r="A9" s="372"/>
      <c r="B9" s="370">
        <v>5</v>
      </c>
      <c r="C9" s="553"/>
      <c r="D9" s="554"/>
      <c r="E9" s="49"/>
      <c r="F9" s="49"/>
      <c r="G9" s="551"/>
      <c r="I9" s="545" t="s">
        <v>1410</v>
      </c>
      <c r="J9" s="546"/>
      <c r="K9" s="546"/>
      <c r="L9" s="465">
        <f t="shared" si="0"/>
        <v>6.1499999999999995</v>
      </c>
      <c r="M9" s="407">
        <f t="shared" si="1"/>
        <v>10.799999999999999</v>
      </c>
    </row>
    <row r="10" spans="1:13" ht="15.75" customHeight="1" outlineLevel="1">
      <c r="A10" s="372"/>
      <c r="B10" s="370">
        <v>6</v>
      </c>
      <c r="C10" s="553"/>
      <c r="D10" s="554"/>
      <c r="E10" s="49"/>
      <c r="F10" s="49"/>
      <c r="G10" s="551"/>
      <c r="I10" s="545" t="s">
        <v>1415</v>
      </c>
      <c r="J10" s="546"/>
      <c r="K10" s="546"/>
      <c r="L10" s="465">
        <f t="shared" si="0"/>
        <v>2.9000000000000004</v>
      </c>
      <c r="M10" s="407">
        <f t="shared" si="1"/>
        <v>4.8000000000000007</v>
      </c>
    </row>
    <row r="11" spans="1:13" ht="15.75" customHeight="1" outlineLevel="1">
      <c r="A11" s="372"/>
      <c r="B11" s="370">
        <v>7</v>
      </c>
      <c r="C11" s="553"/>
      <c r="D11" s="554"/>
      <c r="E11" s="49"/>
      <c r="F11" s="49"/>
      <c r="G11" s="551"/>
      <c r="I11" s="545" t="s">
        <v>1427</v>
      </c>
      <c r="J11" s="546"/>
      <c r="K11" s="546"/>
      <c r="L11" s="465">
        <f t="shared" si="0"/>
        <v>0.57499999999999996</v>
      </c>
      <c r="M11" s="407">
        <f t="shared" si="1"/>
        <v>0.85</v>
      </c>
    </row>
    <row r="12" spans="1:13" ht="15.75" customHeight="1" outlineLevel="1">
      <c r="A12" s="372"/>
      <c r="B12" s="370">
        <v>8</v>
      </c>
      <c r="C12" s="553"/>
      <c r="D12" s="554"/>
      <c r="E12" s="49"/>
      <c r="F12" s="49"/>
      <c r="G12" s="551"/>
      <c r="I12" s="545" t="s">
        <v>1419</v>
      </c>
      <c r="J12" s="546"/>
      <c r="K12" s="546"/>
      <c r="L12" s="465">
        <f t="shared" si="0"/>
        <v>0.77500000000000002</v>
      </c>
      <c r="M12" s="407">
        <f t="shared" si="1"/>
        <v>1.1000000000000001</v>
      </c>
    </row>
    <row r="13" spans="1:13" ht="15.75" customHeight="1" outlineLevel="1">
      <c r="A13" s="372"/>
      <c r="B13" s="370">
        <v>9</v>
      </c>
      <c r="C13" s="553"/>
      <c r="D13" s="554"/>
      <c r="E13" s="49"/>
      <c r="F13" s="49"/>
      <c r="G13" s="551"/>
      <c r="I13" s="545" t="s">
        <v>1426</v>
      </c>
      <c r="J13" s="546"/>
      <c r="K13" s="546"/>
      <c r="L13" s="465">
        <f t="shared" si="0"/>
        <v>1.7250000000000001</v>
      </c>
      <c r="M13" s="407">
        <f t="shared" si="1"/>
        <v>2.375</v>
      </c>
    </row>
    <row r="14" spans="1:13" ht="15.75" customHeight="1" outlineLevel="1">
      <c r="A14" s="372"/>
      <c r="B14" s="370">
        <v>10</v>
      </c>
      <c r="C14" s="553"/>
      <c r="D14" s="554"/>
      <c r="E14" s="49"/>
      <c r="F14" s="49"/>
      <c r="G14" s="551"/>
      <c r="I14" s="545" t="s">
        <v>1445</v>
      </c>
      <c r="J14" s="546"/>
      <c r="K14" s="546"/>
      <c r="L14" s="465">
        <f t="shared" si="0"/>
        <v>4.8499999999999996</v>
      </c>
      <c r="M14" s="407">
        <f t="shared" si="1"/>
        <v>8.1</v>
      </c>
    </row>
    <row r="15" spans="1:13" ht="15.75" customHeight="1" outlineLevel="1">
      <c r="A15" s="372"/>
      <c r="B15" s="370">
        <v>11</v>
      </c>
      <c r="C15" s="553"/>
      <c r="D15" s="554"/>
      <c r="E15" s="49"/>
      <c r="F15" s="49"/>
      <c r="G15" s="551"/>
      <c r="I15" s="545" t="s">
        <v>1430</v>
      </c>
      <c r="J15" s="546"/>
      <c r="K15" s="546"/>
      <c r="L15" s="465">
        <f t="shared" si="0"/>
        <v>0.70000000000000007</v>
      </c>
      <c r="M15" s="407">
        <f t="shared" si="1"/>
        <v>0.95000000000000007</v>
      </c>
    </row>
    <row r="16" spans="1:13" ht="15.75" customHeight="1" outlineLevel="1">
      <c r="A16" s="372"/>
      <c r="B16" s="370">
        <v>12</v>
      </c>
      <c r="C16" s="553"/>
      <c r="D16" s="554"/>
      <c r="E16" s="49"/>
      <c r="F16" s="49"/>
      <c r="G16" s="551"/>
      <c r="I16" s="545" t="s">
        <v>1448</v>
      </c>
      <c r="J16" s="546"/>
      <c r="K16" s="546"/>
      <c r="L16" s="465">
        <f t="shared" si="0"/>
        <v>1.7000000000000002</v>
      </c>
      <c r="M16" s="407">
        <f t="shared" si="1"/>
        <v>2.4000000000000004</v>
      </c>
    </row>
    <row r="17" spans="1:13" ht="15.75" customHeight="1" outlineLevel="1">
      <c r="A17" s="372"/>
      <c r="B17" s="370">
        <v>13</v>
      </c>
      <c r="C17" s="553"/>
      <c r="D17" s="554"/>
      <c r="E17" s="49"/>
      <c r="F17" s="49"/>
      <c r="G17" s="551"/>
      <c r="I17" s="545" t="s">
        <v>1450</v>
      </c>
      <c r="J17" s="546"/>
      <c r="K17" s="546"/>
      <c r="L17" s="465">
        <f t="shared" si="0"/>
        <v>2.6</v>
      </c>
      <c r="M17" s="407">
        <f t="shared" si="1"/>
        <v>3.1</v>
      </c>
    </row>
    <row r="18" spans="1:13" ht="15.75" customHeight="1" outlineLevel="1">
      <c r="A18" s="372"/>
      <c r="B18" s="370">
        <v>14</v>
      </c>
      <c r="C18" s="553"/>
      <c r="D18" s="554"/>
      <c r="E18" s="49"/>
      <c r="F18" s="49"/>
      <c r="G18" s="551"/>
      <c r="I18" s="545" t="s">
        <v>1458</v>
      </c>
      <c r="J18" s="546"/>
      <c r="K18" s="546"/>
      <c r="L18" s="465">
        <f t="shared" si="0"/>
        <v>4.1499999999999995</v>
      </c>
      <c r="M18" s="407">
        <f t="shared" si="1"/>
        <v>10.5</v>
      </c>
    </row>
    <row r="19" spans="1:13" ht="15.75" customHeight="1" outlineLevel="1">
      <c r="A19" s="373"/>
      <c r="B19" s="371">
        <v>15</v>
      </c>
      <c r="C19" s="555"/>
      <c r="D19" s="556"/>
      <c r="E19" s="51"/>
      <c r="F19" s="51"/>
      <c r="G19" s="552"/>
      <c r="I19" s="545" t="s">
        <v>1498</v>
      </c>
      <c r="J19" s="546"/>
      <c r="K19" s="546"/>
      <c r="L19" s="465">
        <f t="shared" si="0"/>
        <v>5</v>
      </c>
      <c r="M19" s="407">
        <f t="shared" si="1"/>
        <v>5</v>
      </c>
    </row>
    <row r="20" spans="1:13">
      <c r="A20" s="368"/>
      <c r="I20" s="545" t="s">
        <v>1460</v>
      </c>
      <c r="J20" s="546"/>
      <c r="K20" s="546"/>
      <c r="L20" s="465">
        <f t="shared" si="0"/>
        <v>6</v>
      </c>
      <c r="M20" s="407">
        <f t="shared" si="1"/>
        <v>8</v>
      </c>
    </row>
    <row r="21" spans="1:13">
      <c r="A21" s="392" t="s">
        <v>56</v>
      </c>
      <c r="B21" s="4"/>
      <c r="C21" s="547" t="s">
        <v>20</v>
      </c>
      <c r="D21" s="548"/>
      <c r="E21" s="401" t="s">
        <v>21</v>
      </c>
      <c r="F21" s="401" t="s">
        <v>22</v>
      </c>
      <c r="G21" s="61" t="s">
        <v>23</v>
      </c>
      <c r="I21" s="545" t="s">
        <v>1461</v>
      </c>
      <c r="J21" s="546"/>
      <c r="K21" s="546"/>
      <c r="L21" s="465">
        <f t="shared" si="0"/>
        <v>5</v>
      </c>
      <c r="M21" s="407">
        <f t="shared" si="1"/>
        <v>5</v>
      </c>
    </row>
    <row r="22" spans="1:13">
      <c r="A22" s="393"/>
      <c r="B22" s="369"/>
      <c r="C22" s="549" t="s">
        <v>1394</v>
      </c>
      <c r="D22" s="550"/>
      <c r="E22" s="62">
        <f>SUM(E23:E37)</f>
        <v>1.125</v>
      </c>
      <c r="F22" s="62">
        <f>SUM(F23:F37)</f>
        <v>2.25</v>
      </c>
      <c r="G22" s="557" t="s">
        <v>1393</v>
      </c>
      <c r="I22" s="545" t="s">
        <v>1463</v>
      </c>
      <c r="J22" s="546"/>
      <c r="K22" s="546"/>
      <c r="L22" s="465">
        <f t="shared" si="0"/>
        <v>20.5</v>
      </c>
      <c r="M22" s="407">
        <f t="shared" si="1"/>
        <v>22.15</v>
      </c>
    </row>
    <row r="23" spans="1:13" outlineLevel="1">
      <c r="A23" s="393"/>
      <c r="B23" s="370">
        <v>1</v>
      </c>
      <c r="C23" s="560" t="s">
        <v>1389</v>
      </c>
      <c r="D23" s="560"/>
      <c r="E23" s="405">
        <v>0.5</v>
      </c>
      <c r="F23" s="406">
        <v>1</v>
      </c>
      <c r="G23" s="558"/>
      <c r="I23" s="545" t="s">
        <v>1471</v>
      </c>
      <c r="J23" s="546"/>
      <c r="K23" s="546"/>
      <c r="L23" s="465">
        <f t="shared" si="0"/>
        <v>1.4000000000000001</v>
      </c>
      <c r="M23" s="407">
        <f t="shared" si="1"/>
        <v>1.5000000000000002</v>
      </c>
    </row>
    <row r="24" spans="1:13" outlineLevel="1">
      <c r="A24" s="393"/>
      <c r="B24" s="370">
        <v>2</v>
      </c>
      <c r="C24" s="560" t="s">
        <v>1390</v>
      </c>
      <c r="D24" s="560"/>
      <c r="E24" s="405">
        <v>0.125</v>
      </c>
      <c r="F24" s="406">
        <v>0.25</v>
      </c>
      <c r="G24" s="558"/>
      <c r="I24" s="545" t="s">
        <v>1479</v>
      </c>
      <c r="J24" s="546"/>
      <c r="K24" s="546"/>
      <c r="L24" s="465">
        <f t="shared" si="0"/>
        <v>2.85</v>
      </c>
      <c r="M24" s="407">
        <f t="shared" si="1"/>
        <v>3</v>
      </c>
    </row>
    <row r="25" spans="1:13" outlineLevel="1">
      <c r="A25" s="393"/>
      <c r="B25" s="370">
        <v>3</v>
      </c>
      <c r="C25" s="560" t="s">
        <v>1391</v>
      </c>
      <c r="D25" s="560"/>
      <c r="E25" s="405">
        <v>0.25</v>
      </c>
      <c r="F25" s="406">
        <v>0.5</v>
      </c>
      <c r="G25" s="558"/>
      <c r="I25" s="545" t="s">
        <v>1480</v>
      </c>
      <c r="J25" s="546"/>
      <c r="K25" s="546"/>
      <c r="L25" s="465">
        <f t="shared" si="0"/>
        <v>5.0999999999999996</v>
      </c>
      <c r="M25" s="407">
        <f t="shared" si="1"/>
        <v>5.25</v>
      </c>
    </row>
    <row r="26" spans="1:13" outlineLevel="1">
      <c r="A26" s="393"/>
      <c r="B26" s="370">
        <v>4</v>
      </c>
      <c r="C26" s="560" t="s">
        <v>1392</v>
      </c>
      <c r="D26" s="560"/>
      <c r="E26" s="405">
        <v>0.25</v>
      </c>
      <c r="F26" s="406">
        <v>0.5</v>
      </c>
      <c r="G26" s="558"/>
      <c r="I26" s="545" t="s">
        <v>1493</v>
      </c>
      <c r="J26" s="546"/>
      <c r="K26" s="546"/>
      <c r="L26" s="465">
        <f t="shared" si="0"/>
        <v>10</v>
      </c>
      <c r="M26" s="407">
        <f t="shared" si="1"/>
        <v>10</v>
      </c>
    </row>
    <row r="27" spans="1:13" outlineLevel="1">
      <c r="A27" s="393"/>
      <c r="B27" s="370">
        <v>5</v>
      </c>
      <c r="C27" s="553"/>
      <c r="D27" s="554"/>
      <c r="E27" s="49"/>
      <c r="F27" s="49"/>
      <c r="G27" s="558"/>
      <c r="I27" s="545" t="s">
        <v>1484</v>
      </c>
      <c r="J27" s="546"/>
      <c r="K27" s="546"/>
      <c r="L27" s="465">
        <f t="shared" si="0"/>
        <v>7</v>
      </c>
      <c r="M27" s="407">
        <f t="shared" si="1"/>
        <v>9</v>
      </c>
    </row>
    <row r="28" spans="1:13" outlineLevel="1">
      <c r="A28" s="393"/>
      <c r="B28" s="370">
        <v>6</v>
      </c>
      <c r="C28" s="553"/>
      <c r="D28" s="554"/>
      <c r="E28" s="49"/>
      <c r="F28" s="49"/>
      <c r="G28" s="558"/>
      <c r="I28" s="545" t="s">
        <v>1495</v>
      </c>
      <c r="J28" s="546"/>
      <c r="K28" s="546"/>
      <c r="L28" s="465">
        <f t="shared" si="0"/>
        <v>10</v>
      </c>
      <c r="M28" s="407">
        <f t="shared" si="1"/>
        <v>10</v>
      </c>
    </row>
    <row r="29" spans="1:13" outlineLevel="1">
      <c r="A29" s="393"/>
      <c r="B29" s="370">
        <v>7</v>
      </c>
      <c r="C29" s="553"/>
      <c r="D29" s="554"/>
      <c r="E29" s="49"/>
      <c r="F29" s="49"/>
      <c r="G29" s="558"/>
      <c r="I29" s="545" t="s">
        <v>1486</v>
      </c>
      <c r="J29" s="546"/>
      <c r="K29" s="546"/>
      <c r="L29" s="465">
        <f t="shared" si="0"/>
        <v>8</v>
      </c>
      <c r="M29" s="407">
        <f t="shared" si="1"/>
        <v>10</v>
      </c>
    </row>
    <row r="30" spans="1:13" outlineLevel="1">
      <c r="A30" s="393"/>
      <c r="B30" s="370">
        <v>8</v>
      </c>
      <c r="C30" s="553"/>
      <c r="D30" s="554"/>
      <c r="E30" s="49"/>
      <c r="F30" s="49"/>
      <c r="G30" s="558"/>
      <c r="I30" s="545" t="s">
        <v>1496</v>
      </c>
      <c r="J30" s="546"/>
      <c r="K30" s="546"/>
      <c r="L30" s="465">
        <f t="shared" si="0"/>
        <v>10</v>
      </c>
      <c r="M30" s="407">
        <f t="shared" si="1"/>
        <v>10</v>
      </c>
    </row>
    <row r="31" spans="1:13" outlineLevel="1">
      <c r="A31" s="393"/>
      <c r="B31" s="370">
        <v>9</v>
      </c>
      <c r="C31" s="553"/>
      <c r="D31" s="554"/>
      <c r="E31" s="49"/>
      <c r="F31" s="49"/>
      <c r="G31" s="558"/>
      <c r="I31" s="545" t="s">
        <v>1488</v>
      </c>
      <c r="J31" s="546"/>
      <c r="K31" s="546"/>
      <c r="L31" s="465">
        <f t="shared" si="0"/>
        <v>5</v>
      </c>
      <c r="M31" s="407">
        <f t="shared" si="1"/>
        <v>5</v>
      </c>
    </row>
    <row r="32" spans="1:13" outlineLevel="1">
      <c r="A32" s="393"/>
      <c r="B32" s="370">
        <v>10</v>
      </c>
      <c r="C32" s="553"/>
      <c r="D32" s="554"/>
      <c r="E32" s="49"/>
      <c r="F32" s="49"/>
      <c r="G32" s="558"/>
      <c r="I32" s="545" t="s">
        <v>1500</v>
      </c>
      <c r="J32" s="546"/>
      <c r="K32" s="546"/>
      <c r="L32" s="465">
        <f t="shared" si="0"/>
        <v>25</v>
      </c>
      <c r="M32" s="407">
        <f t="shared" si="1"/>
        <v>25</v>
      </c>
    </row>
    <row r="33" spans="1:13" outlineLevel="1">
      <c r="A33" s="393"/>
      <c r="B33" s="370">
        <v>11</v>
      </c>
      <c r="C33" s="553"/>
      <c r="D33" s="554"/>
      <c r="E33" s="49"/>
      <c r="F33" s="49"/>
      <c r="G33" s="558"/>
      <c r="I33" s="545" t="s">
        <v>1490</v>
      </c>
      <c r="J33" s="546"/>
      <c r="K33" s="546"/>
      <c r="L33" s="465">
        <f t="shared" si="0"/>
        <v>5</v>
      </c>
      <c r="M33" s="407">
        <f t="shared" si="1"/>
        <v>5</v>
      </c>
    </row>
    <row r="34" spans="1:13" outlineLevel="1">
      <c r="A34" s="393"/>
      <c r="B34" s="370">
        <v>12</v>
      </c>
      <c r="C34" s="553"/>
      <c r="D34" s="554"/>
      <c r="E34" s="49"/>
      <c r="F34" s="49"/>
      <c r="G34" s="558"/>
      <c r="I34" s="545" t="s">
        <v>1491</v>
      </c>
      <c r="J34" s="546"/>
      <c r="K34" s="546"/>
      <c r="L34" s="465">
        <f t="shared" si="0"/>
        <v>5</v>
      </c>
      <c r="M34" s="407">
        <f t="shared" si="1"/>
        <v>5</v>
      </c>
    </row>
    <row r="35" spans="1:13" outlineLevel="1">
      <c r="A35" s="393"/>
      <c r="B35" s="370">
        <v>13</v>
      </c>
      <c r="C35" s="553"/>
      <c r="D35" s="554"/>
      <c r="E35" s="49"/>
      <c r="F35" s="49"/>
      <c r="G35" s="558"/>
      <c r="I35" s="545" t="s">
        <v>1494</v>
      </c>
      <c r="J35" s="546"/>
      <c r="K35" s="546"/>
      <c r="L35" s="465">
        <f t="shared" si="0"/>
        <v>5</v>
      </c>
      <c r="M35" s="407">
        <f t="shared" si="1"/>
        <v>5</v>
      </c>
    </row>
    <row r="36" spans="1:13" outlineLevel="1">
      <c r="A36" s="393"/>
      <c r="B36" s="370">
        <v>14</v>
      </c>
      <c r="C36" s="553"/>
      <c r="D36" s="554"/>
      <c r="E36" s="49"/>
      <c r="F36" s="49"/>
      <c r="G36" s="558"/>
      <c r="I36" s="545" t="s">
        <v>1499</v>
      </c>
      <c r="J36" s="546"/>
      <c r="K36" s="546"/>
      <c r="L36" s="465">
        <f t="shared" si="0"/>
        <v>3.5</v>
      </c>
      <c r="M36" s="407">
        <f t="shared" si="1"/>
        <v>3.5</v>
      </c>
    </row>
    <row r="37" spans="1:13" outlineLevel="1">
      <c r="A37" s="394"/>
      <c r="B37" s="371">
        <v>15</v>
      </c>
      <c r="C37" s="555"/>
      <c r="D37" s="556"/>
      <c r="E37" s="51"/>
      <c r="F37" s="51"/>
      <c r="G37" s="559"/>
      <c r="I37" s="545" t="s">
        <v>1501</v>
      </c>
      <c r="J37" s="546"/>
      <c r="K37" s="546"/>
      <c r="L37" s="465">
        <f t="shared" ref="L37:L68" si="2">VLOOKUP(I37,tasks_metrics_observation_area,3,FALSE)</f>
        <v>5</v>
      </c>
      <c r="M37" s="407">
        <f t="shared" ref="M37:M68" si="3">VLOOKUP(I37,tasks_metrics_observation_area,4,FALSE)</f>
        <v>5</v>
      </c>
    </row>
    <row r="38" spans="1:13">
      <c r="A38" s="368"/>
      <c r="I38" s="545" t="s">
        <v>1516</v>
      </c>
      <c r="J38" s="546"/>
      <c r="K38" s="546"/>
      <c r="L38" s="465">
        <f t="shared" si="2"/>
        <v>1</v>
      </c>
      <c r="M38" s="407">
        <f t="shared" si="3"/>
        <v>1</v>
      </c>
    </row>
    <row r="39" spans="1:13">
      <c r="A39" s="392" t="s">
        <v>56</v>
      </c>
      <c r="B39" s="4"/>
      <c r="C39" s="547" t="s">
        <v>20</v>
      </c>
      <c r="D39" s="548"/>
      <c r="E39" s="402" t="s">
        <v>21</v>
      </c>
      <c r="F39" s="402" t="s">
        <v>22</v>
      </c>
      <c r="G39" s="61" t="s">
        <v>23</v>
      </c>
      <c r="I39" s="545" t="s">
        <v>1503</v>
      </c>
      <c r="J39" s="546"/>
      <c r="K39" s="546"/>
      <c r="L39" s="465">
        <f t="shared" si="2"/>
        <v>0.5</v>
      </c>
      <c r="M39" s="407">
        <f t="shared" si="3"/>
        <v>0.5</v>
      </c>
    </row>
    <row r="40" spans="1:13">
      <c r="A40" s="393"/>
      <c r="B40" s="369"/>
      <c r="C40" s="549" t="s">
        <v>1395</v>
      </c>
      <c r="D40" s="550"/>
      <c r="E40" s="62">
        <f>SUM(E41:E55)</f>
        <v>0.45</v>
      </c>
      <c r="F40" s="62">
        <f>SUM(F41:F55)</f>
        <v>0.55000000000000004</v>
      </c>
      <c r="G40" s="557" t="s">
        <v>1399</v>
      </c>
      <c r="I40" s="545" t="s">
        <v>1504</v>
      </c>
      <c r="J40" s="546"/>
      <c r="K40" s="546"/>
      <c r="L40" s="465">
        <f t="shared" si="2"/>
        <v>5</v>
      </c>
      <c r="M40" s="407">
        <f t="shared" si="3"/>
        <v>5</v>
      </c>
    </row>
    <row r="41" spans="1:13" outlineLevel="1">
      <c r="A41" s="393"/>
      <c r="B41" s="370">
        <v>1</v>
      </c>
      <c r="C41" s="560" t="s">
        <v>1396</v>
      </c>
      <c r="D41" s="560"/>
      <c r="E41" s="405">
        <v>0.05</v>
      </c>
      <c r="F41" s="406">
        <v>0.05</v>
      </c>
      <c r="G41" s="558"/>
      <c r="I41" s="545" t="s">
        <v>1505</v>
      </c>
      <c r="J41" s="546"/>
      <c r="K41" s="546"/>
      <c r="L41" s="465">
        <f t="shared" si="2"/>
        <v>0.5</v>
      </c>
      <c r="M41" s="407">
        <f t="shared" si="3"/>
        <v>0.5</v>
      </c>
    </row>
    <row r="42" spans="1:13" outlineLevel="1">
      <c r="A42" s="393"/>
      <c r="B42" s="370">
        <v>2</v>
      </c>
      <c r="C42" s="560" t="s">
        <v>1397</v>
      </c>
      <c r="D42" s="560"/>
      <c r="E42" s="405">
        <v>0.2</v>
      </c>
      <c r="F42" s="406">
        <v>0.25</v>
      </c>
      <c r="G42" s="558"/>
      <c r="I42" s="545" t="s">
        <v>1510</v>
      </c>
      <c r="J42" s="546"/>
      <c r="K42" s="546"/>
      <c r="L42" s="465">
        <f t="shared" si="2"/>
        <v>1</v>
      </c>
      <c r="M42" s="407">
        <f t="shared" si="3"/>
        <v>1</v>
      </c>
    </row>
    <row r="43" spans="1:13" outlineLevel="1">
      <c r="A43" s="393"/>
      <c r="B43" s="370">
        <v>3</v>
      </c>
      <c r="C43" s="560" t="s">
        <v>1398</v>
      </c>
      <c r="D43" s="560"/>
      <c r="E43" s="405">
        <v>0.2</v>
      </c>
      <c r="F43" s="406">
        <v>0.25</v>
      </c>
      <c r="G43" s="558"/>
      <c r="I43" s="545" t="s">
        <v>1511</v>
      </c>
      <c r="J43" s="546"/>
      <c r="K43" s="546"/>
      <c r="L43" s="465">
        <f t="shared" si="2"/>
        <v>1</v>
      </c>
      <c r="M43" s="407">
        <f t="shared" si="3"/>
        <v>1</v>
      </c>
    </row>
    <row r="44" spans="1:13" outlineLevel="1">
      <c r="A44" s="393"/>
      <c r="B44" s="370">
        <v>4</v>
      </c>
      <c r="C44" s="553"/>
      <c r="D44" s="554"/>
      <c r="E44" s="50"/>
      <c r="F44" s="50"/>
      <c r="G44" s="558"/>
      <c r="I44" s="545" t="s">
        <v>1517</v>
      </c>
      <c r="J44" s="546"/>
      <c r="K44" s="546"/>
      <c r="L44" s="465">
        <f t="shared" si="2"/>
        <v>1</v>
      </c>
      <c r="M44" s="407">
        <f t="shared" si="3"/>
        <v>1</v>
      </c>
    </row>
    <row r="45" spans="1:13" outlineLevel="1">
      <c r="A45" s="393"/>
      <c r="B45" s="370">
        <v>5</v>
      </c>
      <c r="C45" s="553"/>
      <c r="D45" s="554"/>
      <c r="E45" s="49"/>
      <c r="F45" s="49"/>
      <c r="G45" s="558"/>
      <c r="I45" s="545" t="s">
        <v>1523</v>
      </c>
      <c r="J45" s="546"/>
      <c r="K45" s="546"/>
      <c r="L45" s="465">
        <f t="shared" si="2"/>
        <v>1.05</v>
      </c>
      <c r="M45" s="407">
        <f t="shared" si="3"/>
        <v>1.6500000000000004</v>
      </c>
    </row>
    <row r="46" spans="1:13" outlineLevel="1">
      <c r="A46" s="393"/>
      <c r="B46" s="370">
        <v>6</v>
      </c>
      <c r="C46" s="553"/>
      <c r="D46" s="554"/>
      <c r="E46" s="49"/>
      <c r="F46" s="49"/>
      <c r="G46" s="558"/>
      <c r="I46" s="545" t="s">
        <v>1533</v>
      </c>
      <c r="J46" s="546"/>
      <c r="K46" s="546"/>
      <c r="L46" s="465">
        <f t="shared" si="2"/>
        <v>2.35</v>
      </c>
      <c r="M46" s="407">
        <f t="shared" si="3"/>
        <v>3.7</v>
      </c>
    </row>
    <row r="47" spans="1:13" outlineLevel="1">
      <c r="A47" s="393"/>
      <c r="B47" s="370">
        <v>7</v>
      </c>
      <c r="C47" s="553"/>
      <c r="D47" s="554"/>
      <c r="E47" s="49"/>
      <c r="F47" s="49"/>
      <c r="G47" s="558"/>
      <c r="I47" s="545" t="s">
        <v>1536</v>
      </c>
      <c r="J47" s="546"/>
      <c r="K47" s="546"/>
      <c r="L47" s="465">
        <f t="shared" si="2"/>
        <v>3.5</v>
      </c>
      <c r="M47" s="407">
        <f t="shared" si="3"/>
        <v>4.75</v>
      </c>
    </row>
    <row r="48" spans="1:13" outlineLevel="1">
      <c r="A48" s="393"/>
      <c r="B48" s="370">
        <v>8</v>
      </c>
      <c r="C48" s="553"/>
      <c r="D48" s="554"/>
      <c r="E48" s="49"/>
      <c r="F48" s="49"/>
      <c r="G48" s="558"/>
      <c r="I48" s="545" t="s">
        <v>1538</v>
      </c>
      <c r="J48" s="546"/>
      <c r="K48" s="546"/>
      <c r="L48" s="465">
        <f t="shared" si="2"/>
        <v>1.5000000000000002</v>
      </c>
      <c r="M48" s="407">
        <f t="shared" si="3"/>
        <v>2.4000000000000004</v>
      </c>
    </row>
    <row r="49" spans="1:13" outlineLevel="1">
      <c r="A49" s="393"/>
      <c r="B49" s="370">
        <v>9</v>
      </c>
      <c r="C49" s="553"/>
      <c r="D49" s="554"/>
      <c r="E49" s="49"/>
      <c r="F49" s="49"/>
      <c r="G49" s="558"/>
      <c r="I49" s="545" t="s">
        <v>1547</v>
      </c>
      <c r="J49" s="546"/>
      <c r="K49" s="546"/>
      <c r="L49" s="465">
        <f t="shared" si="2"/>
        <v>2.4499999999999997</v>
      </c>
      <c r="M49" s="407">
        <f t="shared" si="3"/>
        <v>4</v>
      </c>
    </row>
    <row r="50" spans="1:13" outlineLevel="1">
      <c r="A50" s="393"/>
      <c r="B50" s="370">
        <v>10</v>
      </c>
      <c r="C50" s="553"/>
      <c r="D50" s="554"/>
      <c r="E50" s="49"/>
      <c r="F50" s="49"/>
      <c r="G50" s="558"/>
      <c r="I50" s="545" t="s">
        <v>1549</v>
      </c>
      <c r="J50" s="546"/>
      <c r="K50" s="546"/>
      <c r="L50" s="465">
        <f t="shared" si="2"/>
        <v>3.5</v>
      </c>
      <c r="M50" s="407">
        <f t="shared" si="3"/>
        <v>5.75</v>
      </c>
    </row>
    <row r="51" spans="1:13" outlineLevel="1">
      <c r="A51" s="393"/>
      <c r="B51" s="370">
        <v>11</v>
      </c>
      <c r="C51" s="553"/>
      <c r="D51" s="554"/>
      <c r="E51" s="49"/>
      <c r="F51" s="49"/>
      <c r="G51" s="558"/>
      <c r="I51" s="545" t="s">
        <v>1551</v>
      </c>
      <c r="J51" s="546"/>
      <c r="K51" s="546"/>
      <c r="L51" s="465">
        <f t="shared" si="2"/>
        <v>1.6500000000000001</v>
      </c>
      <c r="M51" s="407">
        <f t="shared" si="3"/>
        <v>2.95</v>
      </c>
    </row>
    <row r="52" spans="1:13" outlineLevel="1">
      <c r="A52" s="393"/>
      <c r="B52" s="370">
        <v>12</v>
      </c>
      <c r="C52" s="553"/>
      <c r="D52" s="554"/>
      <c r="E52" s="49"/>
      <c r="F52" s="49"/>
      <c r="G52" s="558"/>
      <c r="I52" s="545" t="s">
        <v>1557</v>
      </c>
      <c r="J52" s="546"/>
      <c r="K52" s="546"/>
      <c r="L52" s="465">
        <f t="shared" si="2"/>
        <v>3.5500000000000003</v>
      </c>
      <c r="M52" s="407">
        <f t="shared" si="3"/>
        <v>6.15</v>
      </c>
    </row>
    <row r="53" spans="1:13" outlineLevel="1">
      <c r="A53" s="393"/>
      <c r="B53" s="370">
        <v>13</v>
      </c>
      <c r="C53" s="553"/>
      <c r="D53" s="554"/>
      <c r="E53" s="49"/>
      <c r="F53" s="49"/>
      <c r="G53" s="558"/>
      <c r="I53" s="545" t="s">
        <v>1559</v>
      </c>
      <c r="J53" s="546"/>
      <c r="K53" s="546"/>
      <c r="L53" s="465">
        <f t="shared" si="2"/>
        <v>6.25</v>
      </c>
      <c r="M53" s="407">
        <f t="shared" si="3"/>
        <v>11.5</v>
      </c>
    </row>
    <row r="54" spans="1:13" outlineLevel="1">
      <c r="A54" s="393"/>
      <c r="B54" s="370">
        <v>14</v>
      </c>
      <c r="C54" s="553"/>
      <c r="D54" s="554"/>
      <c r="E54" s="49"/>
      <c r="F54" s="49"/>
      <c r="G54" s="558"/>
      <c r="I54" s="545" t="s">
        <v>1561</v>
      </c>
      <c r="J54" s="546"/>
      <c r="K54" s="546"/>
      <c r="L54" s="465">
        <f t="shared" si="2"/>
        <v>4.25</v>
      </c>
      <c r="M54" s="407">
        <f t="shared" si="3"/>
        <v>6.5</v>
      </c>
    </row>
    <row r="55" spans="1:13" outlineLevel="1">
      <c r="A55" s="394"/>
      <c r="B55" s="371">
        <v>15</v>
      </c>
      <c r="C55" s="555"/>
      <c r="D55" s="556"/>
      <c r="E55" s="51"/>
      <c r="F55" s="51"/>
      <c r="G55" s="559"/>
      <c r="I55" s="545" t="s">
        <v>1574</v>
      </c>
      <c r="J55" s="546"/>
      <c r="K55" s="546"/>
      <c r="L55" s="465">
        <f t="shared" si="2"/>
        <v>5</v>
      </c>
      <c r="M55" s="407">
        <f t="shared" si="3"/>
        <v>7.75</v>
      </c>
    </row>
    <row r="56" spans="1:13">
      <c r="A56" s="368"/>
      <c r="I56" s="545" t="s">
        <v>1583</v>
      </c>
      <c r="J56" s="546"/>
      <c r="K56" s="546"/>
      <c r="L56" s="465">
        <f t="shared" si="2"/>
        <v>2.0499999999999998</v>
      </c>
      <c r="M56" s="407">
        <f t="shared" si="3"/>
        <v>3.15</v>
      </c>
    </row>
    <row r="57" spans="1:13">
      <c r="A57" s="392" t="s">
        <v>56</v>
      </c>
      <c r="B57" s="4"/>
      <c r="C57" s="547" t="s">
        <v>20</v>
      </c>
      <c r="D57" s="548"/>
      <c r="E57" s="402" t="s">
        <v>21</v>
      </c>
      <c r="F57" s="402" t="s">
        <v>22</v>
      </c>
      <c r="G57" s="61" t="s">
        <v>23</v>
      </c>
      <c r="I57" s="545" t="s">
        <v>1590</v>
      </c>
      <c r="J57" s="546"/>
      <c r="K57" s="546"/>
      <c r="L57" s="465">
        <f t="shared" si="2"/>
        <v>3.6499999999999995</v>
      </c>
      <c r="M57" s="407">
        <f t="shared" si="3"/>
        <v>5.4999999999999991</v>
      </c>
    </row>
    <row r="58" spans="1:13">
      <c r="A58" s="393"/>
      <c r="B58" s="369"/>
      <c r="C58" s="549" t="s">
        <v>1400</v>
      </c>
      <c r="D58" s="550"/>
      <c r="E58" s="62">
        <f>SUM(E59:E73)</f>
        <v>5.5</v>
      </c>
      <c r="F58" s="62">
        <f>SUM(F59:F73)</f>
        <v>11.5</v>
      </c>
      <c r="G58" s="557" t="s">
        <v>1409</v>
      </c>
      <c r="I58" s="545" t="s">
        <v>1593</v>
      </c>
      <c r="J58" s="546"/>
      <c r="K58" s="546"/>
      <c r="L58" s="465">
        <f t="shared" si="2"/>
        <v>5.3999999999999995</v>
      </c>
      <c r="M58" s="407">
        <f t="shared" si="3"/>
        <v>8.5000000000000018</v>
      </c>
    </row>
    <row r="59" spans="1:13" outlineLevel="1">
      <c r="A59" s="393"/>
      <c r="B59" s="370">
        <v>1</v>
      </c>
      <c r="C59" s="560" t="s">
        <v>1401</v>
      </c>
      <c r="D59" s="560"/>
      <c r="E59" s="405">
        <v>0.125</v>
      </c>
      <c r="F59" s="406">
        <v>0.25</v>
      </c>
      <c r="G59" s="558"/>
      <c r="I59" s="545" t="s">
        <v>1596</v>
      </c>
      <c r="J59" s="546"/>
      <c r="K59" s="546"/>
      <c r="L59" s="465">
        <f t="shared" si="2"/>
        <v>1.4000000000000001</v>
      </c>
      <c r="M59" s="407">
        <f t="shared" si="3"/>
        <v>2.75</v>
      </c>
    </row>
    <row r="60" spans="1:13" outlineLevel="1">
      <c r="A60" s="393"/>
      <c r="B60" s="370">
        <v>2</v>
      </c>
      <c r="C60" s="560" t="s">
        <v>1402</v>
      </c>
      <c r="D60" s="560"/>
      <c r="E60" s="405">
        <v>0.125</v>
      </c>
      <c r="F60" s="406">
        <v>0.25</v>
      </c>
      <c r="G60" s="558"/>
      <c r="I60" s="545" t="s">
        <v>1609</v>
      </c>
      <c r="J60" s="546"/>
      <c r="K60" s="546"/>
      <c r="L60" s="465">
        <f t="shared" si="2"/>
        <v>4.9000000000000004</v>
      </c>
      <c r="M60" s="407">
        <f t="shared" si="3"/>
        <v>7.8999999999999995</v>
      </c>
    </row>
    <row r="61" spans="1:13" outlineLevel="1">
      <c r="A61" s="393"/>
      <c r="B61" s="370">
        <v>3</v>
      </c>
      <c r="C61" s="560" t="s">
        <v>1403</v>
      </c>
      <c r="D61" s="560"/>
      <c r="E61" s="405">
        <v>2</v>
      </c>
      <c r="F61" s="406">
        <v>5</v>
      </c>
      <c r="G61" s="558"/>
      <c r="I61" s="545" t="s">
        <v>1613</v>
      </c>
      <c r="J61" s="546"/>
      <c r="K61" s="546"/>
      <c r="L61" s="465">
        <f t="shared" si="2"/>
        <v>8.6999999999999993</v>
      </c>
      <c r="M61" s="407">
        <f t="shared" si="3"/>
        <v>11.649999999999999</v>
      </c>
    </row>
    <row r="62" spans="1:13" outlineLevel="1">
      <c r="A62" s="393"/>
      <c r="B62" s="370">
        <v>4</v>
      </c>
      <c r="C62" s="560" t="s">
        <v>1404</v>
      </c>
      <c r="D62" s="560"/>
      <c r="E62" s="405">
        <v>1</v>
      </c>
      <c r="F62" s="406">
        <v>2</v>
      </c>
      <c r="G62" s="558"/>
      <c r="I62" s="545" t="s">
        <v>1616</v>
      </c>
      <c r="J62" s="546"/>
      <c r="K62" s="546"/>
      <c r="L62" s="465">
        <f t="shared" si="2"/>
        <v>1.9000000000000001</v>
      </c>
      <c r="M62" s="407">
        <f t="shared" si="3"/>
        <v>3.3</v>
      </c>
    </row>
    <row r="63" spans="1:13" outlineLevel="1">
      <c r="A63" s="393"/>
      <c r="B63" s="370">
        <v>5</v>
      </c>
      <c r="C63" s="560" t="s">
        <v>1405</v>
      </c>
      <c r="D63" s="560"/>
      <c r="E63" s="405">
        <v>1</v>
      </c>
      <c r="F63" s="406">
        <v>2</v>
      </c>
      <c r="G63" s="558"/>
      <c r="I63" s="545" t="s">
        <v>1623</v>
      </c>
      <c r="J63" s="546"/>
      <c r="K63" s="546"/>
      <c r="L63" s="465">
        <f t="shared" si="2"/>
        <v>3.4000000000000004</v>
      </c>
      <c r="M63" s="407">
        <f t="shared" si="3"/>
        <v>5.8999999999999995</v>
      </c>
    </row>
    <row r="64" spans="1:13" outlineLevel="1">
      <c r="A64" s="393"/>
      <c r="B64" s="370">
        <v>6</v>
      </c>
      <c r="C64" s="560" t="s">
        <v>1406</v>
      </c>
      <c r="D64" s="560"/>
      <c r="E64" s="405">
        <v>0.5</v>
      </c>
      <c r="F64" s="406">
        <v>0.75</v>
      </c>
      <c r="G64" s="558"/>
      <c r="I64" s="545" t="s">
        <v>1626</v>
      </c>
      <c r="J64" s="546"/>
      <c r="K64" s="546"/>
      <c r="L64" s="465">
        <f t="shared" si="2"/>
        <v>5.75</v>
      </c>
      <c r="M64" s="407">
        <f t="shared" si="3"/>
        <v>8.35</v>
      </c>
    </row>
    <row r="65" spans="1:13" outlineLevel="1">
      <c r="A65" s="393"/>
      <c r="B65" s="370">
        <v>7</v>
      </c>
      <c r="C65" s="560" t="s">
        <v>1407</v>
      </c>
      <c r="D65" s="560"/>
      <c r="E65" s="405">
        <v>0.5</v>
      </c>
      <c r="F65" s="406">
        <v>0.75</v>
      </c>
      <c r="G65" s="558"/>
      <c r="I65" s="545" t="s">
        <v>1629</v>
      </c>
      <c r="J65" s="546"/>
      <c r="K65" s="546"/>
      <c r="L65" s="465">
        <f t="shared" si="2"/>
        <v>2.2500000000000004</v>
      </c>
      <c r="M65" s="407">
        <f t="shared" si="3"/>
        <v>3.8499999999999996</v>
      </c>
    </row>
    <row r="66" spans="1:13" outlineLevel="1">
      <c r="A66" s="393"/>
      <c r="B66" s="370">
        <v>8</v>
      </c>
      <c r="C66" s="560" t="s">
        <v>1408</v>
      </c>
      <c r="D66" s="560"/>
      <c r="E66" s="405">
        <v>0.25</v>
      </c>
      <c r="F66" s="406">
        <v>0.5</v>
      </c>
      <c r="G66" s="558"/>
      <c r="I66" s="545" t="s">
        <v>1639</v>
      </c>
      <c r="J66" s="546"/>
      <c r="K66" s="546"/>
      <c r="L66" s="465">
        <f t="shared" si="2"/>
        <v>5.4</v>
      </c>
      <c r="M66" s="407">
        <f t="shared" si="3"/>
        <v>8.1</v>
      </c>
    </row>
    <row r="67" spans="1:13" outlineLevel="1">
      <c r="A67" s="393"/>
      <c r="B67" s="370">
        <v>9</v>
      </c>
      <c r="C67" s="553"/>
      <c r="D67" s="554"/>
      <c r="E67" s="49"/>
      <c r="F67" s="49"/>
      <c r="G67" s="558"/>
      <c r="I67" s="545" t="s">
        <v>1643</v>
      </c>
      <c r="J67" s="546"/>
      <c r="K67" s="546"/>
      <c r="L67" s="465">
        <f t="shared" si="2"/>
        <v>11.75</v>
      </c>
      <c r="M67" s="407">
        <f t="shared" si="3"/>
        <v>15.75</v>
      </c>
    </row>
    <row r="68" spans="1:13" outlineLevel="1">
      <c r="A68" s="393"/>
      <c r="B68" s="370">
        <v>10</v>
      </c>
      <c r="C68" s="553"/>
      <c r="D68" s="554"/>
      <c r="E68" s="49"/>
      <c r="F68" s="49"/>
      <c r="G68" s="558"/>
      <c r="I68" s="545" t="s">
        <v>1645</v>
      </c>
      <c r="J68" s="546"/>
      <c r="K68" s="546"/>
      <c r="L68" s="465">
        <f t="shared" si="2"/>
        <v>3.8500000000000005</v>
      </c>
      <c r="M68" s="407">
        <f t="shared" si="3"/>
        <v>5.3999999999999995</v>
      </c>
    </row>
    <row r="69" spans="1:13" outlineLevel="1">
      <c r="A69" s="393"/>
      <c r="B69" s="370">
        <v>11</v>
      </c>
      <c r="C69" s="553"/>
      <c r="D69" s="554"/>
      <c r="E69" s="49"/>
      <c r="F69" s="49"/>
      <c r="G69" s="558"/>
      <c r="I69" s="545" t="s">
        <v>1648</v>
      </c>
      <c r="J69" s="546"/>
      <c r="K69" s="546"/>
      <c r="L69" s="465">
        <f t="shared" ref="L69:L100" si="4">VLOOKUP(I69,tasks_metrics_observation_area,3,FALSE)</f>
        <v>3.15</v>
      </c>
      <c r="M69" s="407">
        <f t="shared" ref="M69:M100" si="5">VLOOKUP(I69,tasks_metrics_observation_area,4,FALSE)</f>
        <v>4.9999999999999991</v>
      </c>
    </row>
    <row r="70" spans="1:13" outlineLevel="1">
      <c r="A70" s="393"/>
      <c r="B70" s="370">
        <v>12</v>
      </c>
      <c r="C70" s="553"/>
      <c r="D70" s="554"/>
      <c r="E70" s="49"/>
      <c r="F70" s="49"/>
      <c r="G70" s="558"/>
      <c r="I70" s="545" t="s">
        <v>1657</v>
      </c>
      <c r="J70" s="546"/>
      <c r="K70" s="546"/>
      <c r="L70" s="465">
        <f t="shared" si="4"/>
        <v>7.2</v>
      </c>
      <c r="M70" s="407">
        <f t="shared" si="5"/>
        <v>9.25</v>
      </c>
    </row>
    <row r="71" spans="1:13" outlineLevel="1">
      <c r="A71" s="393"/>
      <c r="B71" s="370">
        <v>13</v>
      </c>
      <c r="C71" s="553"/>
      <c r="D71" s="554"/>
      <c r="E71" s="49"/>
      <c r="F71" s="49"/>
      <c r="G71" s="558"/>
      <c r="I71" s="545" t="s">
        <v>1659</v>
      </c>
      <c r="J71" s="546"/>
      <c r="K71" s="546"/>
      <c r="L71" s="465">
        <f t="shared" si="4"/>
        <v>9.35</v>
      </c>
      <c r="M71" s="407">
        <f t="shared" si="5"/>
        <v>11.7</v>
      </c>
    </row>
    <row r="72" spans="1:13" outlineLevel="1">
      <c r="A72" s="393"/>
      <c r="B72" s="370">
        <v>14</v>
      </c>
      <c r="C72" s="553"/>
      <c r="D72" s="554"/>
      <c r="E72" s="49"/>
      <c r="F72" s="49"/>
      <c r="G72" s="558"/>
      <c r="I72" s="545" t="s">
        <v>1661</v>
      </c>
      <c r="J72" s="546"/>
      <c r="K72" s="546"/>
      <c r="L72" s="465">
        <f t="shared" si="4"/>
        <v>7.05</v>
      </c>
      <c r="M72" s="407">
        <f t="shared" si="5"/>
        <v>10.45</v>
      </c>
    </row>
    <row r="73" spans="1:13" outlineLevel="1">
      <c r="A73" s="394"/>
      <c r="B73" s="371">
        <v>15</v>
      </c>
      <c r="C73" s="555"/>
      <c r="D73" s="556"/>
      <c r="E73" s="51"/>
      <c r="F73" s="51"/>
      <c r="G73" s="559"/>
      <c r="I73" s="545" t="s">
        <v>1667</v>
      </c>
      <c r="J73" s="546"/>
      <c r="K73" s="546"/>
      <c r="L73" s="465">
        <f t="shared" si="4"/>
        <v>1.8000000000000003</v>
      </c>
      <c r="M73" s="407">
        <f t="shared" si="5"/>
        <v>2.6500000000000004</v>
      </c>
    </row>
    <row r="74" spans="1:13">
      <c r="A74" s="368"/>
      <c r="I74" s="545" t="s">
        <v>1675</v>
      </c>
      <c r="J74" s="546"/>
      <c r="K74" s="546"/>
      <c r="L74" s="465">
        <f t="shared" si="4"/>
        <v>2.4</v>
      </c>
      <c r="M74" s="407">
        <f t="shared" si="5"/>
        <v>3.4499999999999993</v>
      </c>
    </row>
    <row r="75" spans="1:13">
      <c r="A75" s="392" t="s">
        <v>56</v>
      </c>
      <c r="B75" s="4"/>
      <c r="C75" s="547" t="s">
        <v>20</v>
      </c>
      <c r="D75" s="548"/>
      <c r="E75" s="402" t="s">
        <v>21</v>
      </c>
      <c r="F75" s="402" t="s">
        <v>22</v>
      </c>
      <c r="G75" s="61" t="s">
        <v>23</v>
      </c>
      <c r="I75" s="545" t="s">
        <v>1677</v>
      </c>
      <c r="J75" s="546"/>
      <c r="K75" s="546"/>
      <c r="L75" s="465">
        <f t="shared" si="4"/>
        <v>7.7</v>
      </c>
      <c r="M75" s="407">
        <f t="shared" si="5"/>
        <v>11.75</v>
      </c>
    </row>
    <row r="76" spans="1:13">
      <c r="A76" s="393"/>
      <c r="B76" s="369"/>
      <c r="C76" s="549" t="s">
        <v>1410</v>
      </c>
      <c r="D76" s="550"/>
      <c r="E76" s="62">
        <f>SUM(E77:E91)</f>
        <v>6.1499999999999995</v>
      </c>
      <c r="F76" s="62">
        <f>SUM(F77:F91)</f>
        <v>10.799999999999999</v>
      </c>
      <c r="G76" s="551" t="s">
        <v>1414</v>
      </c>
      <c r="I76" s="545" t="s">
        <v>1679</v>
      </c>
      <c r="J76" s="546"/>
      <c r="K76" s="546"/>
      <c r="L76" s="465">
        <f t="shared" si="4"/>
        <v>1.4500000000000002</v>
      </c>
      <c r="M76" s="407">
        <f t="shared" si="5"/>
        <v>2.9000000000000004</v>
      </c>
    </row>
    <row r="77" spans="1:13" outlineLevel="1">
      <c r="A77" s="393"/>
      <c r="B77" s="370">
        <v>1</v>
      </c>
      <c r="C77" s="560" t="s">
        <v>1411</v>
      </c>
      <c r="D77" s="560"/>
      <c r="E77" s="405">
        <v>1</v>
      </c>
      <c r="F77" s="406">
        <v>1.5</v>
      </c>
      <c r="G77" s="551"/>
      <c r="I77" s="545" t="s">
        <v>1689</v>
      </c>
      <c r="J77" s="546"/>
      <c r="K77" s="546"/>
      <c r="L77" s="465">
        <f t="shared" si="4"/>
        <v>3.9000000000000004</v>
      </c>
      <c r="M77" s="407">
        <f t="shared" si="5"/>
        <v>5.6499999999999995</v>
      </c>
    </row>
    <row r="78" spans="1:13" outlineLevel="1">
      <c r="A78" s="393"/>
      <c r="B78" s="370">
        <v>2</v>
      </c>
      <c r="C78" s="560" t="s">
        <v>1412</v>
      </c>
      <c r="D78" s="560"/>
      <c r="E78" s="405">
        <v>2</v>
      </c>
      <c r="F78" s="406">
        <v>4</v>
      </c>
      <c r="G78" s="551"/>
      <c r="I78" s="545" t="s">
        <v>1691</v>
      </c>
      <c r="J78" s="546"/>
      <c r="K78" s="546"/>
      <c r="L78" s="465">
        <f t="shared" si="4"/>
        <v>7.1999999999999993</v>
      </c>
      <c r="M78" s="407">
        <f t="shared" si="5"/>
        <v>11.499999999999996</v>
      </c>
    </row>
    <row r="79" spans="1:13" outlineLevel="1">
      <c r="A79" s="393"/>
      <c r="B79" s="370">
        <v>3</v>
      </c>
      <c r="C79" s="560" t="s">
        <v>1413</v>
      </c>
      <c r="D79" s="560"/>
      <c r="E79" s="405">
        <v>3</v>
      </c>
      <c r="F79" s="406">
        <v>5</v>
      </c>
      <c r="G79" s="551"/>
      <c r="I79" s="545" t="s">
        <v>1694</v>
      </c>
      <c r="J79" s="546"/>
      <c r="K79" s="546"/>
      <c r="L79" s="465">
        <f t="shared" si="4"/>
        <v>0.35</v>
      </c>
      <c r="M79" s="407">
        <f t="shared" si="5"/>
        <v>0.7</v>
      </c>
    </row>
    <row r="80" spans="1:13" outlineLevel="1">
      <c r="A80" s="393"/>
      <c r="B80" s="370">
        <v>4</v>
      </c>
      <c r="C80" s="560" t="s">
        <v>1406</v>
      </c>
      <c r="D80" s="560"/>
      <c r="E80" s="405">
        <v>0.05</v>
      </c>
      <c r="F80" s="406">
        <v>0.1</v>
      </c>
      <c r="G80" s="551"/>
      <c r="I80" s="545" t="s">
        <v>1697</v>
      </c>
      <c r="J80" s="546"/>
      <c r="K80" s="546"/>
      <c r="L80" s="465">
        <f t="shared" si="4"/>
        <v>1.5999999999999996</v>
      </c>
      <c r="M80" s="407">
        <f t="shared" si="5"/>
        <v>2.8</v>
      </c>
    </row>
    <row r="81" spans="1:13" outlineLevel="1">
      <c r="A81" s="393"/>
      <c r="B81" s="370">
        <v>5</v>
      </c>
      <c r="C81" s="560" t="s">
        <v>1407</v>
      </c>
      <c r="D81" s="560"/>
      <c r="E81" s="405">
        <v>0.05</v>
      </c>
      <c r="F81" s="406">
        <v>0.1</v>
      </c>
      <c r="G81" s="551"/>
      <c r="I81" s="545" t="s">
        <v>1700</v>
      </c>
      <c r="J81" s="546"/>
      <c r="K81" s="546"/>
      <c r="L81" s="465">
        <f t="shared" si="4"/>
        <v>2.4500000000000002</v>
      </c>
      <c r="M81" s="407">
        <f t="shared" si="5"/>
        <v>4.1500000000000004</v>
      </c>
    </row>
    <row r="82" spans="1:13" outlineLevel="1">
      <c r="A82" s="393"/>
      <c r="B82" s="370">
        <v>6</v>
      </c>
      <c r="C82" s="560" t="s">
        <v>1408</v>
      </c>
      <c r="D82" s="560"/>
      <c r="E82" s="405">
        <v>0.05</v>
      </c>
      <c r="F82" s="406">
        <v>0.1</v>
      </c>
      <c r="G82" s="551"/>
      <c r="I82" s="545" t="s">
        <v>1702</v>
      </c>
      <c r="J82" s="546"/>
      <c r="K82" s="546"/>
      <c r="L82" s="465">
        <f t="shared" si="4"/>
        <v>0.65</v>
      </c>
      <c r="M82" s="407">
        <f t="shared" si="5"/>
        <v>1.25</v>
      </c>
    </row>
    <row r="83" spans="1:13" outlineLevel="1">
      <c r="A83" s="393"/>
      <c r="B83" s="370">
        <v>7</v>
      </c>
      <c r="C83" s="553"/>
      <c r="D83" s="554"/>
      <c r="E83" s="49"/>
      <c r="F83" s="49"/>
      <c r="G83" s="551"/>
      <c r="I83" s="545" t="s">
        <v>1706</v>
      </c>
      <c r="J83" s="546"/>
      <c r="K83" s="546"/>
      <c r="L83" s="465">
        <f t="shared" si="4"/>
        <v>3</v>
      </c>
      <c r="M83" s="407">
        <f t="shared" si="5"/>
        <v>4.5</v>
      </c>
    </row>
    <row r="84" spans="1:13" outlineLevel="1">
      <c r="A84" s="393"/>
      <c r="B84" s="370">
        <v>8</v>
      </c>
      <c r="C84" s="553"/>
      <c r="D84" s="554"/>
      <c r="E84" s="49"/>
      <c r="F84" s="49"/>
      <c r="G84" s="551"/>
      <c r="I84" s="545" t="s">
        <v>1710</v>
      </c>
      <c r="J84" s="546"/>
      <c r="K84" s="546"/>
      <c r="L84" s="465">
        <f t="shared" si="4"/>
        <v>0.4</v>
      </c>
      <c r="M84" s="407">
        <f t="shared" si="5"/>
        <v>0.7</v>
      </c>
    </row>
    <row r="85" spans="1:13" outlineLevel="1">
      <c r="A85" s="393"/>
      <c r="B85" s="370">
        <v>9</v>
      </c>
      <c r="C85" s="553"/>
      <c r="D85" s="554"/>
      <c r="E85" s="49"/>
      <c r="F85" s="49"/>
      <c r="G85" s="551"/>
      <c r="I85" s="545" t="s">
        <v>1712</v>
      </c>
      <c r="J85" s="546"/>
      <c r="K85" s="546"/>
      <c r="L85" s="465">
        <f t="shared" si="4"/>
        <v>1</v>
      </c>
      <c r="M85" s="407">
        <f t="shared" si="5"/>
        <v>1.75</v>
      </c>
    </row>
    <row r="86" spans="1:13" outlineLevel="1">
      <c r="A86" s="393"/>
      <c r="B86" s="370">
        <v>10</v>
      </c>
      <c r="C86" s="553"/>
      <c r="D86" s="554"/>
      <c r="E86" s="49"/>
      <c r="F86" s="49"/>
      <c r="G86" s="551"/>
      <c r="I86" s="545" t="s">
        <v>1717</v>
      </c>
      <c r="J86" s="546"/>
      <c r="K86" s="546"/>
      <c r="L86" s="465">
        <f t="shared" si="4"/>
        <v>0.7</v>
      </c>
      <c r="M86" s="407">
        <f t="shared" si="5"/>
        <v>1.1499999999999999</v>
      </c>
    </row>
    <row r="87" spans="1:13" outlineLevel="1">
      <c r="A87" s="393"/>
      <c r="B87" s="370">
        <v>11</v>
      </c>
      <c r="C87" s="553"/>
      <c r="D87" s="554"/>
      <c r="E87" s="49"/>
      <c r="F87" s="49"/>
      <c r="G87" s="551"/>
      <c r="I87" s="545" t="s">
        <v>1720</v>
      </c>
      <c r="J87" s="546"/>
      <c r="K87" s="546"/>
      <c r="L87" s="465">
        <f t="shared" si="4"/>
        <v>2.5</v>
      </c>
      <c r="M87" s="407">
        <f t="shared" si="5"/>
        <v>4</v>
      </c>
    </row>
    <row r="88" spans="1:13" outlineLevel="1">
      <c r="A88" s="393"/>
      <c r="B88" s="370">
        <v>12</v>
      </c>
      <c r="C88" s="553"/>
      <c r="D88" s="554"/>
      <c r="E88" s="49"/>
      <c r="F88" s="49"/>
      <c r="G88" s="551"/>
      <c r="I88" s="545" t="s">
        <v>1721</v>
      </c>
      <c r="J88" s="546"/>
      <c r="K88" s="546"/>
      <c r="L88" s="465">
        <f t="shared" si="4"/>
        <v>1</v>
      </c>
      <c r="M88" s="407">
        <f t="shared" si="5"/>
        <v>1.75</v>
      </c>
    </row>
    <row r="89" spans="1:13" outlineLevel="1">
      <c r="A89" s="393"/>
      <c r="B89" s="370">
        <v>13</v>
      </c>
      <c r="C89" s="553"/>
      <c r="D89" s="554"/>
      <c r="E89" s="49"/>
      <c r="F89" s="49"/>
      <c r="G89" s="551"/>
      <c r="I89" s="545" t="s">
        <v>1723</v>
      </c>
      <c r="J89" s="546"/>
      <c r="K89" s="546"/>
      <c r="L89" s="465">
        <f t="shared" si="4"/>
        <v>8.5</v>
      </c>
      <c r="M89" s="407">
        <f t="shared" si="5"/>
        <v>10.5</v>
      </c>
    </row>
    <row r="90" spans="1:13" outlineLevel="1">
      <c r="A90" s="393"/>
      <c r="B90" s="370">
        <v>14</v>
      </c>
      <c r="C90" s="553"/>
      <c r="D90" s="554"/>
      <c r="E90" s="49"/>
      <c r="F90" s="49"/>
      <c r="G90" s="551"/>
      <c r="I90" s="545" t="s">
        <v>1725</v>
      </c>
      <c r="J90" s="546"/>
      <c r="K90" s="546"/>
      <c r="L90" s="465">
        <f t="shared" si="4"/>
        <v>0.4</v>
      </c>
      <c r="M90" s="407">
        <f t="shared" si="5"/>
        <v>0.7</v>
      </c>
    </row>
    <row r="91" spans="1:13" outlineLevel="1">
      <c r="A91" s="394"/>
      <c r="B91" s="371">
        <v>15</v>
      </c>
      <c r="C91" s="555"/>
      <c r="D91" s="556"/>
      <c r="E91" s="51"/>
      <c r="F91" s="51"/>
      <c r="G91" s="552"/>
      <c r="I91" s="545" t="s">
        <v>1727</v>
      </c>
      <c r="J91" s="546"/>
      <c r="K91" s="546"/>
      <c r="L91" s="465">
        <f t="shared" si="4"/>
        <v>1.75</v>
      </c>
      <c r="M91" s="407">
        <f t="shared" si="5"/>
        <v>2.75</v>
      </c>
    </row>
    <row r="92" spans="1:13">
      <c r="A92" s="368"/>
      <c r="I92" s="545" t="s">
        <v>1731</v>
      </c>
      <c r="J92" s="546"/>
      <c r="K92" s="546"/>
      <c r="L92" s="465">
        <f t="shared" si="4"/>
        <v>0.7</v>
      </c>
      <c r="M92" s="407">
        <f t="shared" si="5"/>
        <v>1.1499999999999999</v>
      </c>
    </row>
    <row r="93" spans="1:13">
      <c r="A93" s="392" t="s">
        <v>56</v>
      </c>
      <c r="B93" s="4"/>
      <c r="C93" s="547" t="s">
        <v>20</v>
      </c>
      <c r="D93" s="548"/>
      <c r="E93" s="402" t="s">
        <v>21</v>
      </c>
      <c r="F93" s="402" t="s">
        <v>22</v>
      </c>
      <c r="G93" s="61" t="s">
        <v>23</v>
      </c>
      <c r="I93" s="545" t="s">
        <v>1733</v>
      </c>
      <c r="J93" s="546"/>
      <c r="K93" s="546"/>
      <c r="L93" s="465">
        <f t="shared" si="4"/>
        <v>6.5</v>
      </c>
      <c r="M93" s="407">
        <f t="shared" si="5"/>
        <v>8</v>
      </c>
    </row>
    <row r="94" spans="1:13">
      <c r="A94" s="393"/>
      <c r="B94" s="369"/>
      <c r="C94" s="549" t="s">
        <v>1415</v>
      </c>
      <c r="D94" s="550"/>
      <c r="E94" s="62">
        <f>SUM(E95:E109)</f>
        <v>2.9000000000000004</v>
      </c>
      <c r="F94" s="62">
        <f>SUM(F95:F109)</f>
        <v>4.8000000000000007</v>
      </c>
      <c r="G94" s="557" t="s">
        <v>1418</v>
      </c>
      <c r="I94" s="545" t="s">
        <v>1734</v>
      </c>
      <c r="J94" s="546"/>
      <c r="K94" s="546"/>
      <c r="L94" s="465">
        <f t="shared" si="4"/>
        <v>1.1499999999999999</v>
      </c>
      <c r="M94" s="407">
        <f t="shared" si="5"/>
        <v>1.85</v>
      </c>
    </row>
    <row r="95" spans="1:13" outlineLevel="1">
      <c r="A95" s="393"/>
      <c r="B95" s="370">
        <v>1</v>
      </c>
      <c r="C95" s="560" t="s">
        <v>1416</v>
      </c>
      <c r="D95" s="560"/>
      <c r="E95" s="405">
        <v>0.3</v>
      </c>
      <c r="F95" s="406">
        <v>0.6</v>
      </c>
      <c r="G95" s="558"/>
      <c r="I95" s="545" t="s">
        <v>1736</v>
      </c>
      <c r="J95" s="546"/>
      <c r="K95" s="546"/>
      <c r="L95" s="465">
        <f t="shared" si="4"/>
        <v>12</v>
      </c>
      <c r="M95" s="407">
        <f t="shared" si="5"/>
        <v>14</v>
      </c>
    </row>
    <row r="96" spans="1:13" outlineLevel="1">
      <c r="A96" s="393"/>
      <c r="B96" s="370">
        <v>2</v>
      </c>
      <c r="C96" s="560" t="s">
        <v>1417</v>
      </c>
      <c r="D96" s="560"/>
      <c r="E96" s="405">
        <v>2</v>
      </c>
      <c r="F96" s="406">
        <v>3</v>
      </c>
      <c r="G96" s="558"/>
      <c r="I96" s="545" t="s">
        <v>1737</v>
      </c>
      <c r="J96" s="546"/>
      <c r="K96" s="546"/>
      <c r="L96" s="465">
        <f t="shared" si="4"/>
        <v>0.4</v>
      </c>
      <c r="M96" s="407">
        <f t="shared" si="5"/>
        <v>1</v>
      </c>
    </row>
    <row r="97" spans="1:13" outlineLevel="1">
      <c r="A97" s="393"/>
      <c r="B97" s="370">
        <v>3</v>
      </c>
      <c r="C97" s="560" t="s">
        <v>1406</v>
      </c>
      <c r="D97" s="560"/>
      <c r="E97" s="405">
        <v>0.2</v>
      </c>
      <c r="F97" s="406">
        <v>0.4</v>
      </c>
      <c r="G97" s="558"/>
      <c r="I97" s="545" t="s">
        <v>1743</v>
      </c>
      <c r="J97" s="546"/>
      <c r="K97" s="546"/>
      <c r="L97" s="465">
        <f t="shared" si="4"/>
        <v>1.25</v>
      </c>
      <c r="M97" s="407">
        <f t="shared" si="5"/>
        <v>2.5</v>
      </c>
    </row>
    <row r="98" spans="1:13" outlineLevel="1">
      <c r="A98" s="393"/>
      <c r="B98" s="370">
        <v>4</v>
      </c>
      <c r="C98" s="560" t="s">
        <v>1407</v>
      </c>
      <c r="D98" s="560"/>
      <c r="E98" s="405">
        <v>0.2</v>
      </c>
      <c r="F98" s="406">
        <v>0.4</v>
      </c>
      <c r="G98" s="558"/>
      <c r="I98" s="545" t="s">
        <v>1748</v>
      </c>
      <c r="J98" s="546"/>
      <c r="K98" s="546"/>
      <c r="L98" s="465">
        <f t="shared" si="4"/>
        <v>3.1</v>
      </c>
      <c r="M98" s="407">
        <f t="shared" si="5"/>
        <v>4.25</v>
      </c>
    </row>
    <row r="99" spans="1:13" outlineLevel="1">
      <c r="A99" s="393"/>
      <c r="B99" s="370">
        <v>5</v>
      </c>
      <c r="C99" s="560" t="s">
        <v>1408</v>
      </c>
      <c r="D99" s="560"/>
      <c r="E99" s="405">
        <v>0.2</v>
      </c>
      <c r="F99" s="406">
        <v>0.4</v>
      </c>
      <c r="G99" s="558"/>
      <c r="I99" s="545" t="s">
        <v>1754</v>
      </c>
      <c r="J99" s="546"/>
      <c r="K99" s="546"/>
      <c r="L99" s="465">
        <f t="shared" si="4"/>
        <v>1.5</v>
      </c>
      <c r="M99" s="407">
        <f t="shared" si="5"/>
        <v>3</v>
      </c>
    </row>
    <row r="100" spans="1:13" outlineLevel="1">
      <c r="A100" s="393"/>
      <c r="B100" s="370">
        <v>6</v>
      </c>
      <c r="C100" s="553"/>
      <c r="D100" s="554"/>
      <c r="E100" s="49"/>
      <c r="F100" s="49"/>
      <c r="G100" s="558"/>
      <c r="I100" s="545" t="s">
        <v>1759</v>
      </c>
      <c r="J100" s="546"/>
      <c r="K100" s="546"/>
      <c r="L100" s="465">
        <f t="shared" si="4"/>
        <v>4</v>
      </c>
      <c r="M100" s="407">
        <f t="shared" si="5"/>
        <v>6</v>
      </c>
    </row>
    <row r="101" spans="1:13" outlineLevel="1">
      <c r="A101" s="393"/>
      <c r="B101" s="370">
        <v>7</v>
      </c>
      <c r="C101" s="553"/>
      <c r="D101" s="554"/>
      <c r="E101" s="49"/>
      <c r="F101" s="49"/>
      <c r="G101" s="558"/>
      <c r="I101" s="545" t="s">
        <v>1764</v>
      </c>
      <c r="J101" s="546"/>
      <c r="K101" s="546"/>
      <c r="L101" s="465">
        <f t="shared" ref="L101:L122" si="6">VLOOKUP(I101,tasks_metrics_observation_area,3,FALSE)</f>
        <v>2</v>
      </c>
      <c r="M101" s="407">
        <f t="shared" ref="M101:M122" si="7">VLOOKUP(I101,tasks_metrics_observation_area,4,FALSE)</f>
        <v>3.75</v>
      </c>
    </row>
    <row r="102" spans="1:13" outlineLevel="1">
      <c r="A102" s="393"/>
      <c r="B102" s="370">
        <v>8</v>
      </c>
      <c r="C102" s="553"/>
      <c r="D102" s="554"/>
      <c r="E102" s="49"/>
      <c r="F102" s="49"/>
      <c r="G102" s="558"/>
      <c r="I102" s="545" t="s">
        <v>1769</v>
      </c>
      <c r="J102" s="546"/>
      <c r="K102" s="546"/>
      <c r="L102" s="465">
        <f t="shared" si="6"/>
        <v>3.5</v>
      </c>
      <c r="M102" s="407">
        <f t="shared" si="7"/>
        <v>5</v>
      </c>
    </row>
    <row r="103" spans="1:13" outlineLevel="1">
      <c r="A103" s="393"/>
      <c r="B103" s="370">
        <v>9</v>
      </c>
      <c r="C103" s="553"/>
      <c r="D103" s="554"/>
      <c r="E103" s="49"/>
      <c r="F103" s="49"/>
      <c r="G103" s="558"/>
      <c r="I103" s="545" t="s">
        <v>1772</v>
      </c>
      <c r="J103" s="546"/>
      <c r="K103" s="546"/>
      <c r="L103" s="465">
        <f t="shared" si="6"/>
        <v>6</v>
      </c>
      <c r="M103" s="407">
        <f t="shared" si="7"/>
        <v>7.75</v>
      </c>
    </row>
    <row r="104" spans="1:13" outlineLevel="1">
      <c r="A104" s="393"/>
      <c r="B104" s="370">
        <v>10</v>
      </c>
      <c r="C104" s="553"/>
      <c r="D104" s="554"/>
      <c r="E104" s="49"/>
      <c r="F104" s="49"/>
      <c r="G104" s="558"/>
      <c r="I104" s="545" t="s">
        <v>1775</v>
      </c>
      <c r="J104" s="546"/>
      <c r="K104" s="546"/>
      <c r="L104" s="465">
        <f t="shared" si="6"/>
        <v>4.25</v>
      </c>
      <c r="M104" s="407">
        <f t="shared" si="7"/>
        <v>5.5</v>
      </c>
    </row>
    <row r="105" spans="1:13" outlineLevel="1">
      <c r="A105" s="393"/>
      <c r="B105" s="370">
        <v>11</v>
      </c>
      <c r="C105" s="553"/>
      <c r="D105" s="554"/>
      <c r="E105" s="49"/>
      <c r="F105" s="49"/>
      <c r="G105" s="558"/>
      <c r="I105" s="545" t="s">
        <v>1779</v>
      </c>
      <c r="J105" s="546"/>
      <c r="K105" s="546"/>
      <c r="L105" s="465">
        <f t="shared" si="6"/>
        <v>11.85</v>
      </c>
      <c r="M105" s="407">
        <f t="shared" si="7"/>
        <v>14</v>
      </c>
    </row>
    <row r="106" spans="1:13" outlineLevel="1">
      <c r="A106" s="393"/>
      <c r="B106" s="370">
        <v>12</v>
      </c>
      <c r="C106" s="553"/>
      <c r="D106" s="554"/>
      <c r="E106" s="49"/>
      <c r="F106" s="49"/>
      <c r="G106" s="558"/>
      <c r="I106" s="545" t="s">
        <v>1788</v>
      </c>
      <c r="J106" s="546"/>
      <c r="K106" s="546"/>
      <c r="L106" s="465">
        <f t="shared" si="6"/>
        <v>5</v>
      </c>
      <c r="M106" s="407">
        <f t="shared" si="7"/>
        <v>6.5</v>
      </c>
    </row>
    <row r="107" spans="1:13" outlineLevel="1">
      <c r="A107" s="393"/>
      <c r="B107" s="370">
        <v>13</v>
      </c>
      <c r="C107" s="553"/>
      <c r="D107" s="554"/>
      <c r="E107" s="49"/>
      <c r="F107" s="49"/>
      <c r="G107" s="558"/>
      <c r="I107" s="545" t="s">
        <v>1791</v>
      </c>
      <c r="J107" s="546"/>
      <c r="K107" s="546"/>
      <c r="L107" s="465">
        <f t="shared" si="6"/>
        <v>1</v>
      </c>
      <c r="M107" s="407">
        <f t="shared" si="7"/>
        <v>1.5</v>
      </c>
    </row>
    <row r="108" spans="1:13" outlineLevel="1">
      <c r="A108" s="393"/>
      <c r="B108" s="370">
        <v>14</v>
      </c>
      <c r="C108" s="553"/>
      <c r="D108" s="554"/>
      <c r="E108" s="49"/>
      <c r="F108" s="49"/>
      <c r="G108" s="558"/>
      <c r="I108" s="545" t="s">
        <v>1795</v>
      </c>
      <c r="J108" s="546"/>
      <c r="K108" s="546"/>
      <c r="L108" s="465">
        <f t="shared" si="6"/>
        <v>1</v>
      </c>
      <c r="M108" s="407">
        <f t="shared" si="7"/>
        <v>2</v>
      </c>
    </row>
    <row r="109" spans="1:13" outlineLevel="1">
      <c r="A109" s="394"/>
      <c r="B109" s="371">
        <v>15</v>
      </c>
      <c r="C109" s="555"/>
      <c r="D109" s="556"/>
      <c r="E109" s="51"/>
      <c r="F109" s="51"/>
      <c r="G109" s="559"/>
      <c r="I109" s="545" t="s">
        <v>1797</v>
      </c>
      <c r="J109" s="546"/>
      <c r="K109" s="546"/>
      <c r="L109" s="465">
        <f t="shared" si="6"/>
        <v>8</v>
      </c>
      <c r="M109" s="407">
        <f t="shared" si="7"/>
        <v>12.5</v>
      </c>
    </row>
    <row r="110" spans="1:13">
      <c r="A110" s="368"/>
      <c r="I110" s="545" t="s">
        <v>1805</v>
      </c>
      <c r="J110" s="546"/>
      <c r="K110" s="546"/>
      <c r="L110" s="465">
        <f t="shared" si="6"/>
        <v>16.600000000000001</v>
      </c>
      <c r="M110" s="407">
        <f t="shared" si="7"/>
        <v>18.5</v>
      </c>
    </row>
    <row r="111" spans="1:13">
      <c r="A111" s="392" t="s">
        <v>56</v>
      </c>
      <c r="B111" s="4"/>
      <c r="C111" s="547" t="s">
        <v>20</v>
      </c>
      <c r="D111" s="548"/>
      <c r="E111" s="402" t="s">
        <v>21</v>
      </c>
      <c r="F111" s="402" t="s">
        <v>22</v>
      </c>
      <c r="G111" s="61" t="s">
        <v>23</v>
      </c>
      <c r="I111" s="545" t="s">
        <v>1814</v>
      </c>
      <c r="J111" s="546"/>
      <c r="K111" s="546"/>
      <c r="L111" s="465">
        <f t="shared" si="6"/>
        <v>3.85</v>
      </c>
      <c r="M111" s="407">
        <f t="shared" si="7"/>
        <v>6.25</v>
      </c>
    </row>
    <row r="112" spans="1:13">
      <c r="A112" s="393"/>
      <c r="B112" s="369"/>
      <c r="C112" s="549" t="s">
        <v>1427</v>
      </c>
      <c r="D112" s="550"/>
      <c r="E112" s="62">
        <f>SUM(E113:E127)</f>
        <v>0.57499999999999996</v>
      </c>
      <c r="F112" s="62">
        <f>SUM(F113:F127)</f>
        <v>0.85</v>
      </c>
      <c r="G112" s="557" t="s">
        <v>1428</v>
      </c>
      <c r="I112" s="545" t="s">
        <v>1821</v>
      </c>
      <c r="J112" s="546"/>
      <c r="K112" s="546"/>
      <c r="L112" s="465">
        <f t="shared" si="6"/>
        <v>6.25</v>
      </c>
      <c r="M112" s="407">
        <f t="shared" si="7"/>
        <v>8.5</v>
      </c>
    </row>
    <row r="113" spans="1:13" outlineLevel="1">
      <c r="A113" s="393"/>
      <c r="B113" s="370">
        <v>1</v>
      </c>
      <c r="C113" s="560" t="s">
        <v>1420</v>
      </c>
      <c r="D113" s="560"/>
      <c r="E113" s="405">
        <v>0.05</v>
      </c>
      <c r="F113" s="406">
        <v>0.1</v>
      </c>
      <c r="G113" s="558"/>
      <c r="I113" s="545" t="s">
        <v>1823</v>
      </c>
      <c r="J113" s="546"/>
      <c r="K113" s="546"/>
      <c r="L113" s="465">
        <f t="shared" si="6"/>
        <v>8.25</v>
      </c>
      <c r="M113" s="407">
        <f t="shared" si="7"/>
        <v>13</v>
      </c>
    </row>
    <row r="114" spans="1:13" outlineLevel="1">
      <c r="A114" s="393"/>
      <c r="B114" s="370">
        <v>2</v>
      </c>
      <c r="C114" s="560" t="s">
        <v>1421</v>
      </c>
      <c r="D114" s="560"/>
      <c r="E114" s="405">
        <v>0.1</v>
      </c>
      <c r="F114" s="406">
        <v>0.125</v>
      </c>
      <c r="G114" s="558"/>
      <c r="I114" s="545" t="s">
        <v>1828</v>
      </c>
      <c r="J114" s="546"/>
      <c r="K114" s="546"/>
      <c r="L114" s="465">
        <f t="shared" si="6"/>
        <v>4.6749999999999998</v>
      </c>
      <c r="M114" s="407">
        <f t="shared" si="7"/>
        <v>5.5000000000000009</v>
      </c>
    </row>
    <row r="115" spans="1:13" outlineLevel="1">
      <c r="A115" s="393"/>
      <c r="B115" s="370">
        <v>3</v>
      </c>
      <c r="C115" s="560" t="s">
        <v>1422</v>
      </c>
      <c r="D115" s="560"/>
      <c r="E115" s="405">
        <v>0.1</v>
      </c>
      <c r="F115" s="406">
        <v>0.15</v>
      </c>
      <c r="G115" s="558"/>
      <c r="I115" s="545" t="s">
        <v>1835</v>
      </c>
      <c r="J115" s="546"/>
      <c r="K115" s="546"/>
      <c r="L115" s="465">
        <f t="shared" si="6"/>
        <v>9.375</v>
      </c>
      <c r="M115" s="407">
        <f t="shared" si="7"/>
        <v>10.699999999999998</v>
      </c>
    </row>
    <row r="116" spans="1:13" outlineLevel="1">
      <c r="A116" s="393"/>
      <c r="B116" s="370">
        <v>4</v>
      </c>
      <c r="C116" s="560" t="s">
        <v>1408</v>
      </c>
      <c r="D116" s="560"/>
      <c r="E116" s="405">
        <v>0.125</v>
      </c>
      <c r="F116" s="406">
        <v>0.2</v>
      </c>
      <c r="G116" s="558"/>
      <c r="I116" s="545" t="s">
        <v>1838</v>
      </c>
      <c r="J116" s="546"/>
      <c r="K116" s="546"/>
      <c r="L116" s="465">
        <f t="shared" si="6"/>
        <v>1.675</v>
      </c>
      <c r="M116" s="407">
        <f t="shared" si="7"/>
        <v>2.2000000000000002</v>
      </c>
    </row>
    <row r="117" spans="1:13" outlineLevel="1">
      <c r="A117" s="393"/>
      <c r="B117" s="370">
        <v>5</v>
      </c>
      <c r="C117" s="560" t="s">
        <v>1423</v>
      </c>
      <c r="D117" s="560"/>
      <c r="E117" s="405">
        <v>0.1</v>
      </c>
      <c r="F117" s="406">
        <v>0.15</v>
      </c>
      <c r="G117" s="558"/>
      <c r="I117" s="545" t="s">
        <v>1846</v>
      </c>
      <c r="J117" s="546"/>
      <c r="K117" s="546"/>
      <c r="L117" s="465">
        <f t="shared" si="6"/>
        <v>10</v>
      </c>
      <c r="M117" s="407">
        <f t="shared" si="7"/>
        <v>10</v>
      </c>
    </row>
    <row r="118" spans="1:13" outlineLevel="1">
      <c r="A118" s="393"/>
      <c r="B118" s="370">
        <v>6</v>
      </c>
      <c r="C118" s="560" t="s">
        <v>1424</v>
      </c>
      <c r="D118" s="560"/>
      <c r="E118" s="405">
        <v>0.1</v>
      </c>
      <c r="F118" s="406">
        <v>0.125</v>
      </c>
      <c r="G118" s="558"/>
      <c r="I118" s="545" t="s">
        <v>1851</v>
      </c>
      <c r="J118" s="546"/>
      <c r="K118" s="546"/>
      <c r="L118" s="465">
        <f t="shared" si="6"/>
        <v>3.25</v>
      </c>
      <c r="M118" s="407">
        <f t="shared" si="7"/>
        <v>4</v>
      </c>
    </row>
    <row r="119" spans="1:13" outlineLevel="1">
      <c r="A119" s="393"/>
      <c r="B119" s="370">
        <v>7</v>
      </c>
      <c r="C119" s="553"/>
      <c r="D119" s="554"/>
      <c r="E119" s="49"/>
      <c r="F119" s="49"/>
      <c r="G119" s="558"/>
      <c r="I119" s="545" t="s">
        <v>1856</v>
      </c>
      <c r="J119" s="546"/>
      <c r="K119" s="546"/>
      <c r="L119" s="465">
        <f t="shared" si="6"/>
        <v>4.75</v>
      </c>
      <c r="M119" s="407">
        <f t="shared" si="7"/>
        <v>5.5</v>
      </c>
    </row>
    <row r="120" spans="1:13" outlineLevel="1">
      <c r="A120" s="393"/>
      <c r="B120" s="370">
        <v>8</v>
      </c>
      <c r="C120" s="553"/>
      <c r="D120" s="554"/>
      <c r="E120" s="49"/>
      <c r="F120" s="49"/>
      <c r="G120" s="558"/>
      <c r="I120" s="545" t="s">
        <v>1858</v>
      </c>
      <c r="J120" s="546"/>
      <c r="K120" s="546"/>
      <c r="L120" s="465">
        <f t="shared" si="6"/>
        <v>6.25</v>
      </c>
      <c r="M120" s="407">
        <f t="shared" si="7"/>
        <v>8</v>
      </c>
    </row>
    <row r="121" spans="1:13" outlineLevel="1">
      <c r="A121" s="393"/>
      <c r="B121" s="370">
        <v>9</v>
      </c>
      <c r="C121" s="553"/>
      <c r="D121" s="554"/>
      <c r="E121" s="49"/>
      <c r="F121" s="49"/>
      <c r="G121" s="558"/>
      <c r="I121" s="545" t="s">
        <v>1859</v>
      </c>
      <c r="J121" s="546"/>
      <c r="K121" s="546"/>
      <c r="L121" s="465">
        <f t="shared" si="6"/>
        <v>0</v>
      </c>
      <c r="M121" s="407">
        <f t="shared" si="7"/>
        <v>0</v>
      </c>
    </row>
    <row r="122" spans="1:13" outlineLevel="1">
      <c r="A122" s="393"/>
      <c r="B122" s="370">
        <v>10</v>
      </c>
      <c r="C122" s="553"/>
      <c r="D122" s="554"/>
      <c r="E122" s="49"/>
      <c r="F122" s="49"/>
      <c r="G122" s="558"/>
      <c r="I122" s="581" t="s">
        <v>1871</v>
      </c>
      <c r="J122" s="582"/>
      <c r="K122" s="582"/>
      <c r="L122" s="466">
        <f t="shared" si="6"/>
        <v>2</v>
      </c>
      <c r="M122" s="404">
        <f t="shared" si="7"/>
        <v>3.25</v>
      </c>
    </row>
    <row r="123" spans="1:13" outlineLevel="1">
      <c r="A123" s="393"/>
      <c r="B123" s="370">
        <v>11</v>
      </c>
      <c r="C123" s="553"/>
      <c r="D123" s="554"/>
      <c r="E123" s="49"/>
      <c r="F123" s="49"/>
      <c r="G123" s="558"/>
    </row>
    <row r="124" spans="1:13" outlineLevel="1">
      <c r="A124" s="393"/>
      <c r="B124" s="370">
        <v>12</v>
      </c>
      <c r="C124" s="553"/>
      <c r="D124" s="554"/>
      <c r="E124" s="49"/>
      <c r="F124" s="49"/>
      <c r="G124" s="558"/>
    </row>
    <row r="125" spans="1:13" outlineLevel="1">
      <c r="A125" s="393"/>
      <c r="B125" s="370">
        <v>13</v>
      </c>
      <c r="C125" s="553"/>
      <c r="D125" s="554"/>
      <c r="E125" s="49"/>
      <c r="F125" s="49"/>
      <c r="G125" s="558"/>
    </row>
    <row r="126" spans="1:13" outlineLevel="1">
      <c r="A126" s="393"/>
      <c r="B126" s="370">
        <v>14</v>
      </c>
      <c r="C126" s="553"/>
      <c r="D126" s="554"/>
      <c r="E126" s="49"/>
      <c r="F126" s="49"/>
      <c r="G126" s="558"/>
    </row>
    <row r="127" spans="1:13" outlineLevel="1">
      <c r="A127" s="394"/>
      <c r="B127" s="371">
        <v>15</v>
      </c>
      <c r="C127" s="555"/>
      <c r="D127" s="556"/>
      <c r="E127" s="51"/>
      <c r="F127" s="51"/>
      <c r="G127" s="559"/>
    </row>
    <row r="128" spans="1:13">
      <c r="A128" s="368"/>
    </row>
    <row r="129" spans="1:7">
      <c r="A129" s="392" t="s">
        <v>56</v>
      </c>
      <c r="B129" s="4"/>
      <c r="C129" s="547" t="s">
        <v>20</v>
      </c>
      <c r="D129" s="548"/>
      <c r="E129" s="402" t="s">
        <v>21</v>
      </c>
      <c r="F129" s="402" t="s">
        <v>22</v>
      </c>
      <c r="G129" s="61" t="s">
        <v>23</v>
      </c>
    </row>
    <row r="130" spans="1:7">
      <c r="A130" s="393"/>
      <c r="B130" s="369"/>
      <c r="C130" s="549" t="s">
        <v>1419</v>
      </c>
      <c r="D130" s="550"/>
      <c r="E130" s="62">
        <f>SUM(E131:E145)</f>
        <v>0.77500000000000002</v>
      </c>
      <c r="F130" s="62">
        <f>SUM(F131:F145)</f>
        <v>1.1000000000000001</v>
      </c>
      <c r="G130" s="557" t="s">
        <v>1425</v>
      </c>
    </row>
    <row r="131" spans="1:7" outlineLevel="1">
      <c r="A131" s="393"/>
      <c r="B131" s="370">
        <v>1</v>
      </c>
      <c r="C131" s="560" t="s">
        <v>1420</v>
      </c>
      <c r="D131" s="560"/>
      <c r="E131" s="405">
        <v>0.05</v>
      </c>
      <c r="F131" s="406">
        <v>0.1</v>
      </c>
      <c r="G131" s="558"/>
    </row>
    <row r="132" spans="1:7" outlineLevel="1">
      <c r="A132" s="393"/>
      <c r="B132" s="370">
        <v>2</v>
      </c>
      <c r="C132" s="560" t="s">
        <v>1421</v>
      </c>
      <c r="D132" s="560"/>
      <c r="E132" s="405">
        <v>0.1</v>
      </c>
      <c r="F132" s="406">
        <v>0.125</v>
      </c>
      <c r="G132" s="558"/>
    </row>
    <row r="133" spans="1:7" outlineLevel="1">
      <c r="A133" s="393"/>
      <c r="B133" s="370">
        <v>3</v>
      </c>
      <c r="C133" s="560" t="s">
        <v>1422</v>
      </c>
      <c r="D133" s="560"/>
      <c r="E133" s="405">
        <v>0.2</v>
      </c>
      <c r="F133" s="406">
        <v>0.25</v>
      </c>
      <c r="G133" s="558"/>
    </row>
    <row r="134" spans="1:7" outlineLevel="1">
      <c r="A134" s="393"/>
      <c r="B134" s="370">
        <v>4</v>
      </c>
      <c r="C134" s="575" t="s">
        <v>1408</v>
      </c>
      <c r="D134" s="576"/>
      <c r="E134" s="405">
        <v>0.125</v>
      </c>
      <c r="F134" s="406">
        <v>0.25</v>
      </c>
      <c r="G134" s="558"/>
    </row>
    <row r="135" spans="1:7" outlineLevel="1">
      <c r="A135" s="393"/>
      <c r="B135" s="370">
        <v>5</v>
      </c>
      <c r="C135" s="560" t="s">
        <v>1423</v>
      </c>
      <c r="D135" s="560"/>
      <c r="E135" s="405">
        <v>0.2</v>
      </c>
      <c r="F135" s="406">
        <v>0.25</v>
      </c>
      <c r="G135" s="558"/>
    </row>
    <row r="136" spans="1:7" outlineLevel="1">
      <c r="A136" s="393"/>
      <c r="B136" s="370">
        <v>6</v>
      </c>
      <c r="C136" s="560" t="s">
        <v>1424</v>
      </c>
      <c r="D136" s="560"/>
      <c r="E136" s="405">
        <v>0.1</v>
      </c>
      <c r="F136" s="406">
        <v>0.125</v>
      </c>
      <c r="G136" s="558"/>
    </row>
    <row r="137" spans="1:7" outlineLevel="1">
      <c r="A137" s="393"/>
      <c r="B137" s="370">
        <v>7</v>
      </c>
      <c r="C137" s="553"/>
      <c r="D137" s="554"/>
      <c r="E137" s="49"/>
      <c r="F137" s="49"/>
      <c r="G137" s="558"/>
    </row>
    <row r="138" spans="1:7" outlineLevel="1">
      <c r="A138" s="393"/>
      <c r="B138" s="370">
        <v>8</v>
      </c>
      <c r="C138" s="553"/>
      <c r="D138" s="554"/>
      <c r="E138" s="49"/>
      <c r="F138" s="49"/>
      <c r="G138" s="558"/>
    </row>
    <row r="139" spans="1:7" outlineLevel="1">
      <c r="A139" s="393"/>
      <c r="B139" s="370">
        <v>9</v>
      </c>
      <c r="C139" s="553"/>
      <c r="D139" s="554"/>
      <c r="E139" s="49"/>
      <c r="F139" s="49"/>
      <c r="G139" s="558"/>
    </row>
    <row r="140" spans="1:7" outlineLevel="1">
      <c r="A140" s="393"/>
      <c r="B140" s="370">
        <v>10</v>
      </c>
      <c r="C140" s="553"/>
      <c r="D140" s="554"/>
      <c r="E140" s="49"/>
      <c r="F140" s="49"/>
      <c r="G140" s="558"/>
    </row>
    <row r="141" spans="1:7" outlineLevel="1">
      <c r="A141" s="393"/>
      <c r="B141" s="370">
        <v>11</v>
      </c>
      <c r="C141" s="553"/>
      <c r="D141" s="554"/>
      <c r="E141" s="49"/>
      <c r="F141" s="49"/>
      <c r="G141" s="558"/>
    </row>
    <row r="142" spans="1:7" outlineLevel="1">
      <c r="A142" s="393"/>
      <c r="B142" s="370">
        <v>12</v>
      </c>
      <c r="C142" s="553"/>
      <c r="D142" s="554"/>
      <c r="E142" s="49"/>
      <c r="F142" s="49"/>
      <c r="G142" s="558"/>
    </row>
    <row r="143" spans="1:7" outlineLevel="1">
      <c r="A143" s="393"/>
      <c r="B143" s="370">
        <v>13</v>
      </c>
      <c r="C143" s="553"/>
      <c r="D143" s="554"/>
      <c r="E143" s="49"/>
      <c r="F143" s="49"/>
      <c r="G143" s="558"/>
    </row>
    <row r="144" spans="1:7" outlineLevel="1">
      <c r="A144" s="393"/>
      <c r="B144" s="370">
        <v>14</v>
      </c>
      <c r="C144" s="553"/>
      <c r="D144" s="554"/>
      <c r="E144" s="49"/>
      <c r="F144" s="49"/>
      <c r="G144" s="558"/>
    </row>
    <row r="145" spans="1:7" outlineLevel="1">
      <c r="A145" s="394"/>
      <c r="B145" s="371">
        <v>15</v>
      </c>
      <c r="C145" s="555"/>
      <c r="D145" s="556"/>
      <c r="E145" s="51"/>
      <c r="F145" s="51"/>
      <c r="G145" s="559"/>
    </row>
    <row r="146" spans="1:7">
      <c r="A146" s="368"/>
    </row>
    <row r="147" spans="1:7">
      <c r="A147" s="392" t="s">
        <v>56</v>
      </c>
      <c r="B147" s="4"/>
      <c r="C147" s="547" t="s">
        <v>20</v>
      </c>
      <c r="D147" s="548"/>
      <c r="E147" s="402" t="s">
        <v>21</v>
      </c>
      <c r="F147" s="402" t="s">
        <v>22</v>
      </c>
      <c r="G147" s="61" t="s">
        <v>23</v>
      </c>
    </row>
    <row r="148" spans="1:7">
      <c r="A148" s="393"/>
      <c r="B148" s="369"/>
      <c r="C148" s="549" t="s">
        <v>1426</v>
      </c>
      <c r="D148" s="550"/>
      <c r="E148" s="62">
        <f>SUM(E149:E163)</f>
        <v>1.7250000000000001</v>
      </c>
      <c r="F148" s="62">
        <f>SUM(F149:F163)</f>
        <v>2.375</v>
      </c>
      <c r="G148" s="557" t="s">
        <v>1429</v>
      </c>
    </row>
    <row r="149" spans="1:7" outlineLevel="1">
      <c r="A149" s="393"/>
      <c r="B149" s="370">
        <v>1</v>
      </c>
      <c r="C149" s="560" t="s">
        <v>1420</v>
      </c>
      <c r="D149" s="560"/>
      <c r="E149" s="405">
        <v>0.1</v>
      </c>
      <c r="F149" s="406">
        <v>0.2</v>
      </c>
      <c r="G149" s="558"/>
    </row>
    <row r="150" spans="1:7" outlineLevel="1">
      <c r="A150" s="393"/>
      <c r="B150" s="370">
        <v>2</v>
      </c>
      <c r="C150" s="560" t="s">
        <v>1421</v>
      </c>
      <c r="D150" s="560"/>
      <c r="E150" s="405">
        <v>0.2</v>
      </c>
      <c r="F150" s="406">
        <v>0.3</v>
      </c>
      <c r="G150" s="558"/>
    </row>
    <row r="151" spans="1:7" outlineLevel="1">
      <c r="A151" s="393"/>
      <c r="B151" s="370">
        <v>3</v>
      </c>
      <c r="C151" s="560" t="s">
        <v>1422</v>
      </c>
      <c r="D151" s="560"/>
      <c r="E151" s="405">
        <v>0.6</v>
      </c>
      <c r="F151" s="406">
        <v>0.75</v>
      </c>
      <c r="G151" s="558"/>
    </row>
    <row r="152" spans="1:7" outlineLevel="1">
      <c r="A152" s="393"/>
      <c r="B152" s="370">
        <v>4</v>
      </c>
      <c r="C152" s="575" t="s">
        <v>1408</v>
      </c>
      <c r="D152" s="576"/>
      <c r="E152" s="405">
        <v>0.125</v>
      </c>
      <c r="F152" s="406">
        <v>0.25</v>
      </c>
      <c r="G152" s="558"/>
    </row>
    <row r="153" spans="1:7" outlineLevel="1">
      <c r="A153" s="393"/>
      <c r="B153" s="370">
        <v>5</v>
      </c>
      <c r="C153" s="560" t="s">
        <v>1423</v>
      </c>
      <c r="D153" s="560"/>
      <c r="E153" s="405">
        <v>0.6</v>
      </c>
      <c r="F153" s="406">
        <v>0.75</v>
      </c>
      <c r="G153" s="558"/>
    </row>
    <row r="154" spans="1:7" outlineLevel="1">
      <c r="A154" s="393"/>
      <c r="B154" s="370">
        <v>6</v>
      </c>
      <c r="C154" s="560" t="s">
        <v>1424</v>
      </c>
      <c r="D154" s="560"/>
      <c r="E154" s="405">
        <v>0.1</v>
      </c>
      <c r="F154" s="406">
        <v>0.125</v>
      </c>
      <c r="G154" s="558"/>
    </row>
    <row r="155" spans="1:7" outlineLevel="1">
      <c r="A155" s="393"/>
      <c r="B155" s="370">
        <v>7</v>
      </c>
      <c r="C155" s="553"/>
      <c r="D155" s="554"/>
      <c r="E155" s="49"/>
      <c r="F155" s="49"/>
      <c r="G155" s="558"/>
    </row>
    <row r="156" spans="1:7" outlineLevel="1">
      <c r="A156" s="393"/>
      <c r="B156" s="370">
        <v>8</v>
      </c>
      <c r="C156" s="553"/>
      <c r="D156" s="554"/>
      <c r="E156" s="49"/>
      <c r="F156" s="49"/>
      <c r="G156" s="558"/>
    </row>
    <row r="157" spans="1:7" outlineLevel="1">
      <c r="A157" s="393"/>
      <c r="B157" s="370">
        <v>9</v>
      </c>
      <c r="C157" s="553"/>
      <c r="D157" s="554"/>
      <c r="E157" s="49"/>
      <c r="F157" s="49"/>
      <c r="G157" s="558"/>
    </row>
    <row r="158" spans="1:7" outlineLevel="1">
      <c r="A158" s="393"/>
      <c r="B158" s="370">
        <v>10</v>
      </c>
      <c r="C158" s="553"/>
      <c r="D158" s="554"/>
      <c r="E158" s="49"/>
      <c r="F158" s="49"/>
      <c r="G158" s="558"/>
    </row>
    <row r="159" spans="1:7" outlineLevel="1">
      <c r="A159" s="393"/>
      <c r="B159" s="370">
        <v>11</v>
      </c>
      <c r="C159" s="553"/>
      <c r="D159" s="554"/>
      <c r="E159" s="49"/>
      <c r="F159" s="49"/>
      <c r="G159" s="558"/>
    </row>
    <row r="160" spans="1:7" outlineLevel="1">
      <c r="A160" s="393"/>
      <c r="B160" s="370">
        <v>12</v>
      </c>
      <c r="C160" s="553"/>
      <c r="D160" s="554"/>
      <c r="E160" s="49"/>
      <c r="F160" s="49"/>
      <c r="G160" s="558"/>
    </row>
    <row r="161" spans="1:7" outlineLevel="1">
      <c r="A161" s="393"/>
      <c r="B161" s="370">
        <v>13</v>
      </c>
      <c r="C161" s="553"/>
      <c r="D161" s="554"/>
      <c r="E161" s="49"/>
      <c r="F161" s="49"/>
      <c r="G161" s="558"/>
    </row>
    <row r="162" spans="1:7" outlineLevel="1">
      <c r="A162" s="393"/>
      <c r="B162" s="370">
        <v>14</v>
      </c>
      <c r="C162" s="553"/>
      <c r="D162" s="554"/>
      <c r="E162" s="49"/>
      <c r="F162" s="49"/>
      <c r="G162" s="558"/>
    </row>
    <row r="163" spans="1:7" outlineLevel="1">
      <c r="A163" s="394"/>
      <c r="B163" s="371">
        <v>15</v>
      </c>
      <c r="C163" s="555"/>
      <c r="D163" s="556"/>
      <c r="E163" s="51"/>
      <c r="F163" s="51"/>
      <c r="G163" s="559"/>
    </row>
    <row r="164" spans="1:7">
      <c r="A164" s="368"/>
    </row>
    <row r="165" spans="1:7">
      <c r="A165" s="392" t="s">
        <v>56</v>
      </c>
      <c r="B165" s="4"/>
      <c r="C165" s="547" t="s">
        <v>20</v>
      </c>
      <c r="D165" s="548"/>
      <c r="E165" s="402" t="s">
        <v>21</v>
      </c>
      <c r="F165" s="402" t="s">
        <v>22</v>
      </c>
      <c r="G165" s="61" t="s">
        <v>23</v>
      </c>
    </row>
    <row r="166" spans="1:7">
      <c r="A166" s="393"/>
      <c r="B166" s="369"/>
      <c r="C166" s="549" t="s">
        <v>1445</v>
      </c>
      <c r="D166" s="550"/>
      <c r="E166" s="62">
        <f>SUM(E167:E181)</f>
        <v>4.8499999999999996</v>
      </c>
      <c r="F166" s="62">
        <f>SUM(F167:F181)</f>
        <v>8.1</v>
      </c>
      <c r="G166" s="557" t="s">
        <v>1446</v>
      </c>
    </row>
    <row r="167" spans="1:7" ht="15" customHeight="1" outlineLevel="1">
      <c r="A167" s="393"/>
      <c r="B167" s="370">
        <v>1</v>
      </c>
      <c r="C167" s="560" t="s">
        <v>1436</v>
      </c>
      <c r="D167" s="560"/>
      <c r="E167" s="405">
        <v>0.5</v>
      </c>
      <c r="F167" s="406">
        <v>1</v>
      </c>
      <c r="G167" s="558"/>
    </row>
    <row r="168" spans="1:7" ht="15" customHeight="1" outlineLevel="1">
      <c r="A168" s="393"/>
      <c r="B168" s="370">
        <v>2</v>
      </c>
      <c r="C168" s="560" t="s">
        <v>1437</v>
      </c>
      <c r="D168" s="560"/>
      <c r="E168" s="405">
        <v>0.5</v>
      </c>
      <c r="F168" s="406">
        <v>0.5</v>
      </c>
      <c r="G168" s="558"/>
    </row>
    <row r="169" spans="1:7" outlineLevel="1">
      <c r="A169" s="393"/>
      <c r="B169" s="370">
        <v>3</v>
      </c>
      <c r="C169" s="560" t="s">
        <v>1438</v>
      </c>
      <c r="D169" s="560"/>
      <c r="E169" s="405">
        <v>0.5</v>
      </c>
      <c r="F169" s="406">
        <v>1</v>
      </c>
      <c r="G169" s="558"/>
    </row>
    <row r="170" spans="1:7" outlineLevel="1">
      <c r="A170" s="393"/>
      <c r="B170" s="370">
        <v>4</v>
      </c>
      <c r="C170" s="560" t="s">
        <v>1439</v>
      </c>
      <c r="D170" s="560"/>
      <c r="E170" s="405">
        <v>0.5</v>
      </c>
      <c r="F170" s="406">
        <v>1</v>
      </c>
      <c r="G170" s="558"/>
    </row>
    <row r="171" spans="1:7" outlineLevel="1">
      <c r="A171" s="393"/>
      <c r="B171" s="370">
        <v>5</v>
      </c>
      <c r="C171" s="560" t="s">
        <v>1440</v>
      </c>
      <c r="D171" s="560"/>
      <c r="E171" s="405">
        <v>0.5</v>
      </c>
      <c r="F171" s="406">
        <v>1</v>
      </c>
      <c r="G171" s="558"/>
    </row>
    <row r="172" spans="1:7" outlineLevel="1">
      <c r="A172" s="393"/>
      <c r="B172" s="370">
        <v>6</v>
      </c>
      <c r="C172" s="560" t="s">
        <v>1441</v>
      </c>
      <c r="D172" s="560"/>
      <c r="E172" s="405">
        <v>0.25</v>
      </c>
      <c r="F172" s="406">
        <v>0.5</v>
      </c>
      <c r="G172" s="558"/>
    </row>
    <row r="173" spans="1:7" outlineLevel="1">
      <c r="A173" s="393"/>
      <c r="B173" s="370">
        <v>7</v>
      </c>
      <c r="C173" s="560" t="s">
        <v>1442</v>
      </c>
      <c r="D173" s="560"/>
      <c r="E173" s="405">
        <v>1.5</v>
      </c>
      <c r="F173" s="406">
        <v>2</v>
      </c>
      <c r="G173" s="558"/>
    </row>
    <row r="174" spans="1:7" outlineLevel="1">
      <c r="A174" s="393"/>
      <c r="B174" s="370">
        <v>8</v>
      </c>
      <c r="C174" s="560" t="s">
        <v>1443</v>
      </c>
      <c r="D174" s="560"/>
      <c r="E174" s="405">
        <v>0.1</v>
      </c>
      <c r="F174" s="406">
        <v>0.1</v>
      </c>
      <c r="G174" s="558"/>
    </row>
    <row r="175" spans="1:7" outlineLevel="1">
      <c r="A175" s="393"/>
      <c r="B175" s="370">
        <v>9</v>
      </c>
      <c r="C175" s="560" t="s">
        <v>1444</v>
      </c>
      <c r="D175" s="560"/>
      <c r="E175" s="405">
        <v>0.5</v>
      </c>
      <c r="F175" s="406">
        <v>1</v>
      </c>
      <c r="G175" s="558"/>
    </row>
    <row r="176" spans="1:7" outlineLevel="1">
      <c r="A176" s="393"/>
      <c r="B176" s="370">
        <v>10</v>
      </c>
      <c r="C176" s="553"/>
      <c r="D176" s="554"/>
      <c r="E176" s="49"/>
      <c r="F176" s="49"/>
      <c r="G176" s="558"/>
    </row>
    <row r="177" spans="1:7" outlineLevel="1">
      <c r="A177" s="393"/>
      <c r="B177" s="370">
        <v>11</v>
      </c>
      <c r="C177" s="553"/>
      <c r="D177" s="554"/>
      <c r="E177" s="49"/>
      <c r="F177" s="49"/>
      <c r="G177" s="558"/>
    </row>
    <row r="178" spans="1:7" outlineLevel="1">
      <c r="A178" s="393"/>
      <c r="B178" s="370">
        <v>12</v>
      </c>
      <c r="C178" s="553"/>
      <c r="D178" s="554"/>
      <c r="E178" s="49"/>
      <c r="F178" s="49"/>
      <c r="G178" s="558"/>
    </row>
    <row r="179" spans="1:7" outlineLevel="1">
      <c r="A179" s="393"/>
      <c r="B179" s="370">
        <v>13</v>
      </c>
      <c r="C179" s="553"/>
      <c r="D179" s="554"/>
      <c r="E179" s="49"/>
      <c r="F179" s="49"/>
      <c r="G179" s="558"/>
    </row>
    <row r="180" spans="1:7" outlineLevel="1">
      <c r="A180" s="393"/>
      <c r="B180" s="370">
        <v>14</v>
      </c>
      <c r="C180" s="553"/>
      <c r="D180" s="554"/>
      <c r="E180" s="49"/>
      <c r="F180" s="49"/>
      <c r="G180" s="558"/>
    </row>
    <row r="181" spans="1:7" outlineLevel="1">
      <c r="A181" s="394"/>
      <c r="B181" s="371">
        <v>15</v>
      </c>
      <c r="C181" s="555"/>
      <c r="D181" s="556"/>
      <c r="E181" s="51"/>
      <c r="F181" s="51"/>
      <c r="G181" s="559"/>
    </row>
    <row r="182" spans="1:7">
      <c r="A182" s="368"/>
    </row>
    <row r="183" spans="1:7">
      <c r="A183" s="392" t="s">
        <v>56</v>
      </c>
      <c r="B183" s="4"/>
      <c r="C183" s="547" t="s">
        <v>20</v>
      </c>
      <c r="D183" s="548"/>
      <c r="E183" s="402" t="s">
        <v>21</v>
      </c>
      <c r="F183" s="402" t="s">
        <v>22</v>
      </c>
      <c r="G183" s="61" t="s">
        <v>23</v>
      </c>
    </row>
    <row r="184" spans="1:7">
      <c r="A184" s="393"/>
      <c r="B184" s="369"/>
      <c r="C184" s="549" t="s">
        <v>1430</v>
      </c>
      <c r="D184" s="550"/>
      <c r="E184" s="62">
        <f>SUM(E185:E199)</f>
        <v>0.70000000000000007</v>
      </c>
      <c r="F184" s="62">
        <f>SUM(F185:F199)</f>
        <v>0.95000000000000007</v>
      </c>
      <c r="G184" s="557" t="s">
        <v>1447</v>
      </c>
    </row>
    <row r="185" spans="1:7" outlineLevel="1">
      <c r="A185" s="393"/>
      <c r="B185" s="370">
        <v>1</v>
      </c>
      <c r="C185" s="560" t="s">
        <v>1431</v>
      </c>
      <c r="D185" s="560"/>
      <c r="E185" s="405">
        <v>0.05</v>
      </c>
      <c r="F185" s="406">
        <v>0.05</v>
      </c>
      <c r="G185" s="558"/>
    </row>
    <row r="186" spans="1:7" outlineLevel="1">
      <c r="A186" s="393"/>
      <c r="B186" s="370">
        <v>2</v>
      </c>
      <c r="C186" s="560" t="s">
        <v>1432</v>
      </c>
      <c r="D186" s="560"/>
      <c r="E186" s="405">
        <v>0.5</v>
      </c>
      <c r="F186" s="406">
        <v>0.75</v>
      </c>
      <c r="G186" s="558"/>
    </row>
    <row r="187" spans="1:7" outlineLevel="1">
      <c r="A187" s="393"/>
      <c r="B187" s="370">
        <v>3</v>
      </c>
      <c r="C187" s="575" t="s">
        <v>1433</v>
      </c>
      <c r="D187" s="576"/>
      <c r="E187" s="405">
        <v>0.1</v>
      </c>
      <c r="F187" s="406">
        <v>0.1</v>
      </c>
      <c r="G187" s="558"/>
    </row>
    <row r="188" spans="1:7" outlineLevel="1">
      <c r="A188" s="393"/>
      <c r="B188" s="370">
        <v>4</v>
      </c>
      <c r="C188" s="575" t="s">
        <v>1434</v>
      </c>
      <c r="D188" s="576"/>
      <c r="E188" s="405">
        <v>0.05</v>
      </c>
      <c r="F188" s="406">
        <v>0.05</v>
      </c>
      <c r="G188" s="558"/>
    </row>
    <row r="189" spans="1:7" outlineLevel="1">
      <c r="A189" s="393"/>
      <c r="B189" s="370">
        <v>5</v>
      </c>
      <c r="C189" s="560" t="s">
        <v>1435</v>
      </c>
      <c r="D189" s="560"/>
      <c r="E189" s="405">
        <v>0</v>
      </c>
      <c r="F189" s="406">
        <v>0</v>
      </c>
      <c r="G189" s="558"/>
    </row>
    <row r="190" spans="1:7" outlineLevel="1">
      <c r="A190" s="393"/>
      <c r="B190" s="370">
        <v>6</v>
      </c>
      <c r="C190" s="553"/>
      <c r="D190" s="554"/>
      <c r="E190" s="49"/>
      <c r="F190" s="49"/>
      <c r="G190" s="558"/>
    </row>
    <row r="191" spans="1:7" outlineLevel="1">
      <c r="A191" s="393"/>
      <c r="B191" s="370">
        <v>7</v>
      </c>
      <c r="C191" s="553"/>
      <c r="D191" s="554"/>
      <c r="E191" s="49"/>
      <c r="F191" s="49"/>
      <c r="G191" s="558"/>
    </row>
    <row r="192" spans="1:7" outlineLevel="1">
      <c r="A192" s="393"/>
      <c r="B192" s="370">
        <v>8</v>
      </c>
      <c r="C192" s="553"/>
      <c r="D192" s="554"/>
      <c r="E192" s="49"/>
      <c r="F192" s="49"/>
      <c r="G192" s="558"/>
    </row>
    <row r="193" spans="1:7" outlineLevel="1">
      <c r="A193" s="393"/>
      <c r="B193" s="370">
        <v>9</v>
      </c>
      <c r="C193" s="553"/>
      <c r="D193" s="554"/>
      <c r="E193" s="49"/>
      <c r="F193" s="49"/>
      <c r="G193" s="558"/>
    </row>
    <row r="194" spans="1:7" outlineLevel="1">
      <c r="A194" s="393"/>
      <c r="B194" s="370">
        <v>10</v>
      </c>
      <c r="C194" s="553"/>
      <c r="D194" s="554"/>
      <c r="E194" s="49"/>
      <c r="F194" s="49"/>
      <c r="G194" s="558"/>
    </row>
    <row r="195" spans="1:7" outlineLevel="1">
      <c r="A195" s="393"/>
      <c r="B195" s="370">
        <v>11</v>
      </c>
      <c r="C195" s="553"/>
      <c r="D195" s="554"/>
      <c r="E195" s="49"/>
      <c r="F195" s="49"/>
      <c r="G195" s="558"/>
    </row>
    <row r="196" spans="1:7" outlineLevel="1">
      <c r="A196" s="393"/>
      <c r="B196" s="370">
        <v>12</v>
      </c>
      <c r="C196" s="553"/>
      <c r="D196" s="554"/>
      <c r="E196" s="49"/>
      <c r="F196" s="49"/>
      <c r="G196" s="558"/>
    </row>
    <row r="197" spans="1:7" outlineLevel="1">
      <c r="A197" s="393"/>
      <c r="B197" s="370">
        <v>13</v>
      </c>
      <c r="C197" s="553"/>
      <c r="D197" s="554"/>
      <c r="E197" s="49"/>
      <c r="F197" s="49"/>
      <c r="G197" s="558"/>
    </row>
    <row r="198" spans="1:7" outlineLevel="1">
      <c r="A198" s="393"/>
      <c r="B198" s="370">
        <v>14</v>
      </c>
      <c r="C198" s="553"/>
      <c r="D198" s="554"/>
      <c r="E198" s="49"/>
      <c r="F198" s="49"/>
      <c r="G198" s="558"/>
    </row>
    <row r="199" spans="1:7" outlineLevel="1">
      <c r="A199" s="394"/>
      <c r="B199" s="371">
        <v>15</v>
      </c>
      <c r="C199" s="555"/>
      <c r="D199" s="556"/>
      <c r="E199" s="51"/>
      <c r="F199" s="51"/>
      <c r="G199" s="559"/>
    </row>
    <row r="200" spans="1:7">
      <c r="A200" s="368"/>
    </row>
    <row r="201" spans="1:7">
      <c r="A201" s="392" t="s">
        <v>56</v>
      </c>
      <c r="B201" s="4"/>
      <c r="C201" s="547" t="s">
        <v>20</v>
      </c>
      <c r="D201" s="548"/>
      <c r="E201" s="402" t="s">
        <v>21</v>
      </c>
      <c r="F201" s="402" t="s">
        <v>22</v>
      </c>
      <c r="G201" s="61" t="s">
        <v>23</v>
      </c>
    </row>
    <row r="202" spans="1:7" ht="15" customHeight="1">
      <c r="A202" s="393"/>
      <c r="B202" s="369"/>
      <c r="C202" s="549" t="s">
        <v>1448</v>
      </c>
      <c r="D202" s="550"/>
      <c r="E202" s="62">
        <f>SUM(E203:E217)</f>
        <v>1.7000000000000002</v>
      </c>
      <c r="F202" s="62">
        <f>SUM(F203:F217)</f>
        <v>2.4000000000000004</v>
      </c>
      <c r="G202" s="557" t="s">
        <v>1449</v>
      </c>
    </row>
    <row r="203" spans="1:7" outlineLevel="1">
      <c r="A203" s="393"/>
      <c r="B203" s="370">
        <v>1</v>
      </c>
      <c r="C203" s="560" t="s">
        <v>1431</v>
      </c>
      <c r="D203" s="560"/>
      <c r="E203" s="405">
        <v>0.1</v>
      </c>
      <c r="F203" s="406">
        <v>0.1</v>
      </c>
      <c r="G203" s="558"/>
    </row>
    <row r="204" spans="1:7" outlineLevel="1">
      <c r="A204" s="393"/>
      <c r="B204" s="370">
        <v>2</v>
      </c>
      <c r="C204" s="560" t="s">
        <v>1432</v>
      </c>
      <c r="D204" s="560"/>
      <c r="E204" s="405">
        <v>1</v>
      </c>
      <c r="F204" s="406">
        <v>1</v>
      </c>
      <c r="G204" s="558"/>
    </row>
    <row r="205" spans="1:7" outlineLevel="1">
      <c r="A205" s="393"/>
      <c r="B205" s="370">
        <v>3</v>
      </c>
      <c r="C205" s="560" t="s">
        <v>1433</v>
      </c>
      <c r="D205" s="560"/>
      <c r="E205" s="405">
        <v>0.1</v>
      </c>
      <c r="F205" s="406">
        <v>0.1</v>
      </c>
      <c r="G205" s="558"/>
    </row>
    <row r="206" spans="1:7" outlineLevel="1">
      <c r="A206" s="393"/>
      <c r="B206" s="370">
        <v>4</v>
      </c>
      <c r="C206" s="575" t="s">
        <v>1434</v>
      </c>
      <c r="D206" s="576"/>
      <c r="E206" s="405">
        <v>0.1</v>
      </c>
      <c r="F206" s="406">
        <v>0.2</v>
      </c>
      <c r="G206" s="558"/>
    </row>
    <row r="207" spans="1:7" outlineLevel="1">
      <c r="A207" s="393"/>
      <c r="B207" s="370">
        <v>5</v>
      </c>
      <c r="C207" s="560" t="s">
        <v>1435</v>
      </c>
      <c r="D207" s="560"/>
      <c r="E207" s="405">
        <v>0.2</v>
      </c>
      <c r="F207" s="406">
        <v>0.5</v>
      </c>
      <c r="G207" s="558"/>
    </row>
    <row r="208" spans="1:7" outlineLevel="1">
      <c r="A208" s="393"/>
      <c r="B208" s="370">
        <v>6</v>
      </c>
      <c r="C208" s="560" t="s">
        <v>1435</v>
      </c>
      <c r="D208" s="560"/>
      <c r="E208" s="405">
        <v>0.2</v>
      </c>
      <c r="F208" s="406">
        <v>0.5</v>
      </c>
      <c r="G208" s="558"/>
    </row>
    <row r="209" spans="1:7" outlineLevel="1">
      <c r="A209" s="393"/>
      <c r="B209" s="370">
        <v>7</v>
      </c>
      <c r="C209" s="553"/>
      <c r="D209" s="554"/>
      <c r="E209" s="49"/>
      <c r="F209" s="49"/>
      <c r="G209" s="558"/>
    </row>
    <row r="210" spans="1:7" outlineLevel="1">
      <c r="A210" s="393"/>
      <c r="B210" s="370">
        <v>8</v>
      </c>
      <c r="C210" s="553"/>
      <c r="D210" s="554"/>
      <c r="E210" s="49"/>
      <c r="F210" s="49"/>
      <c r="G210" s="558"/>
    </row>
    <row r="211" spans="1:7" outlineLevel="1">
      <c r="A211" s="393"/>
      <c r="B211" s="370">
        <v>9</v>
      </c>
      <c r="C211" s="553"/>
      <c r="D211" s="554"/>
      <c r="E211" s="49"/>
      <c r="F211" s="49"/>
      <c r="G211" s="558"/>
    </row>
    <row r="212" spans="1:7" outlineLevel="1">
      <c r="A212" s="393"/>
      <c r="B212" s="370">
        <v>10</v>
      </c>
      <c r="C212" s="553"/>
      <c r="D212" s="554"/>
      <c r="E212" s="49"/>
      <c r="F212" s="49"/>
      <c r="G212" s="558"/>
    </row>
    <row r="213" spans="1:7" outlineLevel="1">
      <c r="A213" s="393"/>
      <c r="B213" s="370">
        <v>11</v>
      </c>
      <c r="C213" s="553"/>
      <c r="D213" s="554"/>
      <c r="E213" s="49"/>
      <c r="F213" s="49"/>
      <c r="G213" s="558"/>
    </row>
    <row r="214" spans="1:7" outlineLevel="1">
      <c r="A214" s="393"/>
      <c r="B214" s="370">
        <v>12</v>
      </c>
      <c r="C214" s="553"/>
      <c r="D214" s="554"/>
      <c r="E214" s="49"/>
      <c r="F214" s="49"/>
      <c r="G214" s="558"/>
    </row>
    <row r="215" spans="1:7" outlineLevel="1">
      <c r="A215" s="393"/>
      <c r="B215" s="370">
        <v>13</v>
      </c>
      <c r="C215" s="553"/>
      <c r="D215" s="554"/>
      <c r="E215" s="49"/>
      <c r="F215" s="49"/>
      <c r="G215" s="558"/>
    </row>
    <row r="216" spans="1:7" outlineLevel="1">
      <c r="A216" s="393"/>
      <c r="B216" s="370">
        <v>14</v>
      </c>
      <c r="C216" s="553"/>
      <c r="D216" s="554"/>
      <c r="E216" s="49"/>
      <c r="F216" s="49"/>
      <c r="G216" s="558"/>
    </row>
    <row r="217" spans="1:7" outlineLevel="1">
      <c r="A217" s="394"/>
      <c r="B217" s="371">
        <v>15</v>
      </c>
      <c r="C217" s="555"/>
      <c r="D217" s="556"/>
      <c r="E217" s="51"/>
      <c r="F217" s="51"/>
      <c r="G217" s="559"/>
    </row>
    <row r="218" spans="1:7">
      <c r="A218" s="368"/>
    </row>
    <row r="219" spans="1:7">
      <c r="A219" s="392" t="s">
        <v>56</v>
      </c>
      <c r="B219" s="4"/>
      <c r="C219" s="547" t="s">
        <v>20</v>
      </c>
      <c r="D219" s="548"/>
      <c r="E219" s="402" t="s">
        <v>21</v>
      </c>
      <c r="F219" s="402" t="s">
        <v>22</v>
      </c>
      <c r="G219" s="61" t="s">
        <v>23</v>
      </c>
    </row>
    <row r="220" spans="1:7">
      <c r="A220" s="393"/>
      <c r="B220" s="369"/>
      <c r="C220" s="549" t="s">
        <v>1450</v>
      </c>
      <c r="D220" s="550"/>
      <c r="E220" s="62">
        <f>SUM(E221:E235)</f>
        <v>2.6</v>
      </c>
      <c r="F220" s="62">
        <f>SUM(F221:F235)</f>
        <v>3.1</v>
      </c>
      <c r="G220" s="557" t="s">
        <v>1451</v>
      </c>
    </row>
    <row r="221" spans="1:7" outlineLevel="1">
      <c r="A221" s="393"/>
      <c r="B221" s="370">
        <v>1</v>
      </c>
      <c r="C221" s="560" t="s">
        <v>1431</v>
      </c>
      <c r="D221" s="560"/>
      <c r="E221" s="405">
        <v>0.3</v>
      </c>
      <c r="F221" s="406">
        <v>0.3</v>
      </c>
      <c r="G221" s="558"/>
    </row>
    <row r="222" spans="1:7" outlineLevel="1">
      <c r="A222" s="393"/>
      <c r="B222" s="370">
        <v>2</v>
      </c>
      <c r="C222" s="560" t="s">
        <v>1432</v>
      </c>
      <c r="D222" s="560"/>
      <c r="E222" s="405">
        <v>1.7</v>
      </c>
      <c r="F222" s="406">
        <v>2</v>
      </c>
      <c r="G222" s="558"/>
    </row>
    <row r="223" spans="1:7" outlineLevel="1">
      <c r="A223" s="393"/>
      <c r="B223" s="370">
        <v>3</v>
      </c>
      <c r="C223" s="575" t="s">
        <v>1433</v>
      </c>
      <c r="D223" s="576"/>
      <c r="E223" s="405">
        <v>0.1</v>
      </c>
      <c r="F223" s="406">
        <v>0.1</v>
      </c>
      <c r="G223" s="558"/>
    </row>
    <row r="224" spans="1:7" outlineLevel="1">
      <c r="A224" s="393"/>
      <c r="B224" s="370">
        <v>4</v>
      </c>
      <c r="C224" s="575" t="s">
        <v>1434</v>
      </c>
      <c r="D224" s="576"/>
      <c r="E224" s="405">
        <v>0.2</v>
      </c>
      <c r="F224" s="406">
        <v>0.2</v>
      </c>
      <c r="G224" s="558"/>
    </row>
    <row r="225" spans="1:7" outlineLevel="1">
      <c r="A225" s="393"/>
      <c r="B225" s="370">
        <v>5</v>
      </c>
      <c r="C225" s="560" t="s">
        <v>1435</v>
      </c>
      <c r="D225" s="560"/>
      <c r="E225" s="405">
        <v>0.3</v>
      </c>
      <c r="F225" s="406">
        <v>0.5</v>
      </c>
      <c r="G225" s="558"/>
    </row>
    <row r="226" spans="1:7" outlineLevel="1">
      <c r="A226" s="393"/>
      <c r="B226" s="370">
        <v>6</v>
      </c>
      <c r="C226" s="553"/>
      <c r="D226" s="554"/>
      <c r="E226" s="49"/>
      <c r="F226" s="49"/>
      <c r="G226" s="558"/>
    </row>
    <row r="227" spans="1:7" outlineLevel="1">
      <c r="A227" s="393"/>
      <c r="B227" s="370">
        <v>7</v>
      </c>
      <c r="C227" s="553"/>
      <c r="D227" s="554"/>
      <c r="E227" s="49"/>
      <c r="F227" s="49"/>
      <c r="G227" s="558"/>
    </row>
    <row r="228" spans="1:7" outlineLevel="1">
      <c r="A228" s="393"/>
      <c r="B228" s="370">
        <v>8</v>
      </c>
      <c r="C228" s="553"/>
      <c r="D228" s="554"/>
      <c r="E228" s="49"/>
      <c r="F228" s="49"/>
      <c r="G228" s="558"/>
    </row>
    <row r="229" spans="1:7" outlineLevel="1">
      <c r="A229" s="393"/>
      <c r="B229" s="370">
        <v>9</v>
      </c>
      <c r="C229" s="553"/>
      <c r="D229" s="554"/>
      <c r="E229" s="49"/>
      <c r="F229" s="49"/>
      <c r="G229" s="558"/>
    </row>
    <row r="230" spans="1:7" outlineLevel="1">
      <c r="A230" s="393"/>
      <c r="B230" s="370">
        <v>10</v>
      </c>
      <c r="C230" s="553"/>
      <c r="D230" s="554"/>
      <c r="E230" s="49"/>
      <c r="F230" s="49"/>
      <c r="G230" s="558"/>
    </row>
    <row r="231" spans="1:7" outlineLevel="1">
      <c r="A231" s="393"/>
      <c r="B231" s="370">
        <v>11</v>
      </c>
      <c r="C231" s="553"/>
      <c r="D231" s="554"/>
      <c r="E231" s="49"/>
      <c r="F231" s="49"/>
      <c r="G231" s="558"/>
    </row>
    <row r="232" spans="1:7" outlineLevel="1">
      <c r="A232" s="393"/>
      <c r="B232" s="370">
        <v>12</v>
      </c>
      <c r="C232" s="553"/>
      <c r="D232" s="554"/>
      <c r="E232" s="49"/>
      <c r="F232" s="49"/>
      <c r="G232" s="558"/>
    </row>
    <row r="233" spans="1:7" outlineLevel="1">
      <c r="A233" s="393"/>
      <c r="B233" s="370">
        <v>13</v>
      </c>
      <c r="C233" s="553"/>
      <c r="D233" s="554"/>
      <c r="E233" s="49"/>
      <c r="F233" s="49"/>
      <c r="G233" s="558"/>
    </row>
    <row r="234" spans="1:7" outlineLevel="1">
      <c r="A234" s="393"/>
      <c r="B234" s="370">
        <v>14</v>
      </c>
      <c r="C234" s="553"/>
      <c r="D234" s="554"/>
      <c r="E234" s="49"/>
      <c r="F234" s="49"/>
      <c r="G234" s="558"/>
    </row>
    <row r="235" spans="1:7" outlineLevel="1">
      <c r="A235" s="394"/>
      <c r="B235" s="371">
        <v>15</v>
      </c>
      <c r="C235" s="555"/>
      <c r="D235" s="556"/>
      <c r="E235" s="51"/>
      <c r="F235" s="51"/>
      <c r="G235" s="559"/>
    </row>
    <row r="236" spans="1:7">
      <c r="A236" s="368"/>
    </row>
    <row r="237" spans="1:7">
      <c r="A237" s="392" t="s">
        <v>56</v>
      </c>
      <c r="B237" s="4"/>
      <c r="C237" s="547" t="s">
        <v>20</v>
      </c>
      <c r="D237" s="548"/>
      <c r="E237" s="402" t="s">
        <v>21</v>
      </c>
      <c r="F237" s="402" t="s">
        <v>22</v>
      </c>
      <c r="G237" s="61" t="s">
        <v>23</v>
      </c>
    </row>
    <row r="238" spans="1:7">
      <c r="A238" s="393"/>
      <c r="B238" s="369"/>
      <c r="C238" s="549" t="s">
        <v>1458</v>
      </c>
      <c r="D238" s="550"/>
      <c r="E238" s="62">
        <f>SUM(E239:E253)</f>
        <v>4.1499999999999995</v>
      </c>
      <c r="F238" s="62">
        <f>SUM(F239:F253)</f>
        <v>10.5</v>
      </c>
      <c r="G238" s="551" t="s">
        <v>1459</v>
      </c>
    </row>
    <row r="239" spans="1:7" outlineLevel="1">
      <c r="A239" s="393"/>
      <c r="B239" s="370">
        <v>1</v>
      </c>
      <c r="C239" s="560" t="s">
        <v>1452</v>
      </c>
      <c r="D239" s="560"/>
      <c r="E239" s="405">
        <v>0.1</v>
      </c>
      <c r="F239" s="406">
        <v>0.25</v>
      </c>
      <c r="G239" s="551"/>
    </row>
    <row r="240" spans="1:7" outlineLevel="1">
      <c r="A240" s="393"/>
      <c r="B240" s="370">
        <v>2</v>
      </c>
      <c r="C240" s="560" t="s">
        <v>1453</v>
      </c>
      <c r="D240" s="560"/>
      <c r="E240" s="405">
        <v>0.1</v>
      </c>
      <c r="F240" s="406">
        <v>0.25</v>
      </c>
      <c r="G240" s="551"/>
    </row>
    <row r="241" spans="1:7" outlineLevel="1">
      <c r="A241" s="393"/>
      <c r="B241" s="370">
        <v>3</v>
      </c>
      <c r="C241" s="560" t="s">
        <v>1454</v>
      </c>
      <c r="D241" s="560"/>
      <c r="E241" s="405">
        <v>3</v>
      </c>
      <c r="F241" s="406">
        <v>6</v>
      </c>
      <c r="G241" s="551"/>
    </row>
    <row r="242" spans="1:7" outlineLevel="1">
      <c r="A242" s="393"/>
      <c r="B242" s="370">
        <v>4</v>
      </c>
      <c r="C242" s="560" t="s">
        <v>1455</v>
      </c>
      <c r="D242" s="560"/>
      <c r="E242" s="405">
        <v>0.5</v>
      </c>
      <c r="F242" s="406">
        <v>2</v>
      </c>
      <c r="G242" s="551"/>
    </row>
    <row r="243" spans="1:7" outlineLevel="1">
      <c r="A243" s="393"/>
      <c r="B243" s="370">
        <v>5</v>
      </c>
      <c r="C243" s="560" t="s">
        <v>1456</v>
      </c>
      <c r="D243" s="560"/>
      <c r="E243" s="405">
        <v>0.25</v>
      </c>
      <c r="F243" s="406">
        <v>1</v>
      </c>
      <c r="G243" s="551"/>
    </row>
    <row r="244" spans="1:7" outlineLevel="1">
      <c r="A244" s="393"/>
      <c r="B244" s="370">
        <v>6</v>
      </c>
      <c r="C244" s="560" t="s">
        <v>1407</v>
      </c>
      <c r="D244" s="560"/>
      <c r="E244" s="405">
        <v>0.1</v>
      </c>
      <c r="F244" s="406">
        <v>0.5</v>
      </c>
      <c r="G244" s="551"/>
    </row>
    <row r="245" spans="1:7" outlineLevel="1">
      <c r="A245" s="393"/>
      <c r="B245" s="370">
        <v>7</v>
      </c>
      <c r="C245" s="560" t="s">
        <v>1457</v>
      </c>
      <c r="D245" s="560"/>
      <c r="E245" s="405">
        <v>0.1</v>
      </c>
      <c r="F245" s="406">
        <v>0.5</v>
      </c>
      <c r="G245" s="551"/>
    </row>
    <row r="246" spans="1:7" outlineLevel="1">
      <c r="A246" s="393"/>
      <c r="B246" s="370">
        <v>8</v>
      </c>
      <c r="C246" s="553"/>
      <c r="D246" s="554"/>
      <c r="E246" s="49"/>
      <c r="F246" s="49"/>
      <c r="G246" s="551"/>
    </row>
    <row r="247" spans="1:7" outlineLevel="1">
      <c r="A247" s="393"/>
      <c r="B247" s="370">
        <v>9</v>
      </c>
      <c r="C247" s="553"/>
      <c r="D247" s="554"/>
      <c r="E247" s="49"/>
      <c r="F247" s="49"/>
      <c r="G247" s="551"/>
    </row>
    <row r="248" spans="1:7" outlineLevel="1">
      <c r="A248" s="393"/>
      <c r="B248" s="370">
        <v>10</v>
      </c>
      <c r="C248" s="553"/>
      <c r="D248" s="554"/>
      <c r="E248" s="49"/>
      <c r="F248" s="49"/>
      <c r="G248" s="551"/>
    </row>
    <row r="249" spans="1:7" outlineLevel="1">
      <c r="A249" s="393"/>
      <c r="B249" s="370">
        <v>11</v>
      </c>
      <c r="C249" s="553"/>
      <c r="D249" s="554"/>
      <c r="E249" s="49"/>
      <c r="F249" s="49"/>
      <c r="G249" s="551"/>
    </row>
    <row r="250" spans="1:7" outlineLevel="1">
      <c r="A250" s="393"/>
      <c r="B250" s="370">
        <v>12</v>
      </c>
      <c r="C250" s="553"/>
      <c r="D250" s="554"/>
      <c r="E250" s="49"/>
      <c r="F250" s="49"/>
      <c r="G250" s="551"/>
    </row>
    <row r="251" spans="1:7" outlineLevel="1">
      <c r="A251" s="393"/>
      <c r="B251" s="370">
        <v>13</v>
      </c>
      <c r="C251" s="553"/>
      <c r="D251" s="554"/>
      <c r="E251" s="49"/>
      <c r="F251" s="49"/>
      <c r="G251" s="551"/>
    </row>
    <row r="252" spans="1:7" outlineLevel="1">
      <c r="A252" s="393"/>
      <c r="B252" s="370">
        <v>14</v>
      </c>
      <c r="C252" s="553"/>
      <c r="D252" s="554"/>
      <c r="E252" s="49"/>
      <c r="F252" s="49"/>
      <c r="G252" s="551"/>
    </row>
    <row r="253" spans="1:7" outlineLevel="1">
      <c r="A253" s="394"/>
      <c r="B253" s="371">
        <v>15</v>
      </c>
      <c r="C253" s="555"/>
      <c r="D253" s="556"/>
      <c r="E253" s="51"/>
      <c r="F253" s="51"/>
      <c r="G253" s="552"/>
    </row>
    <row r="254" spans="1:7">
      <c r="A254" s="368"/>
    </row>
    <row r="255" spans="1:7">
      <c r="A255" s="392" t="s">
        <v>56</v>
      </c>
      <c r="B255" s="4"/>
      <c r="C255" s="547" t="s">
        <v>20</v>
      </c>
      <c r="D255" s="548"/>
      <c r="E255" s="402" t="s">
        <v>21</v>
      </c>
      <c r="F255" s="402" t="s">
        <v>22</v>
      </c>
      <c r="G255" s="61" t="s">
        <v>23</v>
      </c>
    </row>
    <row r="256" spans="1:7">
      <c r="A256" s="393"/>
      <c r="B256" s="369"/>
      <c r="C256" s="549" t="s">
        <v>1498</v>
      </c>
      <c r="D256" s="550"/>
      <c r="E256" s="62">
        <f>SUM(E257:E271)</f>
        <v>5</v>
      </c>
      <c r="F256" s="62">
        <f>SUM(F257:F271)</f>
        <v>5</v>
      </c>
      <c r="G256" s="551"/>
    </row>
    <row r="257" spans="1:7" outlineLevel="1">
      <c r="A257" s="393"/>
      <c r="B257" s="370">
        <v>1</v>
      </c>
      <c r="C257" s="553"/>
      <c r="D257" s="554"/>
      <c r="E257" s="49">
        <v>5</v>
      </c>
      <c r="F257" s="49">
        <v>5</v>
      </c>
      <c r="G257" s="551"/>
    </row>
    <row r="258" spans="1:7" outlineLevel="1">
      <c r="A258" s="393"/>
      <c r="B258" s="370">
        <v>2</v>
      </c>
      <c r="C258" s="553"/>
      <c r="D258" s="554"/>
      <c r="E258" s="49"/>
      <c r="F258" s="49"/>
      <c r="G258" s="551"/>
    </row>
    <row r="259" spans="1:7" outlineLevel="1">
      <c r="A259" s="393"/>
      <c r="B259" s="370">
        <v>3</v>
      </c>
      <c r="C259" s="553"/>
      <c r="D259" s="554"/>
      <c r="E259" s="49"/>
      <c r="F259" s="49"/>
      <c r="G259" s="551"/>
    </row>
    <row r="260" spans="1:7" outlineLevel="1">
      <c r="A260" s="393"/>
      <c r="B260" s="370">
        <v>4</v>
      </c>
      <c r="C260" s="553"/>
      <c r="D260" s="554"/>
      <c r="E260" s="50"/>
      <c r="F260" s="50"/>
      <c r="G260" s="551"/>
    </row>
    <row r="261" spans="1:7" outlineLevel="1">
      <c r="A261" s="393"/>
      <c r="B261" s="370">
        <v>5</v>
      </c>
      <c r="C261" s="553"/>
      <c r="D261" s="554"/>
      <c r="E261" s="49"/>
      <c r="F261" s="49"/>
      <c r="G261" s="551"/>
    </row>
    <row r="262" spans="1:7" outlineLevel="1">
      <c r="A262" s="393"/>
      <c r="B262" s="370">
        <v>6</v>
      </c>
      <c r="C262" s="553"/>
      <c r="D262" s="554"/>
      <c r="E262" s="49"/>
      <c r="F262" s="49"/>
      <c r="G262" s="551"/>
    </row>
    <row r="263" spans="1:7" outlineLevel="1">
      <c r="A263" s="393"/>
      <c r="B263" s="370">
        <v>7</v>
      </c>
      <c r="C263" s="553"/>
      <c r="D263" s="554"/>
      <c r="E263" s="49"/>
      <c r="F263" s="49"/>
      <c r="G263" s="551"/>
    </row>
    <row r="264" spans="1:7" outlineLevel="1">
      <c r="A264" s="393"/>
      <c r="B264" s="370">
        <v>8</v>
      </c>
      <c r="C264" s="553"/>
      <c r="D264" s="554"/>
      <c r="E264" s="49"/>
      <c r="F264" s="49"/>
      <c r="G264" s="551"/>
    </row>
    <row r="265" spans="1:7" outlineLevel="1">
      <c r="A265" s="393"/>
      <c r="B265" s="370">
        <v>9</v>
      </c>
      <c r="C265" s="553"/>
      <c r="D265" s="554"/>
      <c r="E265" s="49"/>
      <c r="F265" s="49"/>
      <c r="G265" s="551"/>
    </row>
    <row r="266" spans="1:7" outlineLevel="1">
      <c r="A266" s="393"/>
      <c r="B266" s="370">
        <v>10</v>
      </c>
      <c r="C266" s="553"/>
      <c r="D266" s="554"/>
      <c r="E266" s="49"/>
      <c r="F266" s="49"/>
      <c r="G266" s="551"/>
    </row>
    <row r="267" spans="1:7" outlineLevel="1">
      <c r="A267" s="393"/>
      <c r="B267" s="370">
        <v>11</v>
      </c>
      <c r="C267" s="553"/>
      <c r="D267" s="554"/>
      <c r="E267" s="49"/>
      <c r="F267" s="49"/>
      <c r="G267" s="551"/>
    </row>
    <row r="268" spans="1:7" outlineLevel="1">
      <c r="A268" s="393"/>
      <c r="B268" s="370">
        <v>12</v>
      </c>
      <c r="C268" s="553"/>
      <c r="D268" s="554"/>
      <c r="E268" s="49"/>
      <c r="F268" s="49"/>
      <c r="G268" s="551"/>
    </row>
    <row r="269" spans="1:7" outlineLevel="1">
      <c r="A269" s="393"/>
      <c r="B269" s="370">
        <v>13</v>
      </c>
      <c r="C269" s="553"/>
      <c r="D269" s="554"/>
      <c r="E269" s="49"/>
      <c r="F269" s="49"/>
      <c r="G269" s="551"/>
    </row>
    <row r="270" spans="1:7" outlineLevel="1">
      <c r="A270" s="393"/>
      <c r="B270" s="370">
        <v>14</v>
      </c>
      <c r="C270" s="553"/>
      <c r="D270" s="554"/>
      <c r="E270" s="49"/>
      <c r="F270" s="49"/>
      <c r="G270" s="551"/>
    </row>
    <row r="271" spans="1:7" outlineLevel="1">
      <c r="A271" s="394"/>
      <c r="B271" s="371">
        <v>15</v>
      </c>
      <c r="C271" s="555"/>
      <c r="D271" s="556"/>
      <c r="E271" s="51"/>
      <c r="F271" s="51"/>
      <c r="G271" s="552"/>
    </row>
    <row r="272" spans="1:7">
      <c r="A272" s="368"/>
    </row>
    <row r="273" spans="1:7">
      <c r="A273" s="392" t="s">
        <v>56</v>
      </c>
      <c r="B273" s="4"/>
      <c r="C273" s="547" t="s">
        <v>20</v>
      </c>
      <c r="D273" s="548"/>
      <c r="E273" s="402" t="s">
        <v>21</v>
      </c>
      <c r="F273" s="402" t="s">
        <v>22</v>
      </c>
      <c r="G273" s="61" t="s">
        <v>23</v>
      </c>
    </row>
    <row r="274" spans="1:7">
      <c r="A274" s="393"/>
      <c r="B274" s="369"/>
      <c r="C274" s="549" t="s">
        <v>1460</v>
      </c>
      <c r="D274" s="550"/>
      <c r="E274" s="62">
        <f>SUM(E275:E289)</f>
        <v>6</v>
      </c>
      <c r="F274" s="62">
        <f>SUM(F275:F289)</f>
        <v>8</v>
      </c>
      <c r="G274" s="551"/>
    </row>
    <row r="275" spans="1:7" outlineLevel="1">
      <c r="A275" s="393"/>
      <c r="B275" s="370">
        <v>1</v>
      </c>
      <c r="C275" s="553"/>
      <c r="D275" s="554"/>
      <c r="E275" s="49">
        <v>6</v>
      </c>
      <c r="F275" s="49">
        <v>8</v>
      </c>
      <c r="G275" s="551"/>
    </row>
    <row r="276" spans="1:7" outlineLevel="1">
      <c r="A276" s="393"/>
      <c r="B276" s="370">
        <v>2</v>
      </c>
      <c r="C276" s="553"/>
      <c r="D276" s="554"/>
      <c r="E276" s="49"/>
      <c r="F276" s="49"/>
      <c r="G276" s="551"/>
    </row>
    <row r="277" spans="1:7" outlineLevel="1">
      <c r="A277" s="393"/>
      <c r="B277" s="370">
        <v>3</v>
      </c>
      <c r="C277" s="553"/>
      <c r="D277" s="554"/>
      <c r="E277" s="49"/>
      <c r="F277" s="49"/>
      <c r="G277" s="551"/>
    </row>
    <row r="278" spans="1:7" outlineLevel="1">
      <c r="A278" s="393"/>
      <c r="B278" s="370">
        <v>4</v>
      </c>
      <c r="C278" s="553"/>
      <c r="D278" s="554"/>
      <c r="E278" s="50"/>
      <c r="F278" s="50"/>
      <c r="G278" s="551"/>
    </row>
    <row r="279" spans="1:7" outlineLevel="1">
      <c r="A279" s="393"/>
      <c r="B279" s="370">
        <v>5</v>
      </c>
      <c r="C279" s="553"/>
      <c r="D279" s="554"/>
      <c r="E279" s="49"/>
      <c r="F279" s="49"/>
      <c r="G279" s="551"/>
    </row>
    <row r="280" spans="1:7" outlineLevel="1">
      <c r="A280" s="393"/>
      <c r="B280" s="370">
        <v>6</v>
      </c>
      <c r="C280" s="553"/>
      <c r="D280" s="554"/>
      <c r="E280" s="49"/>
      <c r="F280" s="49"/>
      <c r="G280" s="551"/>
    </row>
    <row r="281" spans="1:7" outlineLevel="1">
      <c r="A281" s="393"/>
      <c r="B281" s="370">
        <v>7</v>
      </c>
      <c r="C281" s="553"/>
      <c r="D281" s="554"/>
      <c r="E281" s="49"/>
      <c r="F281" s="49"/>
      <c r="G281" s="551"/>
    </row>
    <row r="282" spans="1:7" outlineLevel="1">
      <c r="A282" s="393"/>
      <c r="B282" s="370">
        <v>8</v>
      </c>
      <c r="C282" s="553"/>
      <c r="D282" s="554"/>
      <c r="E282" s="49"/>
      <c r="F282" s="49"/>
      <c r="G282" s="551"/>
    </row>
    <row r="283" spans="1:7" outlineLevel="1">
      <c r="A283" s="393"/>
      <c r="B283" s="370">
        <v>9</v>
      </c>
      <c r="C283" s="553"/>
      <c r="D283" s="554"/>
      <c r="E283" s="49"/>
      <c r="F283" s="49"/>
      <c r="G283" s="551"/>
    </row>
    <row r="284" spans="1:7" outlineLevel="1">
      <c r="A284" s="393"/>
      <c r="B284" s="370">
        <v>10</v>
      </c>
      <c r="C284" s="553"/>
      <c r="D284" s="554"/>
      <c r="E284" s="49"/>
      <c r="F284" s="49"/>
      <c r="G284" s="551"/>
    </row>
    <row r="285" spans="1:7" outlineLevel="1">
      <c r="A285" s="393"/>
      <c r="B285" s="370">
        <v>11</v>
      </c>
      <c r="C285" s="553"/>
      <c r="D285" s="554"/>
      <c r="E285" s="49"/>
      <c r="F285" s="49"/>
      <c r="G285" s="551"/>
    </row>
    <row r="286" spans="1:7" outlineLevel="1">
      <c r="A286" s="393"/>
      <c r="B286" s="370">
        <v>12</v>
      </c>
      <c r="C286" s="553"/>
      <c r="D286" s="554"/>
      <c r="E286" s="49"/>
      <c r="F286" s="49"/>
      <c r="G286" s="551"/>
    </row>
    <row r="287" spans="1:7" outlineLevel="1">
      <c r="A287" s="393"/>
      <c r="B287" s="370">
        <v>13</v>
      </c>
      <c r="C287" s="553"/>
      <c r="D287" s="554"/>
      <c r="E287" s="49"/>
      <c r="F287" s="49"/>
      <c r="G287" s="551"/>
    </row>
    <row r="288" spans="1:7" outlineLevel="1">
      <c r="A288" s="393"/>
      <c r="B288" s="370">
        <v>14</v>
      </c>
      <c r="C288" s="553"/>
      <c r="D288" s="554"/>
      <c r="E288" s="49"/>
      <c r="F288" s="49"/>
      <c r="G288" s="551"/>
    </row>
    <row r="289" spans="1:7" outlineLevel="1">
      <c r="A289" s="394"/>
      <c r="B289" s="371">
        <v>15</v>
      </c>
      <c r="C289" s="555"/>
      <c r="D289" s="556"/>
      <c r="E289" s="51"/>
      <c r="F289" s="51"/>
      <c r="G289" s="552"/>
    </row>
    <row r="290" spans="1:7">
      <c r="A290" s="368"/>
    </row>
    <row r="291" spans="1:7">
      <c r="A291" s="392" t="s">
        <v>56</v>
      </c>
      <c r="B291" s="4"/>
      <c r="C291" s="547" t="s">
        <v>20</v>
      </c>
      <c r="D291" s="548"/>
      <c r="E291" s="402" t="s">
        <v>21</v>
      </c>
      <c r="F291" s="402" t="s">
        <v>22</v>
      </c>
      <c r="G291" s="61" t="s">
        <v>23</v>
      </c>
    </row>
    <row r="292" spans="1:7">
      <c r="A292" s="393"/>
      <c r="B292" s="369"/>
      <c r="C292" s="549" t="s">
        <v>1461</v>
      </c>
      <c r="D292" s="550"/>
      <c r="E292" s="62">
        <f>SUM(E293:E307)</f>
        <v>5</v>
      </c>
      <c r="F292" s="62">
        <f>SUM(F293:F307)</f>
        <v>5</v>
      </c>
      <c r="G292" s="551"/>
    </row>
    <row r="293" spans="1:7" outlineLevel="1">
      <c r="A293" s="393"/>
      <c r="B293" s="370">
        <v>1</v>
      </c>
      <c r="C293" s="553"/>
      <c r="D293" s="554"/>
      <c r="E293" s="49">
        <v>5</v>
      </c>
      <c r="F293" s="49">
        <v>5</v>
      </c>
      <c r="G293" s="551"/>
    </row>
    <row r="294" spans="1:7" outlineLevel="1">
      <c r="A294" s="393"/>
      <c r="B294" s="370">
        <v>2</v>
      </c>
      <c r="C294" s="553"/>
      <c r="D294" s="554"/>
      <c r="E294" s="49"/>
      <c r="F294" s="49"/>
      <c r="G294" s="551"/>
    </row>
    <row r="295" spans="1:7" outlineLevel="1">
      <c r="A295" s="393"/>
      <c r="B295" s="370">
        <v>3</v>
      </c>
      <c r="C295" s="553"/>
      <c r="D295" s="554"/>
      <c r="E295" s="49"/>
      <c r="F295" s="49"/>
      <c r="G295" s="551"/>
    </row>
    <row r="296" spans="1:7" outlineLevel="1">
      <c r="A296" s="393"/>
      <c r="B296" s="370">
        <v>4</v>
      </c>
      <c r="C296" s="553"/>
      <c r="D296" s="554"/>
      <c r="E296" s="50"/>
      <c r="F296" s="50"/>
      <c r="G296" s="551"/>
    </row>
    <row r="297" spans="1:7" outlineLevel="1">
      <c r="A297" s="393"/>
      <c r="B297" s="370">
        <v>5</v>
      </c>
      <c r="C297" s="553"/>
      <c r="D297" s="554"/>
      <c r="E297" s="49"/>
      <c r="F297" s="49"/>
      <c r="G297" s="551"/>
    </row>
    <row r="298" spans="1:7" outlineLevel="1">
      <c r="A298" s="393"/>
      <c r="B298" s="370">
        <v>6</v>
      </c>
      <c r="C298" s="553"/>
      <c r="D298" s="554"/>
      <c r="E298" s="49"/>
      <c r="F298" s="49"/>
      <c r="G298" s="551"/>
    </row>
    <row r="299" spans="1:7" outlineLevel="1">
      <c r="A299" s="393"/>
      <c r="B299" s="370">
        <v>7</v>
      </c>
      <c r="C299" s="553"/>
      <c r="D299" s="554"/>
      <c r="E299" s="49"/>
      <c r="F299" s="49"/>
      <c r="G299" s="551"/>
    </row>
    <row r="300" spans="1:7" outlineLevel="1">
      <c r="A300" s="393"/>
      <c r="B300" s="370">
        <v>8</v>
      </c>
      <c r="C300" s="553"/>
      <c r="D300" s="554"/>
      <c r="E300" s="49"/>
      <c r="F300" s="49"/>
      <c r="G300" s="551"/>
    </row>
    <row r="301" spans="1:7" outlineLevel="1">
      <c r="A301" s="393"/>
      <c r="B301" s="370">
        <v>9</v>
      </c>
      <c r="C301" s="553"/>
      <c r="D301" s="554"/>
      <c r="E301" s="49"/>
      <c r="F301" s="49"/>
      <c r="G301" s="551"/>
    </row>
    <row r="302" spans="1:7" outlineLevel="1">
      <c r="A302" s="393"/>
      <c r="B302" s="370">
        <v>10</v>
      </c>
      <c r="C302" s="553"/>
      <c r="D302" s="554"/>
      <c r="E302" s="49"/>
      <c r="F302" s="49"/>
      <c r="G302" s="551"/>
    </row>
    <row r="303" spans="1:7" outlineLevel="1">
      <c r="A303" s="393"/>
      <c r="B303" s="370">
        <v>11</v>
      </c>
      <c r="C303" s="553"/>
      <c r="D303" s="554"/>
      <c r="E303" s="49"/>
      <c r="F303" s="49"/>
      <c r="G303" s="551"/>
    </row>
    <row r="304" spans="1:7" outlineLevel="1">
      <c r="A304" s="393"/>
      <c r="B304" s="370">
        <v>12</v>
      </c>
      <c r="C304" s="553"/>
      <c r="D304" s="554"/>
      <c r="E304" s="49"/>
      <c r="F304" s="49"/>
      <c r="G304" s="551"/>
    </row>
    <row r="305" spans="1:7" outlineLevel="1">
      <c r="A305" s="393"/>
      <c r="B305" s="370">
        <v>13</v>
      </c>
      <c r="C305" s="553"/>
      <c r="D305" s="554"/>
      <c r="E305" s="49"/>
      <c r="F305" s="49"/>
      <c r="G305" s="551"/>
    </row>
    <row r="306" spans="1:7" outlineLevel="1">
      <c r="A306" s="393"/>
      <c r="B306" s="370">
        <v>14</v>
      </c>
      <c r="C306" s="553"/>
      <c r="D306" s="554"/>
      <c r="E306" s="49"/>
      <c r="F306" s="49"/>
      <c r="G306" s="551"/>
    </row>
    <row r="307" spans="1:7" outlineLevel="1">
      <c r="A307" s="394"/>
      <c r="B307" s="371">
        <v>15</v>
      </c>
      <c r="C307" s="555"/>
      <c r="D307" s="556"/>
      <c r="E307" s="51"/>
      <c r="F307" s="51"/>
      <c r="G307" s="552"/>
    </row>
    <row r="308" spans="1:7">
      <c r="A308" s="368"/>
    </row>
    <row r="309" spans="1:7">
      <c r="A309" s="392" t="s">
        <v>56</v>
      </c>
      <c r="B309" s="4"/>
      <c r="C309" s="547" t="s">
        <v>20</v>
      </c>
      <c r="D309" s="548"/>
      <c r="E309" s="402" t="s">
        <v>21</v>
      </c>
      <c r="F309" s="402" t="s">
        <v>22</v>
      </c>
      <c r="G309" s="61" t="s">
        <v>23</v>
      </c>
    </row>
    <row r="310" spans="1:7">
      <c r="A310" s="393"/>
      <c r="B310" s="369"/>
      <c r="C310" s="549" t="s">
        <v>1463</v>
      </c>
      <c r="D310" s="550"/>
      <c r="E310" s="62">
        <f>SUM(E311:E325)</f>
        <v>20.5</v>
      </c>
      <c r="F310" s="62">
        <f>SUM(F311:F325)</f>
        <v>22.15</v>
      </c>
      <c r="G310" s="557" t="s">
        <v>1470</v>
      </c>
    </row>
    <row r="311" spans="1:7" outlineLevel="1">
      <c r="A311" s="393"/>
      <c r="B311" s="370">
        <v>1</v>
      </c>
      <c r="C311" s="560" t="s">
        <v>1464</v>
      </c>
      <c r="D311" s="560"/>
      <c r="E311" s="405">
        <v>2</v>
      </c>
      <c r="F311" s="406">
        <v>2.2000000000000002</v>
      </c>
      <c r="G311" s="558"/>
    </row>
    <row r="312" spans="1:7" outlineLevel="1">
      <c r="A312" s="393"/>
      <c r="B312" s="370">
        <v>2</v>
      </c>
      <c r="C312" s="560" t="s">
        <v>1465</v>
      </c>
      <c r="D312" s="560"/>
      <c r="E312" s="405">
        <v>1</v>
      </c>
      <c r="F312" s="406">
        <v>1.3</v>
      </c>
      <c r="G312" s="558"/>
    </row>
    <row r="313" spans="1:7" outlineLevel="1">
      <c r="A313" s="393"/>
      <c r="B313" s="370">
        <v>3</v>
      </c>
      <c r="C313" s="560" t="s">
        <v>1466</v>
      </c>
      <c r="D313" s="560"/>
      <c r="E313" s="405">
        <v>2</v>
      </c>
      <c r="F313" s="406">
        <v>2.2000000000000002</v>
      </c>
      <c r="G313" s="558"/>
    </row>
    <row r="314" spans="1:7" outlineLevel="1">
      <c r="A314" s="393"/>
      <c r="B314" s="370">
        <v>4</v>
      </c>
      <c r="C314" s="560" t="s">
        <v>1467</v>
      </c>
      <c r="D314" s="560"/>
      <c r="E314" s="405">
        <v>5</v>
      </c>
      <c r="F314" s="406">
        <v>5.2</v>
      </c>
      <c r="G314" s="558"/>
    </row>
    <row r="315" spans="1:7" outlineLevel="1">
      <c r="A315" s="393"/>
      <c r="B315" s="370">
        <v>5</v>
      </c>
      <c r="C315" s="560" t="s">
        <v>1468</v>
      </c>
      <c r="D315" s="560"/>
      <c r="E315" s="405">
        <v>10</v>
      </c>
      <c r="F315" s="406">
        <v>10.5</v>
      </c>
      <c r="G315" s="558"/>
    </row>
    <row r="316" spans="1:7" outlineLevel="1">
      <c r="A316" s="393"/>
      <c r="B316" s="370">
        <v>6</v>
      </c>
      <c r="C316" s="560" t="s">
        <v>1469</v>
      </c>
      <c r="D316" s="560"/>
      <c r="E316" s="405">
        <v>0.5</v>
      </c>
      <c r="F316" s="406">
        <v>0.75</v>
      </c>
      <c r="G316" s="558"/>
    </row>
    <row r="317" spans="1:7" outlineLevel="1">
      <c r="A317" s="393"/>
      <c r="B317" s="370">
        <v>7</v>
      </c>
      <c r="C317" s="553"/>
      <c r="D317" s="554"/>
      <c r="E317" s="49"/>
      <c r="F317" s="49"/>
      <c r="G317" s="558"/>
    </row>
    <row r="318" spans="1:7" outlineLevel="1">
      <c r="A318" s="393"/>
      <c r="B318" s="370">
        <v>8</v>
      </c>
      <c r="C318" s="553"/>
      <c r="D318" s="554"/>
      <c r="E318" s="49"/>
      <c r="F318" s="49"/>
      <c r="G318" s="558"/>
    </row>
    <row r="319" spans="1:7" outlineLevel="1">
      <c r="A319" s="393"/>
      <c r="B319" s="370">
        <v>9</v>
      </c>
      <c r="C319" s="553"/>
      <c r="D319" s="554"/>
      <c r="E319" s="49"/>
      <c r="F319" s="49"/>
      <c r="G319" s="558"/>
    </row>
    <row r="320" spans="1:7" outlineLevel="1">
      <c r="A320" s="393"/>
      <c r="B320" s="370">
        <v>10</v>
      </c>
      <c r="C320" s="553"/>
      <c r="D320" s="554"/>
      <c r="E320" s="49"/>
      <c r="F320" s="49"/>
      <c r="G320" s="558"/>
    </row>
    <row r="321" spans="1:7" outlineLevel="1">
      <c r="A321" s="393"/>
      <c r="B321" s="370">
        <v>11</v>
      </c>
      <c r="C321" s="553"/>
      <c r="D321" s="554"/>
      <c r="E321" s="49"/>
      <c r="F321" s="49"/>
      <c r="G321" s="558"/>
    </row>
    <row r="322" spans="1:7" outlineLevel="1">
      <c r="A322" s="393"/>
      <c r="B322" s="370">
        <v>12</v>
      </c>
      <c r="C322" s="553"/>
      <c r="D322" s="554"/>
      <c r="E322" s="49"/>
      <c r="F322" s="49"/>
      <c r="G322" s="558"/>
    </row>
    <row r="323" spans="1:7" outlineLevel="1">
      <c r="A323" s="393"/>
      <c r="B323" s="370">
        <v>13</v>
      </c>
      <c r="C323" s="553"/>
      <c r="D323" s="554"/>
      <c r="E323" s="49"/>
      <c r="F323" s="49"/>
      <c r="G323" s="558"/>
    </row>
    <row r="324" spans="1:7" outlineLevel="1">
      <c r="A324" s="393"/>
      <c r="B324" s="370">
        <v>14</v>
      </c>
      <c r="C324" s="553"/>
      <c r="D324" s="554"/>
      <c r="E324" s="49"/>
      <c r="F324" s="49"/>
      <c r="G324" s="558"/>
    </row>
    <row r="325" spans="1:7" outlineLevel="1">
      <c r="A325" s="394"/>
      <c r="B325" s="371">
        <v>15</v>
      </c>
      <c r="C325" s="555"/>
      <c r="D325" s="556"/>
      <c r="E325" s="51"/>
      <c r="F325" s="51"/>
      <c r="G325" s="559"/>
    </row>
    <row r="326" spans="1:7">
      <c r="A326" s="368"/>
    </row>
    <row r="327" spans="1:7">
      <c r="A327" s="392" t="s">
        <v>56</v>
      </c>
      <c r="B327" s="4"/>
      <c r="C327" s="547" t="s">
        <v>20</v>
      </c>
      <c r="D327" s="548"/>
      <c r="E327" s="402" t="s">
        <v>21</v>
      </c>
      <c r="F327" s="402" t="s">
        <v>22</v>
      </c>
      <c r="G327" s="61" t="s">
        <v>23</v>
      </c>
    </row>
    <row r="328" spans="1:7">
      <c r="A328" s="393"/>
      <c r="B328" s="369"/>
      <c r="C328" s="549" t="s">
        <v>1471</v>
      </c>
      <c r="D328" s="550"/>
      <c r="E328" s="62">
        <f>SUM(E329:E343)</f>
        <v>1.4000000000000001</v>
      </c>
      <c r="F328" s="62">
        <f>SUM(F329:F343)</f>
        <v>1.5000000000000002</v>
      </c>
      <c r="G328" s="557" t="s">
        <v>1478</v>
      </c>
    </row>
    <row r="329" spans="1:7" outlineLevel="1">
      <c r="A329" s="393"/>
      <c r="B329" s="370">
        <v>1</v>
      </c>
      <c r="C329" s="560" t="s">
        <v>1472</v>
      </c>
      <c r="D329" s="560"/>
      <c r="E329" s="405">
        <v>0.5</v>
      </c>
      <c r="F329" s="406">
        <v>0.55000000000000004</v>
      </c>
      <c r="G329" s="558"/>
    </row>
    <row r="330" spans="1:7" outlineLevel="1">
      <c r="A330" s="393"/>
      <c r="B330" s="370">
        <v>2</v>
      </c>
      <c r="C330" s="560" t="s">
        <v>1473</v>
      </c>
      <c r="D330" s="560"/>
      <c r="E330" s="405">
        <v>0.1</v>
      </c>
      <c r="F330" s="406">
        <v>0.1</v>
      </c>
      <c r="G330" s="558"/>
    </row>
    <row r="331" spans="1:7" outlineLevel="1">
      <c r="A331" s="393"/>
      <c r="B331" s="370">
        <v>3</v>
      </c>
      <c r="C331" s="560" t="s">
        <v>1474</v>
      </c>
      <c r="D331" s="560"/>
      <c r="E331" s="405">
        <v>0.1</v>
      </c>
      <c r="F331" s="406">
        <v>0.1</v>
      </c>
      <c r="G331" s="558"/>
    </row>
    <row r="332" spans="1:7" outlineLevel="1">
      <c r="A332" s="393"/>
      <c r="B332" s="370">
        <v>4</v>
      </c>
      <c r="C332" s="560" t="s">
        <v>1433</v>
      </c>
      <c r="D332" s="560"/>
      <c r="E332" s="405">
        <v>0.25</v>
      </c>
      <c r="F332" s="406">
        <v>0.3</v>
      </c>
      <c r="G332" s="558"/>
    </row>
    <row r="333" spans="1:7" outlineLevel="1">
      <c r="A333" s="393"/>
      <c r="B333" s="370">
        <v>5</v>
      </c>
      <c r="C333" s="560" t="s">
        <v>1475</v>
      </c>
      <c r="D333" s="560"/>
      <c r="E333" s="405">
        <v>0.1</v>
      </c>
      <c r="F333" s="406">
        <v>0.1</v>
      </c>
      <c r="G333" s="558"/>
    </row>
    <row r="334" spans="1:7" outlineLevel="1">
      <c r="A334" s="393"/>
      <c r="B334" s="370">
        <v>6</v>
      </c>
      <c r="C334" s="560" t="s">
        <v>1476</v>
      </c>
      <c r="D334" s="560"/>
      <c r="E334" s="405">
        <v>0.25</v>
      </c>
      <c r="F334" s="406">
        <v>0.25</v>
      </c>
      <c r="G334" s="558"/>
    </row>
    <row r="335" spans="1:7" outlineLevel="1">
      <c r="A335" s="393"/>
      <c r="B335" s="370">
        <v>7</v>
      </c>
      <c r="C335" s="560" t="s">
        <v>1477</v>
      </c>
      <c r="D335" s="560"/>
      <c r="E335" s="405">
        <v>0.1</v>
      </c>
      <c r="F335" s="406">
        <v>0.1</v>
      </c>
      <c r="G335" s="558"/>
    </row>
    <row r="336" spans="1:7" outlineLevel="1">
      <c r="A336" s="393"/>
      <c r="B336" s="370">
        <v>8</v>
      </c>
      <c r="C336" s="553"/>
      <c r="D336" s="554"/>
      <c r="E336" s="49"/>
      <c r="F336" s="49"/>
      <c r="G336" s="558"/>
    </row>
    <row r="337" spans="1:7" outlineLevel="1">
      <c r="A337" s="393"/>
      <c r="B337" s="370">
        <v>9</v>
      </c>
      <c r="C337" s="553"/>
      <c r="D337" s="554"/>
      <c r="E337" s="49"/>
      <c r="F337" s="49"/>
      <c r="G337" s="558"/>
    </row>
    <row r="338" spans="1:7" outlineLevel="1">
      <c r="A338" s="393"/>
      <c r="B338" s="370">
        <v>10</v>
      </c>
      <c r="C338" s="553"/>
      <c r="D338" s="554"/>
      <c r="E338" s="49"/>
      <c r="F338" s="49"/>
      <c r="G338" s="558"/>
    </row>
    <row r="339" spans="1:7" outlineLevel="1">
      <c r="A339" s="393"/>
      <c r="B339" s="370">
        <v>11</v>
      </c>
      <c r="C339" s="553"/>
      <c r="D339" s="554"/>
      <c r="E339" s="49"/>
      <c r="F339" s="49"/>
      <c r="G339" s="558"/>
    </row>
    <row r="340" spans="1:7" outlineLevel="1">
      <c r="A340" s="393"/>
      <c r="B340" s="370">
        <v>12</v>
      </c>
      <c r="C340" s="553"/>
      <c r="D340" s="554"/>
      <c r="E340" s="49"/>
      <c r="F340" s="49"/>
      <c r="G340" s="558"/>
    </row>
    <row r="341" spans="1:7" outlineLevel="1">
      <c r="A341" s="393"/>
      <c r="B341" s="370">
        <v>13</v>
      </c>
      <c r="C341" s="553"/>
      <c r="D341" s="554"/>
      <c r="E341" s="49"/>
      <c r="F341" s="49"/>
      <c r="G341" s="558"/>
    </row>
    <row r="342" spans="1:7" outlineLevel="1">
      <c r="A342" s="393"/>
      <c r="B342" s="370">
        <v>14</v>
      </c>
      <c r="C342" s="553"/>
      <c r="D342" s="554"/>
      <c r="E342" s="49"/>
      <c r="F342" s="49"/>
      <c r="G342" s="558"/>
    </row>
    <row r="343" spans="1:7" outlineLevel="1">
      <c r="A343" s="394"/>
      <c r="B343" s="371">
        <v>15</v>
      </c>
      <c r="C343" s="555"/>
      <c r="D343" s="556"/>
      <c r="E343" s="51"/>
      <c r="F343" s="51"/>
      <c r="G343" s="559"/>
    </row>
    <row r="344" spans="1:7">
      <c r="A344" s="368"/>
    </row>
    <row r="345" spans="1:7">
      <c r="A345" s="392" t="s">
        <v>56</v>
      </c>
      <c r="B345" s="4"/>
      <c r="C345" s="547" t="s">
        <v>20</v>
      </c>
      <c r="D345" s="548"/>
      <c r="E345" s="402" t="s">
        <v>21</v>
      </c>
      <c r="F345" s="402" t="s">
        <v>22</v>
      </c>
      <c r="G345" s="61" t="s">
        <v>23</v>
      </c>
    </row>
    <row r="346" spans="1:7">
      <c r="A346" s="393"/>
      <c r="B346" s="369"/>
      <c r="C346" s="549" t="s">
        <v>1479</v>
      </c>
      <c r="D346" s="550"/>
      <c r="E346" s="62">
        <f>SUM(E347:E361)</f>
        <v>2.85</v>
      </c>
      <c r="F346" s="62">
        <f>SUM(F347:F361)</f>
        <v>3</v>
      </c>
      <c r="G346" s="557" t="s">
        <v>1470</v>
      </c>
    </row>
    <row r="347" spans="1:7" outlineLevel="1">
      <c r="A347" s="393"/>
      <c r="B347" s="370">
        <v>1</v>
      </c>
      <c r="C347" s="560" t="s">
        <v>1472</v>
      </c>
      <c r="D347" s="560"/>
      <c r="E347" s="405">
        <v>1</v>
      </c>
      <c r="F347" s="406">
        <v>1.05</v>
      </c>
      <c r="G347" s="558"/>
    </row>
    <row r="348" spans="1:7" outlineLevel="1">
      <c r="A348" s="393"/>
      <c r="B348" s="370">
        <v>2</v>
      </c>
      <c r="C348" s="560" t="s">
        <v>1473</v>
      </c>
      <c r="D348" s="560"/>
      <c r="E348" s="405">
        <v>0.25</v>
      </c>
      <c r="F348" s="406">
        <v>0.25</v>
      </c>
      <c r="G348" s="558"/>
    </row>
    <row r="349" spans="1:7" outlineLevel="1">
      <c r="A349" s="393"/>
      <c r="B349" s="370">
        <v>3</v>
      </c>
      <c r="C349" s="560" t="s">
        <v>1474</v>
      </c>
      <c r="D349" s="560"/>
      <c r="E349" s="405">
        <v>0.25</v>
      </c>
      <c r="F349" s="406">
        <v>0.25</v>
      </c>
      <c r="G349" s="558"/>
    </row>
    <row r="350" spans="1:7" outlineLevel="1">
      <c r="A350" s="393"/>
      <c r="B350" s="370">
        <v>4</v>
      </c>
      <c r="C350" s="560" t="s">
        <v>1433</v>
      </c>
      <c r="D350" s="560"/>
      <c r="E350" s="405">
        <v>0.5</v>
      </c>
      <c r="F350" s="406">
        <v>0.6</v>
      </c>
      <c r="G350" s="558"/>
    </row>
    <row r="351" spans="1:7" outlineLevel="1">
      <c r="A351" s="393"/>
      <c r="B351" s="370">
        <v>5</v>
      </c>
      <c r="C351" s="560" t="s">
        <v>1475</v>
      </c>
      <c r="D351" s="560"/>
      <c r="E351" s="405">
        <v>0.1</v>
      </c>
      <c r="F351" s="406">
        <v>0.1</v>
      </c>
      <c r="G351" s="558"/>
    </row>
    <row r="352" spans="1:7" outlineLevel="1">
      <c r="A352" s="393"/>
      <c r="B352" s="370">
        <v>6</v>
      </c>
      <c r="C352" s="560" t="s">
        <v>1476</v>
      </c>
      <c r="D352" s="560"/>
      <c r="E352" s="405">
        <v>0.5</v>
      </c>
      <c r="F352" s="406">
        <v>0.5</v>
      </c>
      <c r="G352" s="558"/>
    </row>
    <row r="353" spans="1:7" outlineLevel="1">
      <c r="A353" s="393"/>
      <c r="B353" s="370">
        <v>7</v>
      </c>
      <c r="C353" s="560" t="s">
        <v>1477</v>
      </c>
      <c r="D353" s="560"/>
      <c r="E353" s="405">
        <v>0.25</v>
      </c>
      <c r="F353" s="406">
        <v>0.25</v>
      </c>
      <c r="G353" s="558"/>
    </row>
    <row r="354" spans="1:7" outlineLevel="1">
      <c r="A354" s="393"/>
      <c r="B354" s="370">
        <v>8</v>
      </c>
      <c r="C354" s="553"/>
      <c r="D354" s="554"/>
      <c r="E354" s="49"/>
      <c r="F354" s="49"/>
      <c r="G354" s="558"/>
    </row>
    <row r="355" spans="1:7" outlineLevel="1">
      <c r="A355" s="393"/>
      <c r="B355" s="370">
        <v>9</v>
      </c>
      <c r="C355" s="553"/>
      <c r="D355" s="554"/>
      <c r="E355" s="49"/>
      <c r="F355" s="49"/>
      <c r="G355" s="558"/>
    </row>
    <row r="356" spans="1:7" outlineLevel="1">
      <c r="A356" s="393"/>
      <c r="B356" s="370">
        <v>10</v>
      </c>
      <c r="C356" s="553"/>
      <c r="D356" s="554"/>
      <c r="E356" s="49"/>
      <c r="F356" s="49"/>
      <c r="G356" s="558"/>
    </row>
    <row r="357" spans="1:7" outlineLevel="1">
      <c r="A357" s="393"/>
      <c r="B357" s="370">
        <v>11</v>
      </c>
      <c r="C357" s="553"/>
      <c r="D357" s="554"/>
      <c r="E357" s="49"/>
      <c r="F357" s="49"/>
      <c r="G357" s="558"/>
    </row>
    <row r="358" spans="1:7" outlineLevel="1">
      <c r="A358" s="393"/>
      <c r="B358" s="370">
        <v>12</v>
      </c>
      <c r="C358" s="553"/>
      <c r="D358" s="554"/>
      <c r="E358" s="49"/>
      <c r="F358" s="49"/>
      <c r="G358" s="558"/>
    </row>
    <row r="359" spans="1:7" outlineLevel="1">
      <c r="A359" s="393"/>
      <c r="B359" s="370">
        <v>13</v>
      </c>
      <c r="C359" s="553"/>
      <c r="D359" s="554"/>
      <c r="E359" s="49"/>
      <c r="F359" s="49"/>
      <c r="G359" s="558"/>
    </row>
    <row r="360" spans="1:7" outlineLevel="1">
      <c r="A360" s="393"/>
      <c r="B360" s="370">
        <v>14</v>
      </c>
      <c r="C360" s="553"/>
      <c r="D360" s="554"/>
      <c r="E360" s="49"/>
      <c r="F360" s="49"/>
      <c r="G360" s="558"/>
    </row>
    <row r="361" spans="1:7" outlineLevel="1">
      <c r="A361" s="394"/>
      <c r="B361" s="371">
        <v>15</v>
      </c>
      <c r="C361" s="555"/>
      <c r="D361" s="556"/>
      <c r="E361" s="51"/>
      <c r="F361" s="51"/>
      <c r="G361" s="559"/>
    </row>
    <row r="362" spans="1:7">
      <c r="A362" s="368"/>
    </row>
    <row r="363" spans="1:7">
      <c r="A363" s="392" t="s">
        <v>56</v>
      </c>
      <c r="B363" s="4"/>
      <c r="C363" s="547" t="s">
        <v>20</v>
      </c>
      <c r="D363" s="548"/>
      <c r="E363" s="402" t="s">
        <v>21</v>
      </c>
      <c r="F363" s="402" t="s">
        <v>22</v>
      </c>
      <c r="G363" s="61" t="s">
        <v>23</v>
      </c>
    </row>
    <row r="364" spans="1:7">
      <c r="A364" s="393"/>
      <c r="B364" s="369"/>
      <c r="C364" s="549" t="s">
        <v>1480</v>
      </c>
      <c r="D364" s="550"/>
      <c r="E364" s="62">
        <f>SUM(E365:E379)</f>
        <v>5.0999999999999996</v>
      </c>
      <c r="F364" s="62">
        <f>SUM(F365:F379)</f>
        <v>5.25</v>
      </c>
      <c r="G364" s="557" t="s">
        <v>1481</v>
      </c>
    </row>
    <row r="365" spans="1:7" outlineLevel="1">
      <c r="A365" s="393"/>
      <c r="B365" s="370">
        <v>1</v>
      </c>
      <c r="C365" s="560" t="s">
        <v>1472</v>
      </c>
      <c r="D365" s="560"/>
      <c r="E365" s="405">
        <v>2</v>
      </c>
      <c r="F365" s="406">
        <v>2.0499999999999998</v>
      </c>
      <c r="G365" s="558"/>
    </row>
    <row r="366" spans="1:7" outlineLevel="1">
      <c r="A366" s="393"/>
      <c r="B366" s="370">
        <v>2</v>
      </c>
      <c r="C366" s="560" t="s">
        <v>1473</v>
      </c>
      <c r="D366" s="560"/>
      <c r="E366" s="405">
        <v>0.5</v>
      </c>
      <c r="F366" s="406">
        <v>0.6</v>
      </c>
      <c r="G366" s="558"/>
    </row>
    <row r="367" spans="1:7" outlineLevel="1">
      <c r="A367" s="393"/>
      <c r="B367" s="370">
        <v>3</v>
      </c>
      <c r="C367" s="560" t="s">
        <v>1474</v>
      </c>
      <c r="D367" s="560"/>
      <c r="E367" s="405">
        <v>0.25</v>
      </c>
      <c r="F367" s="406">
        <v>0.25</v>
      </c>
      <c r="G367" s="558"/>
    </row>
    <row r="368" spans="1:7" outlineLevel="1">
      <c r="A368" s="393"/>
      <c r="B368" s="370">
        <v>4</v>
      </c>
      <c r="C368" s="560" t="s">
        <v>1433</v>
      </c>
      <c r="D368" s="560"/>
      <c r="E368" s="405">
        <v>1</v>
      </c>
      <c r="F368" s="406">
        <v>1</v>
      </c>
      <c r="G368" s="558"/>
    </row>
    <row r="369" spans="1:7" outlineLevel="1">
      <c r="A369" s="393"/>
      <c r="B369" s="370">
        <v>5</v>
      </c>
      <c r="C369" s="560" t="s">
        <v>1475</v>
      </c>
      <c r="D369" s="560"/>
      <c r="E369" s="405">
        <v>0.1</v>
      </c>
      <c r="F369" s="406">
        <v>0.1</v>
      </c>
      <c r="G369" s="558"/>
    </row>
    <row r="370" spans="1:7" outlineLevel="1">
      <c r="A370" s="393"/>
      <c r="B370" s="370">
        <v>6</v>
      </c>
      <c r="C370" s="560" t="s">
        <v>1476</v>
      </c>
      <c r="D370" s="560"/>
      <c r="E370" s="405">
        <v>1</v>
      </c>
      <c r="F370" s="406">
        <v>1</v>
      </c>
      <c r="G370" s="558"/>
    </row>
    <row r="371" spans="1:7" outlineLevel="1">
      <c r="A371" s="393"/>
      <c r="B371" s="370">
        <v>7</v>
      </c>
      <c r="C371" s="560" t="s">
        <v>1477</v>
      </c>
      <c r="D371" s="560"/>
      <c r="E371" s="405">
        <v>0.25</v>
      </c>
      <c r="F371" s="406">
        <v>0.25</v>
      </c>
      <c r="G371" s="558"/>
    </row>
    <row r="372" spans="1:7" outlineLevel="1">
      <c r="A372" s="393"/>
      <c r="B372" s="370">
        <v>8</v>
      </c>
      <c r="C372" s="553"/>
      <c r="D372" s="554"/>
      <c r="E372" s="49"/>
      <c r="F372" s="49"/>
      <c r="G372" s="558"/>
    </row>
    <row r="373" spans="1:7" outlineLevel="1">
      <c r="A373" s="393"/>
      <c r="B373" s="370">
        <v>9</v>
      </c>
      <c r="C373" s="553"/>
      <c r="D373" s="554"/>
      <c r="E373" s="49"/>
      <c r="F373" s="49"/>
      <c r="G373" s="558"/>
    </row>
    <row r="374" spans="1:7" outlineLevel="1">
      <c r="A374" s="393"/>
      <c r="B374" s="370">
        <v>10</v>
      </c>
      <c r="C374" s="553"/>
      <c r="D374" s="554"/>
      <c r="E374" s="49"/>
      <c r="F374" s="49"/>
      <c r="G374" s="558"/>
    </row>
    <row r="375" spans="1:7" outlineLevel="1">
      <c r="A375" s="393"/>
      <c r="B375" s="370">
        <v>11</v>
      </c>
      <c r="C375" s="553"/>
      <c r="D375" s="554"/>
      <c r="E375" s="49"/>
      <c r="F375" s="49"/>
      <c r="G375" s="558"/>
    </row>
    <row r="376" spans="1:7" outlineLevel="1">
      <c r="A376" s="393"/>
      <c r="B376" s="370">
        <v>12</v>
      </c>
      <c r="C376" s="553"/>
      <c r="D376" s="554"/>
      <c r="E376" s="49"/>
      <c r="F376" s="49"/>
      <c r="G376" s="558"/>
    </row>
    <row r="377" spans="1:7" outlineLevel="1">
      <c r="A377" s="393"/>
      <c r="B377" s="370">
        <v>13</v>
      </c>
      <c r="C377" s="553"/>
      <c r="D377" s="554"/>
      <c r="E377" s="49"/>
      <c r="F377" s="49"/>
      <c r="G377" s="558"/>
    </row>
    <row r="378" spans="1:7" outlineLevel="1">
      <c r="A378" s="393"/>
      <c r="B378" s="370">
        <v>14</v>
      </c>
      <c r="C378" s="553"/>
      <c r="D378" s="554"/>
      <c r="E378" s="49"/>
      <c r="F378" s="49"/>
      <c r="G378" s="558"/>
    </row>
    <row r="379" spans="1:7" outlineLevel="1">
      <c r="A379" s="394"/>
      <c r="B379" s="371">
        <v>15</v>
      </c>
      <c r="C379" s="555"/>
      <c r="D379" s="556"/>
      <c r="E379" s="51"/>
      <c r="F379" s="51"/>
      <c r="G379" s="559"/>
    </row>
    <row r="380" spans="1:7">
      <c r="A380" s="368"/>
    </row>
    <row r="381" spans="1:7">
      <c r="A381" s="392" t="s">
        <v>56</v>
      </c>
      <c r="B381" s="4"/>
      <c r="C381" s="547" t="s">
        <v>20</v>
      </c>
      <c r="D381" s="548"/>
      <c r="E381" s="402" t="s">
        <v>21</v>
      </c>
      <c r="F381" s="402" t="s">
        <v>22</v>
      </c>
      <c r="G381" s="61" t="s">
        <v>23</v>
      </c>
    </row>
    <row r="382" spans="1:7">
      <c r="A382" s="393"/>
      <c r="B382" s="369"/>
      <c r="C382" s="549" t="s">
        <v>1493</v>
      </c>
      <c r="D382" s="550"/>
      <c r="E382" s="62">
        <f>SUM(E383:E397)</f>
        <v>10</v>
      </c>
      <c r="F382" s="62">
        <f>SUM(F383:F397)</f>
        <v>10</v>
      </c>
      <c r="G382" s="551" t="s">
        <v>1492</v>
      </c>
    </row>
    <row r="383" spans="1:7" outlineLevel="1">
      <c r="A383" s="393"/>
      <c r="B383" s="370">
        <v>1</v>
      </c>
      <c r="C383" s="553"/>
      <c r="D383" s="554"/>
      <c r="E383" s="49">
        <v>10</v>
      </c>
      <c r="F383" s="49">
        <v>10</v>
      </c>
      <c r="G383" s="551"/>
    </row>
    <row r="384" spans="1:7" outlineLevel="1">
      <c r="A384" s="393"/>
      <c r="B384" s="370">
        <v>2</v>
      </c>
      <c r="C384" s="553"/>
      <c r="D384" s="554"/>
      <c r="E384" s="49"/>
      <c r="F384" s="49"/>
      <c r="G384" s="551"/>
    </row>
    <row r="385" spans="1:7" outlineLevel="1">
      <c r="A385" s="393"/>
      <c r="B385" s="370">
        <v>3</v>
      </c>
      <c r="C385" s="553"/>
      <c r="D385" s="554"/>
      <c r="E385" s="49"/>
      <c r="F385" s="49"/>
      <c r="G385" s="551"/>
    </row>
    <row r="386" spans="1:7" outlineLevel="1">
      <c r="A386" s="393"/>
      <c r="B386" s="370">
        <v>4</v>
      </c>
      <c r="C386" s="553"/>
      <c r="D386" s="554"/>
      <c r="E386" s="50"/>
      <c r="F386" s="50"/>
      <c r="G386" s="551"/>
    </row>
    <row r="387" spans="1:7" outlineLevel="1">
      <c r="A387" s="393"/>
      <c r="B387" s="370">
        <v>5</v>
      </c>
      <c r="C387" s="553"/>
      <c r="D387" s="554"/>
      <c r="E387" s="49"/>
      <c r="F387" s="49"/>
      <c r="G387" s="551"/>
    </row>
    <row r="388" spans="1:7" outlineLevel="1">
      <c r="A388" s="393"/>
      <c r="B388" s="370">
        <v>6</v>
      </c>
      <c r="C388" s="553"/>
      <c r="D388" s="554"/>
      <c r="E388" s="49"/>
      <c r="F388" s="49"/>
      <c r="G388" s="551"/>
    </row>
    <row r="389" spans="1:7" outlineLevel="1">
      <c r="A389" s="393"/>
      <c r="B389" s="370">
        <v>7</v>
      </c>
      <c r="C389" s="553"/>
      <c r="D389" s="554"/>
      <c r="E389" s="49"/>
      <c r="F389" s="49"/>
      <c r="G389" s="551"/>
    </row>
    <row r="390" spans="1:7" outlineLevel="1">
      <c r="A390" s="393"/>
      <c r="B390" s="370">
        <v>8</v>
      </c>
      <c r="C390" s="553"/>
      <c r="D390" s="554"/>
      <c r="E390" s="49"/>
      <c r="F390" s="49"/>
      <c r="G390" s="551"/>
    </row>
    <row r="391" spans="1:7" outlineLevel="1">
      <c r="A391" s="393"/>
      <c r="B391" s="370">
        <v>9</v>
      </c>
      <c r="C391" s="553"/>
      <c r="D391" s="554"/>
      <c r="E391" s="49"/>
      <c r="F391" s="49"/>
      <c r="G391" s="551"/>
    </row>
    <row r="392" spans="1:7" outlineLevel="1">
      <c r="A392" s="393"/>
      <c r="B392" s="370">
        <v>10</v>
      </c>
      <c r="C392" s="553"/>
      <c r="D392" s="554"/>
      <c r="E392" s="49"/>
      <c r="F392" s="49"/>
      <c r="G392" s="551"/>
    </row>
    <row r="393" spans="1:7" outlineLevel="1">
      <c r="A393" s="393"/>
      <c r="B393" s="370">
        <v>11</v>
      </c>
      <c r="C393" s="553"/>
      <c r="D393" s="554"/>
      <c r="E393" s="49"/>
      <c r="F393" s="49"/>
      <c r="G393" s="551"/>
    </row>
    <row r="394" spans="1:7" outlineLevel="1">
      <c r="A394" s="393"/>
      <c r="B394" s="370">
        <v>12</v>
      </c>
      <c r="C394" s="553"/>
      <c r="D394" s="554"/>
      <c r="E394" s="49"/>
      <c r="F394" s="49"/>
      <c r="G394" s="551"/>
    </row>
    <row r="395" spans="1:7" outlineLevel="1">
      <c r="A395" s="393"/>
      <c r="B395" s="370">
        <v>13</v>
      </c>
      <c r="C395" s="553"/>
      <c r="D395" s="554"/>
      <c r="E395" s="49"/>
      <c r="F395" s="49"/>
      <c r="G395" s="551"/>
    </row>
    <row r="396" spans="1:7" outlineLevel="1">
      <c r="A396" s="393"/>
      <c r="B396" s="370">
        <v>14</v>
      </c>
      <c r="C396" s="553"/>
      <c r="D396" s="554"/>
      <c r="E396" s="49"/>
      <c r="F396" s="49"/>
      <c r="G396" s="551"/>
    </row>
    <row r="397" spans="1:7" outlineLevel="1">
      <c r="A397" s="394"/>
      <c r="B397" s="371">
        <v>15</v>
      </c>
      <c r="C397" s="555"/>
      <c r="D397" s="556"/>
      <c r="E397" s="51"/>
      <c r="F397" s="51"/>
      <c r="G397" s="552"/>
    </row>
    <row r="398" spans="1:7">
      <c r="A398" s="368"/>
    </row>
    <row r="399" spans="1:7">
      <c r="A399" s="392" t="s">
        <v>56</v>
      </c>
      <c r="B399" s="4"/>
      <c r="C399" s="547" t="s">
        <v>20</v>
      </c>
      <c r="D399" s="548"/>
      <c r="E399" s="402" t="s">
        <v>21</v>
      </c>
      <c r="F399" s="402" t="s">
        <v>22</v>
      </c>
      <c r="G399" s="61" t="s">
        <v>23</v>
      </c>
    </row>
    <row r="400" spans="1:7">
      <c r="A400" s="393"/>
      <c r="B400" s="369"/>
      <c r="C400" s="549" t="s">
        <v>1484</v>
      </c>
      <c r="D400" s="550"/>
      <c r="E400" s="62">
        <f>SUM(E401:E415)</f>
        <v>7</v>
      </c>
      <c r="F400" s="62">
        <f>SUM(F401:F415)</f>
        <v>9</v>
      </c>
      <c r="G400" s="551"/>
    </row>
    <row r="401" spans="1:7" outlineLevel="1">
      <c r="A401" s="393"/>
      <c r="B401" s="370">
        <v>1</v>
      </c>
      <c r="C401" s="553"/>
      <c r="D401" s="554"/>
      <c r="E401" s="49">
        <v>7</v>
      </c>
      <c r="F401" s="49">
        <v>9</v>
      </c>
      <c r="G401" s="551"/>
    </row>
    <row r="402" spans="1:7" outlineLevel="1">
      <c r="A402" s="393"/>
      <c r="B402" s="370">
        <v>2</v>
      </c>
      <c r="C402" s="553"/>
      <c r="D402" s="554"/>
      <c r="E402" s="49"/>
      <c r="F402" s="49"/>
      <c r="G402" s="551"/>
    </row>
    <row r="403" spans="1:7" outlineLevel="1">
      <c r="A403" s="393"/>
      <c r="B403" s="370">
        <v>3</v>
      </c>
      <c r="C403" s="553"/>
      <c r="D403" s="554"/>
      <c r="E403" s="49"/>
      <c r="F403" s="49"/>
      <c r="G403" s="551"/>
    </row>
    <row r="404" spans="1:7" outlineLevel="1">
      <c r="A404" s="393"/>
      <c r="B404" s="370">
        <v>4</v>
      </c>
      <c r="C404" s="553"/>
      <c r="D404" s="554"/>
      <c r="E404" s="50"/>
      <c r="F404" s="50"/>
      <c r="G404" s="551"/>
    </row>
    <row r="405" spans="1:7" outlineLevel="1">
      <c r="A405" s="393"/>
      <c r="B405" s="370">
        <v>5</v>
      </c>
      <c r="C405" s="553"/>
      <c r="D405" s="554"/>
      <c r="E405" s="49"/>
      <c r="F405" s="49"/>
      <c r="G405" s="551"/>
    </row>
    <row r="406" spans="1:7" outlineLevel="1">
      <c r="A406" s="393"/>
      <c r="B406" s="370">
        <v>6</v>
      </c>
      <c r="C406" s="553"/>
      <c r="D406" s="554"/>
      <c r="E406" s="49"/>
      <c r="F406" s="49"/>
      <c r="G406" s="551"/>
    </row>
    <row r="407" spans="1:7" outlineLevel="1">
      <c r="A407" s="393"/>
      <c r="B407" s="370">
        <v>7</v>
      </c>
      <c r="C407" s="553"/>
      <c r="D407" s="554"/>
      <c r="E407" s="49"/>
      <c r="F407" s="49"/>
      <c r="G407" s="551"/>
    </row>
    <row r="408" spans="1:7" outlineLevel="1">
      <c r="A408" s="393"/>
      <c r="B408" s="370">
        <v>8</v>
      </c>
      <c r="C408" s="553"/>
      <c r="D408" s="554"/>
      <c r="E408" s="49"/>
      <c r="F408" s="49"/>
      <c r="G408" s="551"/>
    </row>
    <row r="409" spans="1:7" outlineLevel="1">
      <c r="A409" s="393"/>
      <c r="B409" s="370">
        <v>9</v>
      </c>
      <c r="C409" s="553"/>
      <c r="D409" s="554"/>
      <c r="E409" s="49"/>
      <c r="F409" s="49"/>
      <c r="G409" s="551"/>
    </row>
    <row r="410" spans="1:7" outlineLevel="1">
      <c r="A410" s="393"/>
      <c r="B410" s="370">
        <v>10</v>
      </c>
      <c r="C410" s="553"/>
      <c r="D410" s="554"/>
      <c r="E410" s="49"/>
      <c r="F410" s="49"/>
      <c r="G410" s="551"/>
    </row>
    <row r="411" spans="1:7" outlineLevel="1">
      <c r="A411" s="393"/>
      <c r="B411" s="370">
        <v>11</v>
      </c>
      <c r="C411" s="553"/>
      <c r="D411" s="554"/>
      <c r="E411" s="49"/>
      <c r="F411" s="49"/>
      <c r="G411" s="551"/>
    </row>
    <row r="412" spans="1:7" outlineLevel="1">
      <c r="A412" s="393"/>
      <c r="B412" s="370">
        <v>12</v>
      </c>
      <c r="C412" s="553"/>
      <c r="D412" s="554"/>
      <c r="E412" s="49"/>
      <c r="F412" s="49"/>
      <c r="G412" s="551"/>
    </row>
    <row r="413" spans="1:7" outlineLevel="1">
      <c r="A413" s="393"/>
      <c r="B413" s="370">
        <v>13</v>
      </c>
      <c r="C413" s="553"/>
      <c r="D413" s="554"/>
      <c r="E413" s="49"/>
      <c r="F413" s="49"/>
      <c r="G413" s="551"/>
    </row>
    <row r="414" spans="1:7" outlineLevel="1">
      <c r="A414" s="393"/>
      <c r="B414" s="370">
        <v>14</v>
      </c>
      <c r="C414" s="553"/>
      <c r="D414" s="554"/>
      <c r="E414" s="49"/>
      <c r="F414" s="49"/>
      <c r="G414" s="551"/>
    </row>
    <row r="415" spans="1:7" outlineLevel="1">
      <c r="A415" s="394"/>
      <c r="B415" s="371">
        <v>15</v>
      </c>
      <c r="C415" s="555"/>
      <c r="D415" s="556"/>
      <c r="E415" s="51"/>
      <c r="F415" s="51"/>
      <c r="G415" s="552"/>
    </row>
    <row r="416" spans="1:7">
      <c r="A416" s="368"/>
    </row>
    <row r="417" spans="1:7">
      <c r="A417" s="392" t="s">
        <v>56</v>
      </c>
      <c r="B417" s="4"/>
      <c r="C417" s="547" t="s">
        <v>20</v>
      </c>
      <c r="D417" s="548"/>
      <c r="E417" s="402" t="s">
        <v>21</v>
      </c>
      <c r="F417" s="402" t="s">
        <v>22</v>
      </c>
      <c r="G417" s="61" t="s">
        <v>23</v>
      </c>
    </row>
    <row r="418" spans="1:7">
      <c r="A418" s="393"/>
      <c r="B418" s="369"/>
      <c r="C418" s="549" t="s">
        <v>1495</v>
      </c>
      <c r="D418" s="550"/>
      <c r="E418" s="62">
        <f>SUM(E419:E433)</f>
        <v>10</v>
      </c>
      <c r="F418" s="62">
        <f>SUM(F419:F433)</f>
        <v>10</v>
      </c>
      <c r="G418" s="551" t="s">
        <v>1485</v>
      </c>
    </row>
    <row r="419" spans="1:7" outlineLevel="1">
      <c r="A419" s="393"/>
      <c r="B419" s="370">
        <v>1</v>
      </c>
      <c r="C419" s="553"/>
      <c r="D419" s="554"/>
      <c r="E419" s="49">
        <v>10</v>
      </c>
      <c r="F419" s="49">
        <v>10</v>
      </c>
      <c r="G419" s="551"/>
    </row>
    <row r="420" spans="1:7" outlineLevel="1">
      <c r="A420" s="393"/>
      <c r="B420" s="370">
        <v>2</v>
      </c>
      <c r="C420" s="553"/>
      <c r="D420" s="554"/>
      <c r="E420" s="49"/>
      <c r="F420" s="49"/>
      <c r="G420" s="551"/>
    </row>
    <row r="421" spans="1:7" outlineLevel="1">
      <c r="A421" s="393"/>
      <c r="B421" s="370">
        <v>3</v>
      </c>
      <c r="C421" s="553"/>
      <c r="D421" s="554"/>
      <c r="E421" s="49"/>
      <c r="F421" s="49"/>
      <c r="G421" s="551"/>
    </row>
    <row r="422" spans="1:7" outlineLevel="1">
      <c r="A422" s="393"/>
      <c r="B422" s="370">
        <v>4</v>
      </c>
      <c r="C422" s="553"/>
      <c r="D422" s="554"/>
      <c r="E422" s="50"/>
      <c r="F422" s="50"/>
      <c r="G422" s="551"/>
    </row>
    <row r="423" spans="1:7" outlineLevel="1">
      <c r="A423" s="393"/>
      <c r="B423" s="370">
        <v>5</v>
      </c>
      <c r="C423" s="553"/>
      <c r="D423" s="554"/>
      <c r="E423" s="49"/>
      <c r="F423" s="49"/>
      <c r="G423" s="551"/>
    </row>
    <row r="424" spans="1:7" outlineLevel="1">
      <c r="A424" s="393"/>
      <c r="B424" s="370">
        <v>6</v>
      </c>
      <c r="C424" s="553"/>
      <c r="D424" s="554"/>
      <c r="E424" s="49"/>
      <c r="F424" s="49"/>
      <c r="G424" s="551"/>
    </row>
    <row r="425" spans="1:7" outlineLevel="1">
      <c r="A425" s="393"/>
      <c r="B425" s="370">
        <v>7</v>
      </c>
      <c r="C425" s="553"/>
      <c r="D425" s="554"/>
      <c r="E425" s="49"/>
      <c r="F425" s="49"/>
      <c r="G425" s="551"/>
    </row>
    <row r="426" spans="1:7" outlineLevel="1">
      <c r="A426" s="393"/>
      <c r="B426" s="370">
        <v>8</v>
      </c>
      <c r="C426" s="553"/>
      <c r="D426" s="554"/>
      <c r="E426" s="49"/>
      <c r="F426" s="49"/>
      <c r="G426" s="551"/>
    </row>
    <row r="427" spans="1:7" outlineLevel="1">
      <c r="A427" s="393"/>
      <c r="B427" s="370">
        <v>9</v>
      </c>
      <c r="C427" s="553"/>
      <c r="D427" s="554"/>
      <c r="E427" s="49"/>
      <c r="F427" s="49"/>
      <c r="G427" s="551"/>
    </row>
    <row r="428" spans="1:7" outlineLevel="1">
      <c r="A428" s="393"/>
      <c r="B428" s="370">
        <v>10</v>
      </c>
      <c r="C428" s="553"/>
      <c r="D428" s="554"/>
      <c r="E428" s="49"/>
      <c r="F428" s="49"/>
      <c r="G428" s="551"/>
    </row>
    <row r="429" spans="1:7" outlineLevel="1">
      <c r="A429" s="393"/>
      <c r="B429" s="370">
        <v>11</v>
      </c>
      <c r="C429" s="553"/>
      <c r="D429" s="554"/>
      <c r="E429" s="49"/>
      <c r="F429" s="49"/>
      <c r="G429" s="551"/>
    </row>
    <row r="430" spans="1:7" outlineLevel="1">
      <c r="A430" s="393"/>
      <c r="B430" s="370">
        <v>12</v>
      </c>
      <c r="C430" s="553"/>
      <c r="D430" s="554"/>
      <c r="E430" s="49"/>
      <c r="F430" s="49"/>
      <c r="G430" s="551"/>
    </row>
    <row r="431" spans="1:7" outlineLevel="1">
      <c r="A431" s="393"/>
      <c r="B431" s="370">
        <v>13</v>
      </c>
      <c r="C431" s="553"/>
      <c r="D431" s="554"/>
      <c r="E431" s="49"/>
      <c r="F431" s="49"/>
      <c r="G431" s="551"/>
    </row>
    <row r="432" spans="1:7" outlineLevel="1">
      <c r="A432" s="393"/>
      <c r="B432" s="370">
        <v>14</v>
      </c>
      <c r="C432" s="553"/>
      <c r="D432" s="554"/>
      <c r="E432" s="49"/>
      <c r="F432" s="49"/>
      <c r="G432" s="551"/>
    </row>
    <row r="433" spans="1:7" outlineLevel="1">
      <c r="A433" s="394"/>
      <c r="B433" s="371">
        <v>15</v>
      </c>
      <c r="C433" s="555"/>
      <c r="D433" s="556"/>
      <c r="E433" s="51"/>
      <c r="F433" s="51"/>
      <c r="G433" s="552"/>
    </row>
    <row r="434" spans="1:7">
      <c r="A434" s="368"/>
    </row>
    <row r="435" spans="1:7">
      <c r="A435" s="392" t="s">
        <v>56</v>
      </c>
      <c r="B435" s="4"/>
      <c r="C435" s="547" t="s">
        <v>20</v>
      </c>
      <c r="D435" s="548"/>
      <c r="E435" s="402" t="s">
        <v>21</v>
      </c>
      <c r="F435" s="402" t="s">
        <v>22</v>
      </c>
      <c r="G435" s="61" t="s">
        <v>23</v>
      </c>
    </row>
    <row r="436" spans="1:7">
      <c r="A436" s="393"/>
      <c r="B436" s="369"/>
      <c r="C436" s="549" t="s">
        <v>1486</v>
      </c>
      <c r="D436" s="550"/>
      <c r="E436" s="62">
        <f>SUM(E437:E451)</f>
        <v>8</v>
      </c>
      <c r="F436" s="62">
        <f>SUM(F437:F451)</f>
        <v>10</v>
      </c>
      <c r="G436" s="551"/>
    </row>
    <row r="437" spans="1:7" outlineLevel="1">
      <c r="A437" s="393"/>
      <c r="B437" s="370">
        <v>1</v>
      </c>
      <c r="C437" s="553"/>
      <c r="D437" s="554"/>
      <c r="E437" s="49">
        <v>8</v>
      </c>
      <c r="F437" s="49">
        <v>10</v>
      </c>
      <c r="G437" s="551"/>
    </row>
    <row r="438" spans="1:7" outlineLevel="1">
      <c r="A438" s="393"/>
      <c r="B438" s="370">
        <v>2</v>
      </c>
      <c r="C438" s="553"/>
      <c r="D438" s="554"/>
      <c r="E438" s="49"/>
      <c r="F438" s="49"/>
      <c r="G438" s="551"/>
    </row>
    <row r="439" spans="1:7" outlineLevel="1">
      <c r="A439" s="393"/>
      <c r="B439" s="370">
        <v>3</v>
      </c>
      <c r="C439" s="553"/>
      <c r="D439" s="554"/>
      <c r="E439" s="49"/>
      <c r="F439" s="49"/>
      <c r="G439" s="551"/>
    </row>
    <row r="440" spans="1:7" outlineLevel="1">
      <c r="A440" s="393"/>
      <c r="B440" s="370">
        <v>4</v>
      </c>
      <c r="C440" s="553"/>
      <c r="D440" s="554"/>
      <c r="E440" s="50"/>
      <c r="F440" s="50"/>
      <c r="G440" s="551"/>
    </row>
    <row r="441" spans="1:7" outlineLevel="1">
      <c r="A441" s="393"/>
      <c r="B441" s="370">
        <v>5</v>
      </c>
      <c r="C441" s="553"/>
      <c r="D441" s="554"/>
      <c r="E441" s="49"/>
      <c r="F441" s="49"/>
      <c r="G441" s="551"/>
    </row>
    <row r="442" spans="1:7" outlineLevel="1">
      <c r="A442" s="393"/>
      <c r="B442" s="370">
        <v>6</v>
      </c>
      <c r="C442" s="553"/>
      <c r="D442" s="554"/>
      <c r="E442" s="49"/>
      <c r="F442" s="49"/>
      <c r="G442" s="551"/>
    </row>
    <row r="443" spans="1:7" outlineLevel="1">
      <c r="A443" s="393"/>
      <c r="B443" s="370">
        <v>7</v>
      </c>
      <c r="C443" s="553"/>
      <c r="D443" s="554"/>
      <c r="E443" s="49"/>
      <c r="F443" s="49"/>
      <c r="G443" s="551"/>
    </row>
    <row r="444" spans="1:7" outlineLevel="1">
      <c r="A444" s="393"/>
      <c r="B444" s="370">
        <v>8</v>
      </c>
      <c r="C444" s="553"/>
      <c r="D444" s="554"/>
      <c r="E444" s="49"/>
      <c r="F444" s="49"/>
      <c r="G444" s="551"/>
    </row>
    <row r="445" spans="1:7" outlineLevel="1">
      <c r="A445" s="393"/>
      <c r="B445" s="370">
        <v>9</v>
      </c>
      <c r="C445" s="553"/>
      <c r="D445" s="554"/>
      <c r="E445" s="49"/>
      <c r="F445" s="49"/>
      <c r="G445" s="551"/>
    </row>
    <row r="446" spans="1:7" outlineLevel="1">
      <c r="A446" s="393"/>
      <c r="B446" s="370">
        <v>10</v>
      </c>
      <c r="C446" s="553"/>
      <c r="D446" s="554"/>
      <c r="E446" s="49"/>
      <c r="F446" s="49"/>
      <c r="G446" s="551"/>
    </row>
    <row r="447" spans="1:7" outlineLevel="1">
      <c r="A447" s="393"/>
      <c r="B447" s="370">
        <v>11</v>
      </c>
      <c r="C447" s="553"/>
      <c r="D447" s="554"/>
      <c r="E447" s="49"/>
      <c r="F447" s="49"/>
      <c r="G447" s="551"/>
    </row>
    <row r="448" spans="1:7" outlineLevel="1">
      <c r="A448" s="393"/>
      <c r="B448" s="370">
        <v>12</v>
      </c>
      <c r="C448" s="553"/>
      <c r="D448" s="554"/>
      <c r="E448" s="49"/>
      <c r="F448" s="49"/>
      <c r="G448" s="551"/>
    </row>
    <row r="449" spans="1:7" outlineLevel="1">
      <c r="A449" s="393"/>
      <c r="B449" s="370">
        <v>13</v>
      </c>
      <c r="C449" s="553"/>
      <c r="D449" s="554"/>
      <c r="E449" s="49"/>
      <c r="F449" s="49"/>
      <c r="G449" s="551"/>
    </row>
    <row r="450" spans="1:7" outlineLevel="1">
      <c r="A450" s="393"/>
      <c r="B450" s="370">
        <v>14</v>
      </c>
      <c r="C450" s="553"/>
      <c r="D450" s="554"/>
      <c r="E450" s="49"/>
      <c r="F450" s="49"/>
      <c r="G450" s="551"/>
    </row>
    <row r="451" spans="1:7" outlineLevel="1">
      <c r="A451" s="394"/>
      <c r="B451" s="371">
        <v>15</v>
      </c>
      <c r="C451" s="555"/>
      <c r="D451" s="556"/>
      <c r="E451" s="51"/>
      <c r="F451" s="51"/>
      <c r="G451" s="552"/>
    </row>
    <row r="452" spans="1:7">
      <c r="A452" s="368"/>
    </row>
    <row r="453" spans="1:7">
      <c r="A453" s="392" t="s">
        <v>56</v>
      </c>
      <c r="B453" s="4"/>
      <c r="C453" s="547" t="s">
        <v>20</v>
      </c>
      <c r="D453" s="548"/>
      <c r="E453" s="402" t="s">
        <v>21</v>
      </c>
      <c r="F453" s="402" t="s">
        <v>22</v>
      </c>
      <c r="G453" s="61" t="s">
        <v>23</v>
      </c>
    </row>
    <row r="454" spans="1:7">
      <c r="A454" s="393"/>
      <c r="B454" s="369"/>
      <c r="C454" s="549" t="s">
        <v>1496</v>
      </c>
      <c r="D454" s="550"/>
      <c r="E454" s="62">
        <f>SUM(E455:E469)</f>
        <v>10</v>
      </c>
      <c r="F454" s="62">
        <f>SUM(F455:F469)</f>
        <v>10</v>
      </c>
      <c r="G454" s="551"/>
    </row>
    <row r="455" spans="1:7" outlineLevel="1">
      <c r="A455" s="393"/>
      <c r="B455" s="370">
        <v>1</v>
      </c>
      <c r="C455" s="553"/>
      <c r="D455" s="554"/>
      <c r="E455" s="49">
        <v>10</v>
      </c>
      <c r="F455" s="49">
        <v>10</v>
      </c>
      <c r="G455" s="551"/>
    </row>
    <row r="456" spans="1:7" outlineLevel="1">
      <c r="A456" s="393"/>
      <c r="B456" s="370">
        <v>2</v>
      </c>
      <c r="C456" s="553"/>
      <c r="D456" s="554"/>
      <c r="E456" s="49"/>
      <c r="F456" s="49"/>
      <c r="G456" s="551"/>
    </row>
    <row r="457" spans="1:7" outlineLevel="1">
      <c r="A457" s="393"/>
      <c r="B457" s="370">
        <v>3</v>
      </c>
      <c r="C457" s="553"/>
      <c r="D457" s="554"/>
      <c r="E457" s="49"/>
      <c r="F457" s="49"/>
      <c r="G457" s="551"/>
    </row>
    <row r="458" spans="1:7" outlineLevel="1">
      <c r="A458" s="393"/>
      <c r="B458" s="370">
        <v>4</v>
      </c>
      <c r="C458" s="553"/>
      <c r="D458" s="554"/>
      <c r="E458" s="50"/>
      <c r="F458" s="50"/>
      <c r="G458" s="551"/>
    </row>
    <row r="459" spans="1:7" outlineLevel="1">
      <c r="A459" s="393"/>
      <c r="B459" s="370">
        <v>5</v>
      </c>
      <c r="C459" s="553"/>
      <c r="D459" s="554"/>
      <c r="E459" s="49"/>
      <c r="F459" s="49"/>
      <c r="G459" s="551"/>
    </row>
    <row r="460" spans="1:7" outlineLevel="1">
      <c r="A460" s="393"/>
      <c r="B460" s="370">
        <v>6</v>
      </c>
      <c r="C460" s="553"/>
      <c r="D460" s="554"/>
      <c r="E460" s="49"/>
      <c r="F460" s="49"/>
      <c r="G460" s="551"/>
    </row>
    <row r="461" spans="1:7" outlineLevel="1">
      <c r="A461" s="393"/>
      <c r="B461" s="370">
        <v>7</v>
      </c>
      <c r="C461" s="553"/>
      <c r="D461" s="554"/>
      <c r="E461" s="49"/>
      <c r="F461" s="49"/>
      <c r="G461" s="551"/>
    </row>
    <row r="462" spans="1:7" outlineLevel="1">
      <c r="A462" s="393"/>
      <c r="B462" s="370">
        <v>8</v>
      </c>
      <c r="C462" s="553"/>
      <c r="D462" s="554"/>
      <c r="E462" s="49"/>
      <c r="F462" s="49"/>
      <c r="G462" s="551"/>
    </row>
    <row r="463" spans="1:7" outlineLevel="1">
      <c r="A463" s="393"/>
      <c r="B463" s="370">
        <v>9</v>
      </c>
      <c r="C463" s="553"/>
      <c r="D463" s="554"/>
      <c r="E463" s="49"/>
      <c r="F463" s="49"/>
      <c r="G463" s="551"/>
    </row>
    <row r="464" spans="1:7" outlineLevel="1">
      <c r="A464" s="393"/>
      <c r="B464" s="370">
        <v>10</v>
      </c>
      <c r="C464" s="553"/>
      <c r="D464" s="554"/>
      <c r="E464" s="49"/>
      <c r="F464" s="49"/>
      <c r="G464" s="551"/>
    </row>
    <row r="465" spans="1:7" outlineLevel="1">
      <c r="A465" s="393"/>
      <c r="B465" s="370">
        <v>11</v>
      </c>
      <c r="C465" s="553"/>
      <c r="D465" s="554"/>
      <c r="E465" s="49"/>
      <c r="F465" s="49"/>
      <c r="G465" s="551"/>
    </row>
    <row r="466" spans="1:7" outlineLevel="1">
      <c r="A466" s="393"/>
      <c r="B466" s="370">
        <v>12</v>
      </c>
      <c r="C466" s="553"/>
      <c r="D466" s="554"/>
      <c r="E466" s="49"/>
      <c r="F466" s="49"/>
      <c r="G466" s="551"/>
    </row>
    <row r="467" spans="1:7" outlineLevel="1">
      <c r="A467" s="393"/>
      <c r="B467" s="370">
        <v>13</v>
      </c>
      <c r="C467" s="553"/>
      <c r="D467" s="554"/>
      <c r="E467" s="49"/>
      <c r="F467" s="49"/>
      <c r="G467" s="551"/>
    </row>
    <row r="468" spans="1:7" outlineLevel="1">
      <c r="A468" s="393"/>
      <c r="B468" s="370">
        <v>14</v>
      </c>
      <c r="C468" s="553"/>
      <c r="D468" s="554"/>
      <c r="E468" s="49"/>
      <c r="F468" s="49"/>
      <c r="G468" s="551"/>
    </row>
    <row r="469" spans="1:7" outlineLevel="1">
      <c r="A469" s="394"/>
      <c r="B469" s="371">
        <v>15</v>
      </c>
      <c r="C469" s="555"/>
      <c r="D469" s="556"/>
      <c r="E469" s="51"/>
      <c r="F469" s="51"/>
      <c r="G469" s="552"/>
    </row>
    <row r="470" spans="1:7">
      <c r="A470" s="368"/>
    </row>
    <row r="471" spans="1:7">
      <c r="A471" s="392" t="s">
        <v>56</v>
      </c>
      <c r="B471" s="4"/>
      <c r="C471" s="547" t="s">
        <v>20</v>
      </c>
      <c r="D471" s="548"/>
      <c r="E471" s="402" t="s">
        <v>21</v>
      </c>
      <c r="F471" s="402" t="s">
        <v>22</v>
      </c>
      <c r="G471" s="61" t="s">
        <v>23</v>
      </c>
    </row>
    <row r="472" spans="1:7">
      <c r="A472" s="393"/>
      <c r="B472" s="369"/>
      <c r="C472" s="549" t="s">
        <v>1488</v>
      </c>
      <c r="D472" s="550"/>
      <c r="E472" s="62">
        <f>SUM(E473:E487)</f>
        <v>5</v>
      </c>
      <c r="F472" s="62">
        <f>SUM(F473:F487)</f>
        <v>5</v>
      </c>
      <c r="G472" s="551"/>
    </row>
    <row r="473" spans="1:7" outlineLevel="1">
      <c r="A473" s="393"/>
      <c r="B473" s="370">
        <v>1</v>
      </c>
      <c r="C473" s="553"/>
      <c r="D473" s="554"/>
      <c r="E473" s="49">
        <v>5</v>
      </c>
      <c r="F473" s="49">
        <v>5</v>
      </c>
      <c r="G473" s="551"/>
    </row>
    <row r="474" spans="1:7" outlineLevel="1">
      <c r="A474" s="393"/>
      <c r="B474" s="370">
        <v>2</v>
      </c>
      <c r="C474" s="553"/>
      <c r="D474" s="554"/>
      <c r="E474" s="49"/>
      <c r="F474" s="49"/>
      <c r="G474" s="551"/>
    </row>
    <row r="475" spans="1:7" outlineLevel="1">
      <c r="A475" s="393"/>
      <c r="B475" s="370">
        <v>3</v>
      </c>
      <c r="C475" s="553"/>
      <c r="D475" s="554"/>
      <c r="E475" s="49"/>
      <c r="F475" s="49"/>
      <c r="G475" s="551"/>
    </row>
    <row r="476" spans="1:7" outlineLevel="1">
      <c r="A476" s="393"/>
      <c r="B476" s="370">
        <v>4</v>
      </c>
      <c r="C476" s="553"/>
      <c r="D476" s="554"/>
      <c r="E476" s="50"/>
      <c r="F476" s="50"/>
      <c r="G476" s="551"/>
    </row>
    <row r="477" spans="1:7" outlineLevel="1">
      <c r="A477" s="393"/>
      <c r="B477" s="370">
        <v>5</v>
      </c>
      <c r="C477" s="553"/>
      <c r="D477" s="554"/>
      <c r="E477" s="49"/>
      <c r="F477" s="49"/>
      <c r="G477" s="551"/>
    </row>
    <row r="478" spans="1:7" outlineLevel="1">
      <c r="A478" s="393"/>
      <c r="B478" s="370">
        <v>6</v>
      </c>
      <c r="C478" s="553"/>
      <c r="D478" s="554"/>
      <c r="E478" s="49"/>
      <c r="F478" s="49"/>
      <c r="G478" s="551"/>
    </row>
    <row r="479" spans="1:7" outlineLevel="1">
      <c r="A479" s="393"/>
      <c r="B479" s="370">
        <v>7</v>
      </c>
      <c r="C479" s="553"/>
      <c r="D479" s="554"/>
      <c r="E479" s="49"/>
      <c r="F479" s="49"/>
      <c r="G479" s="551"/>
    </row>
    <row r="480" spans="1:7" outlineLevel="1">
      <c r="A480" s="393"/>
      <c r="B480" s="370">
        <v>8</v>
      </c>
      <c r="C480" s="553"/>
      <c r="D480" s="554"/>
      <c r="E480" s="49"/>
      <c r="F480" s="49"/>
      <c r="G480" s="551"/>
    </row>
    <row r="481" spans="1:7" outlineLevel="1">
      <c r="A481" s="393"/>
      <c r="B481" s="370">
        <v>9</v>
      </c>
      <c r="C481" s="553"/>
      <c r="D481" s="554"/>
      <c r="E481" s="49"/>
      <c r="F481" s="49"/>
      <c r="G481" s="551"/>
    </row>
    <row r="482" spans="1:7" outlineLevel="1">
      <c r="A482" s="393"/>
      <c r="B482" s="370">
        <v>10</v>
      </c>
      <c r="C482" s="553"/>
      <c r="D482" s="554"/>
      <c r="E482" s="49"/>
      <c r="F482" s="49"/>
      <c r="G482" s="551"/>
    </row>
    <row r="483" spans="1:7" outlineLevel="1">
      <c r="A483" s="393"/>
      <c r="B483" s="370">
        <v>11</v>
      </c>
      <c r="C483" s="553"/>
      <c r="D483" s="554"/>
      <c r="E483" s="49"/>
      <c r="F483" s="49"/>
      <c r="G483" s="551"/>
    </row>
    <row r="484" spans="1:7" outlineLevel="1">
      <c r="A484" s="393"/>
      <c r="B484" s="370">
        <v>12</v>
      </c>
      <c r="C484" s="553"/>
      <c r="D484" s="554"/>
      <c r="E484" s="49"/>
      <c r="F484" s="49"/>
      <c r="G484" s="551"/>
    </row>
    <row r="485" spans="1:7" outlineLevel="1">
      <c r="A485" s="393"/>
      <c r="B485" s="370">
        <v>13</v>
      </c>
      <c r="C485" s="553"/>
      <c r="D485" s="554"/>
      <c r="E485" s="49"/>
      <c r="F485" s="49"/>
      <c r="G485" s="551"/>
    </row>
    <row r="486" spans="1:7" outlineLevel="1">
      <c r="A486" s="393"/>
      <c r="B486" s="370">
        <v>14</v>
      </c>
      <c r="C486" s="553"/>
      <c r="D486" s="554"/>
      <c r="E486" s="49"/>
      <c r="F486" s="49"/>
      <c r="G486" s="551"/>
    </row>
    <row r="487" spans="1:7" outlineLevel="1">
      <c r="A487" s="394"/>
      <c r="B487" s="371">
        <v>15</v>
      </c>
      <c r="C487" s="555"/>
      <c r="D487" s="556"/>
      <c r="E487" s="51"/>
      <c r="F487" s="51"/>
      <c r="G487" s="552"/>
    </row>
    <row r="488" spans="1:7">
      <c r="A488" s="368"/>
    </row>
    <row r="489" spans="1:7">
      <c r="A489" s="392" t="s">
        <v>56</v>
      </c>
      <c r="B489" s="4"/>
      <c r="C489" s="547" t="s">
        <v>20</v>
      </c>
      <c r="D489" s="548"/>
      <c r="E489" s="408" t="s">
        <v>21</v>
      </c>
      <c r="F489" s="408" t="s">
        <v>22</v>
      </c>
      <c r="G489" s="61" t="s">
        <v>23</v>
      </c>
    </row>
    <row r="490" spans="1:7">
      <c r="A490" s="393"/>
      <c r="B490" s="369"/>
      <c r="C490" s="549" t="s">
        <v>1500</v>
      </c>
      <c r="D490" s="550"/>
      <c r="E490" s="62">
        <f>SUM(E491:E505)</f>
        <v>25</v>
      </c>
      <c r="F490" s="62">
        <f>SUM(F491:F505)</f>
        <v>25</v>
      </c>
      <c r="G490" s="551" t="s">
        <v>1497</v>
      </c>
    </row>
    <row r="491" spans="1:7" outlineLevel="1">
      <c r="A491" s="393"/>
      <c r="B491" s="370">
        <v>1</v>
      </c>
      <c r="C491" s="553"/>
      <c r="D491" s="554"/>
      <c r="E491" s="49">
        <v>25</v>
      </c>
      <c r="F491" s="49">
        <v>25</v>
      </c>
      <c r="G491" s="551"/>
    </row>
    <row r="492" spans="1:7" outlineLevel="1">
      <c r="A492" s="393"/>
      <c r="B492" s="370">
        <v>2</v>
      </c>
      <c r="C492" s="553"/>
      <c r="D492" s="554"/>
      <c r="E492" s="49"/>
      <c r="F492" s="49"/>
      <c r="G492" s="551"/>
    </row>
    <row r="493" spans="1:7" outlineLevel="1">
      <c r="A493" s="393"/>
      <c r="B493" s="370">
        <v>3</v>
      </c>
      <c r="C493" s="553"/>
      <c r="D493" s="554"/>
      <c r="E493" s="49"/>
      <c r="F493" s="49"/>
      <c r="G493" s="551"/>
    </row>
    <row r="494" spans="1:7" outlineLevel="1">
      <c r="A494" s="393"/>
      <c r="B494" s="370">
        <v>4</v>
      </c>
      <c r="C494" s="553"/>
      <c r="D494" s="554"/>
      <c r="E494" s="50"/>
      <c r="F494" s="50"/>
      <c r="G494" s="551"/>
    </row>
    <row r="495" spans="1:7" outlineLevel="1">
      <c r="A495" s="393"/>
      <c r="B495" s="370">
        <v>5</v>
      </c>
      <c r="C495" s="553"/>
      <c r="D495" s="554"/>
      <c r="E495" s="49"/>
      <c r="F495" s="49"/>
      <c r="G495" s="551"/>
    </row>
    <row r="496" spans="1:7" outlineLevel="1">
      <c r="A496" s="393"/>
      <c r="B496" s="370">
        <v>6</v>
      </c>
      <c r="C496" s="553"/>
      <c r="D496" s="554"/>
      <c r="E496" s="49"/>
      <c r="F496" s="49"/>
      <c r="G496" s="551"/>
    </row>
    <row r="497" spans="1:7" outlineLevel="1">
      <c r="A497" s="393"/>
      <c r="B497" s="370">
        <v>7</v>
      </c>
      <c r="C497" s="553"/>
      <c r="D497" s="554"/>
      <c r="E497" s="49"/>
      <c r="F497" s="49"/>
      <c r="G497" s="551"/>
    </row>
    <row r="498" spans="1:7" outlineLevel="1">
      <c r="A498" s="393"/>
      <c r="B498" s="370">
        <v>8</v>
      </c>
      <c r="C498" s="553"/>
      <c r="D498" s="554"/>
      <c r="E498" s="49"/>
      <c r="F498" s="49"/>
      <c r="G498" s="551"/>
    </row>
    <row r="499" spans="1:7" outlineLevel="1">
      <c r="A499" s="393"/>
      <c r="B499" s="370">
        <v>9</v>
      </c>
      <c r="C499" s="553"/>
      <c r="D499" s="554"/>
      <c r="E499" s="49"/>
      <c r="F499" s="49"/>
      <c r="G499" s="551"/>
    </row>
    <row r="500" spans="1:7" outlineLevel="1">
      <c r="A500" s="393"/>
      <c r="B500" s="370">
        <v>10</v>
      </c>
      <c r="C500" s="553"/>
      <c r="D500" s="554"/>
      <c r="E500" s="49"/>
      <c r="F500" s="49"/>
      <c r="G500" s="551"/>
    </row>
    <row r="501" spans="1:7" outlineLevel="1">
      <c r="A501" s="393"/>
      <c r="B501" s="370">
        <v>11</v>
      </c>
      <c r="C501" s="553"/>
      <c r="D501" s="554"/>
      <c r="E501" s="49"/>
      <c r="F501" s="49"/>
      <c r="G501" s="551"/>
    </row>
    <row r="502" spans="1:7" outlineLevel="1">
      <c r="A502" s="393"/>
      <c r="B502" s="370">
        <v>12</v>
      </c>
      <c r="C502" s="553"/>
      <c r="D502" s="554"/>
      <c r="E502" s="49"/>
      <c r="F502" s="49"/>
      <c r="G502" s="551"/>
    </row>
    <row r="503" spans="1:7" outlineLevel="1">
      <c r="A503" s="393"/>
      <c r="B503" s="370">
        <v>13</v>
      </c>
      <c r="C503" s="553"/>
      <c r="D503" s="554"/>
      <c r="E503" s="49"/>
      <c r="F503" s="49"/>
      <c r="G503" s="551"/>
    </row>
    <row r="504" spans="1:7" outlineLevel="1">
      <c r="A504" s="393"/>
      <c r="B504" s="370">
        <v>14</v>
      </c>
      <c r="C504" s="553"/>
      <c r="D504" s="554"/>
      <c r="E504" s="49"/>
      <c r="F504" s="49"/>
      <c r="G504" s="551"/>
    </row>
    <row r="505" spans="1:7" outlineLevel="1">
      <c r="A505" s="394"/>
      <c r="B505" s="371">
        <v>15</v>
      </c>
      <c r="C505" s="555"/>
      <c r="D505" s="556"/>
      <c r="E505" s="51"/>
      <c r="F505" s="51"/>
      <c r="G505" s="552"/>
    </row>
    <row r="506" spans="1:7">
      <c r="A506" s="368"/>
    </row>
    <row r="507" spans="1:7">
      <c r="A507" s="392" t="s">
        <v>56</v>
      </c>
      <c r="B507" s="4"/>
      <c r="C507" s="547" t="s">
        <v>20</v>
      </c>
      <c r="D507" s="548"/>
      <c r="E507" s="408" t="s">
        <v>21</v>
      </c>
      <c r="F507" s="408" t="s">
        <v>22</v>
      </c>
      <c r="G507" s="61" t="s">
        <v>23</v>
      </c>
    </row>
    <row r="508" spans="1:7">
      <c r="A508" s="393"/>
      <c r="B508" s="369"/>
      <c r="C508" s="549" t="s">
        <v>1490</v>
      </c>
      <c r="D508" s="550"/>
      <c r="E508" s="62">
        <f>SUM(E509:E523)</f>
        <v>5</v>
      </c>
      <c r="F508" s="62">
        <f>SUM(F509:F523)</f>
        <v>5</v>
      </c>
      <c r="G508" s="551"/>
    </row>
    <row r="509" spans="1:7" outlineLevel="1">
      <c r="A509" s="393"/>
      <c r="B509" s="370">
        <v>1</v>
      </c>
      <c r="C509" s="553"/>
      <c r="D509" s="554"/>
      <c r="E509" s="49">
        <v>5</v>
      </c>
      <c r="F509" s="49">
        <v>5</v>
      </c>
      <c r="G509" s="551"/>
    </row>
    <row r="510" spans="1:7" outlineLevel="1">
      <c r="A510" s="393"/>
      <c r="B510" s="370">
        <v>2</v>
      </c>
      <c r="C510" s="553"/>
      <c r="D510" s="554"/>
      <c r="E510" s="49"/>
      <c r="F510" s="49"/>
      <c r="G510" s="551"/>
    </row>
    <row r="511" spans="1:7" outlineLevel="1">
      <c r="A511" s="393"/>
      <c r="B511" s="370">
        <v>3</v>
      </c>
      <c r="C511" s="553"/>
      <c r="D511" s="554"/>
      <c r="E511" s="49"/>
      <c r="F511" s="49"/>
      <c r="G511" s="551"/>
    </row>
    <row r="512" spans="1:7" outlineLevel="1">
      <c r="A512" s="393"/>
      <c r="B512" s="370">
        <v>4</v>
      </c>
      <c r="C512" s="553"/>
      <c r="D512" s="554"/>
      <c r="E512" s="50"/>
      <c r="F512" s="50"/>
      <c r="G512" s="551"/>
    </row>
    <row r="513" spans="1:7" outlineLevel="1">
      <c r="A513" s="393"/>
      <c r="B513" s="370">
        <v>5</v>
      </c>
      <c r="C513" s="553"/>
      <c r="D513" s="554"/>
      <c r="E513" s="49"/>
      <c r="F513" s="49"/>
      <c r="G513" s="551"/>
    </row>
    <row r="514" spans="1:7" outlineLevel="1">
      <c r="A514" s="393"/>
      <c r="B514" s="370">
        <v>6</v>
      </c>
      <c r="C514" s="553"/>
      <c r="D514" s="554"/>
      <c r="E514" s="49"/>
      <c r="F514" s="49"/>
      <c r="G514" s="551"/>
    </row>
    <row r="515" spans="1:7" outlineLevel="1">
      <c r="A515" s="393"/>
      <c r="B515" s="370">
        <v>7</v>
      </c>
      <c r="C515" s="553"/>
      <c r="D515" s="554"/>
      <c r="E515" s="49"/>
      <c r="F515" s="49"/>
      <c r="G515" s="551"/>
    </row>
    <row r="516" spans="1:7" outlineLevel="1">
      <c r="A516" s="393"/>
      <c r="B516" s="370">
        <v>8</v>
      </c>
      <c r="C516" s="553"/>
      <c r="D516" s="554"/>
      <c r="E516" s="49"/>
      <c r="F516" s="49"/>
      <c r="G516" s="551"/>
    </row>
    <row r="517" spans="1:7" outlineLevel="1">
      <c r="A517" s="393"/>
      <c r="B517" s="370">
        <v>9</v>
      </c>
      <c r="C517" s="553"/>
      <c r="D517" s="554"/>
      <c r="E517" s="49"/>
      <c r="F517" s="49"/>
      <c r="G517" s="551"/>
    </row>
    <row r="518" spans="1:7" outlineLevel="1">
      <c r="A518" s="393"/>
      <c r="B518" s="370">
        <v>10</v>
      </c>
      <c r="C518" s="553"/>
      <c r="D518" s="554"/>
      <c r="E518" s="49"/>
      <c r="F518" s="49"/>
      <c r="G518" s="551"/>
    </row>
    <row r="519" spans="1:7" outlineLevel="1">
      <c r="A519" s="393"/>
      <c r="B519" s="370">
        <v>11</v>
      </c>
      <c r="C519" s="553"/>
      <c r="D519" s="554"/>
      <c r="E519" s="49"/>
      <c r="F519" s="49"/>
      <c r="G519" s="551"/>
    </row>
    <row r="520" spans="1:7" outlineLevel="1">
      <c r="A520" s="393"/>
      <c r="B520" s="370">
        <v>12</v>
      </c>
      <c r="C520" s="553"/>
      <c r="D520" s="554"/>
      <c r="E520" s="49"/>
      <c r="F520" s="49"/>
      <c r="G520" s="551"/>
    </row>
    <row r="521" spans="1:7" outlineLevel="1">
      <c r="A521" s="393"/>
      <c r="B521" s="370">
        <v>13</v>
      </c>
      <c r="C521" s="553"/>
      <c r="D521" s="554"/>
      <c r="E521" s="49"/>
      <c r="F521" s="49"/>
      <c r="G521" s="551"/>
    </row>
    <row r="522" spans="1:7" outlineLevel="1">
      <c r="A522" s="393"/>
      <c r="B522" s="370">
        <v>14</v>
      </c>
      <c r="C522" s="553"/>
      <c r="D522" s="554"/>
      <c r="E522" s="49"/>
      <c r="F522" s="49"/>
      <c r="G522" s="551"/>
    </row>
    <row r="523" spans="1:7" outlineLevel="1">
      <c r="A523" s="394"/>
      <c r="B523" s="371">
        <v>15</v>
      </c>
      <c r="C523" s="555"/>
      <c r="D523" s="556"/>
      <c r="E523" s="51"/>
      <c r="F523" s="51"/>
      <c r="G523" s="552"/>
    </row>
    <row r="524" spans="1:7">
      <c r="A524" s="368"/>
    </row>
    <row r="525" spans="1:7">
      <c r="A525" s="392" t="s">
        <v>56</v>
      </c>
      <c r="B525" s="4"/>
      <c r="C525" s="547" t="s">
        <v>20</v>
      </c>
      <c r="D525" s="548"/>
      <c r="E525" s="408" t="s">
        <v>21</v>
      </c>
      <c r="F525" s="408" t="s">
        <v>22</v>
      </c>
      <c r="G525" s="61" t="s">
        <v>23</v>
      </c>
    </row>
    <row r="526" spans="1:7">
      <c r="A526" s="393"/>
      <c r="B526" s="369"/>
      <c r="C526" s="549" t="s">
        <v>1491</v>
      </c>
      <c r="D526" s="550"/>
      <c r="E526" s="62">
        <f>SUM(E527:E541)</f>
        <v>5</v>
      </c>
      <c r="F526" s="62">
        <f>SUM(F527:F541)</f>
        <v>5</v>
      </c>
      <c r="G526" s="551"/>
    </row>
    <row r="527" spans="1:7" outlineLevel="1">
      <c r="A527" s="393"/>
      <c r="B527" s="370">
        <v>1</v>
      </c>
      <c r="C527" s="553"/>
      <c r="D527" s="554"/>
      <c r="E527" s="49">
        <v>5</v>
      </c>
      <c r="F527" s="49">
        <v>5</v>
      </c>
      <c r="G527" s="551"/>
    </row>
    <row r="528" spans="1:7" outlineLevel="1">
      <c r="A528" s="393"/>
      <c r="B528" s="370">
        <v>2</v>
      </c>
      <c r="C528" s="553"/>
      <c r="D528" s="554"/>
      <c r="E528" s="49"/>
      <c r="F528" s="49"/>
      <c r="G528" s="551"/>
    </row>
    <row r="529" spans="1:7" outlineLevel="1">
      <c r="A529" s="393"/>
      <c r="B529" s="370">
        <v>3</v>
      </c>
      <c r="C529" s="553"/>
      <c r="D529" s="554"/>
      <c r="E529" s="49"/>
      <c r="F529" s="49"/>
      <c r="G529" s="551"/>
    </row>
    <row r="530" spans="1:7" outlineLevel="1">
      <c r="A530" s="393"/>
      <c r="B530" s="370">
        <v>4</v>
      </c>
      <c r="C530" s="553"/>
      <c r="D530" s="554"/>
      <c r="E530" s="50"/>
      <c r="F530" s="50"/>
      <c r="G530" s="551"/>
    </row>
    <row r="531" spans="1:7" outlineLevel="1">
      <c r="A531" s="393"/>
      <c r="B531" s="370">
        <v>5</v>
      </c>
      <c r="C531" s="553"/>
      <c r="D531" s="554"/>
      <c r="E531" s="49"/>
      <c r="F531" s="49"/>
      <c r="G531" s="551"/>
    </row>
    <row r="532" spans="1:7" outlineLevel="1">
      <c r="A532" s="393"/>
      <c r="B532" s="370">
        <v>6</v>
      </c>
      <c r="C532" s="553"/>
      <c r="D532" s="554"/>
      <c r="E532" s="49"/>
      <c r="F532" s="49"/>
      <c r="G532" s="551"/>
    </row>
    <row r="533" spans="1:7" outlineLevel="1">
      <c r="A533" s="393"/>
      <c r="B533" s="370">
        <v>7</v>
      </c>
      <c r="C533" s="553"/>
      <c r="D533" s="554"/>
      <c r="E533" s="49"/>
      <c r="F533" s="49"/>
      <c r="G533" s="551"/>
    </row>
    <row r="534" spans="1:7" outlineLevel="1">
      <c r="A534" s="393"/>
      <c r="B534" s="370">
        <v>8</v>
      </c>
      <c r="C534" s="553"/>
      <c r="D534" s="554"/>
      <c r="E534" s="49"/>
      <c r="F534" s="49"/>
      <c r="G534" s="551"/>
    </row>
    <row r="535" spans="1:7" outlineLevel="1">
      <c r="A535" s="393"/>
      <c r="B535" s="370">
        <v>9</v>
      </c>
      <c r="C535" s="553"/>
      <c r="D535" s="554"/>
      <c r="E535" s="49"/>
      <c r="F535" s="49"/>
      <c r="G535" s="551"/>
    </row>
    <row r="536" spans="1:7" outlineLevel="1">
      <c r="A536" s="393"/>
      <c r="B536" s="370">
        <v>10</v>
      </c>
      <c r="C536" s="553"/>
      <c r="D536" s="554"/>
      <c r="E536" s="49"/>
      <c r="F536" s="49"/>
      <c r="G536" s="551"/>
    </row>
    <row r="537" spans="1:7" outlineLevel="1">
      <c r="A537" s="393"/>
      <c r="B537" s="370">
        <v>11</v>
      </c>
      <c r="C537" s="553"/>
      <c r="D537" s="554"/>
      <c r="E537" s="49"/>
      <c r="F537" s="49"/>
      <c r="G537" s="551"/>
    </row>
    <row r="538" spans="1:7" outlineLevel="1">
      <c r="A538" s="393"/>
      <c r="B538" s="370">
        <v>12</v>
      </c>
      <c r="C538" s="553"/>
      <c r="D538" s="554"/>
      <c r="E538" s="49"/>
      <c r="F538" s="49"/>
      <c r="G538" s="551"/>
    </row>
    <row r="539" spans="1:7" outlineLevel="1">
      <c r="A539" s="393"/>
      <c r="B539" s="370">
        <v>13</v>
      </c>
      <c r="C539" s="553"/>
      <c r="D539" s="554"/>
      <c r="E539" s="49"/>
      <c r="F539" s="49"/>
      <c r="G539" s="551"/>
    </row>
    <row r="540" spans="1:7" outlineLevel="1">
      <c r="A540" s="393"/>
      <c r="B540" s="370">
        <v>14</v>
      </c>
      <c r="C540" s="553"/>
      <c r="D540" s="554"/>
      <c r="E540" s="49"/>
      <c r="F540" s="49"/>
      <c r="G540" s="551"/>
    </row>
    <row r="541" spans="1:7" outlineLevel="1">
      <c r="A541" s="394"/>
      <c r="B541" s="371">
        <v>15</v>
      </c>
      <c r="C541" s="555"/>
      <c r="D541" s="556"/>
      <c r="E541" s="51"/>
      <c r="F541" s="51"/>
      <c r="G541" s="552"/>
    </row>
    <row r="542" spans="1:7">
      <c r="A542" s="368"/>
    </row>
    <row r="543" spans="1:7">
      <c r="A543" s="392" t="s">
        <v>56</v>
      </c>
      <c r="B543" s="4"/>
      <c r="C543" s="547" t="s">
        <v>20</v>
      </c>
      <c r="D543" s="548"/>
      <c r="E543" s="409" t="s">
        <v>21</v>
      </c>
      <c r="F543" s="409" t="s">
        <v>22</v>
      </c>
      <c r="G543" s="61" t="s">
        <v>23</v>
      </c>
    </row>
    <row r="544" spans="1:7">
      <c r="A544" s="393"/>
      <c r="B544" s="369"/>
      <c r="C544" s="549" t="s">
        <v>1494</v>
      </c>
      <c r="D544" s="550"/>
      <c r="E544" s="62">
        <f>SUM(E545:E559)</f>
        <v>5</v>
      </c>
      <c r="F544" s="62">
        <f>SUM(F545:F559)</f>
        <v>5</v>
      </c>
      <c r="G544" s="551"/>
    </row>
    <row r="545" spans="1:7" outlineLevel="1">
      <c r="A545" s="393"/>
      <c r="B545" s="370">
        <v>1</v>
      </c>
      <c r="C545" s="553"/>
      <c r="D545" s="554"/>
      <c r="E545" s="49">
        <v>5</v>
      </c>
      <c r="F545" s="49">
        <v>5</v>
      </c>
      <c r="G545" s="551"/>
    </row>
    <row r="546" spans="1:7" outlineLevel="1">
      <c r="A546" s="393"/>
      <c r="B546" s="370">
        <v>2</v>
      </c>
      <c r="C546" s="553"/>
      <c r="D546" s="554"/>
      <c r="E546" s="49"/>
      <c r="F546" s="49"/>
      <c r="G546" s="551"/>
    </row>
    <row r="547" spans="1:7" outlineLevel="1">
      <c r="A547" s="393"/>
      <c r="B547" s="370">
        <v>3</v>
      </c>
      <c r="C547" s="553"/>
      <c r="D547" s="554"/>
      <c r="E547" s="49"/>
      <c r="F547" s="49"/>
      <c r="G547" s="551"/>
    </row>
    <row r="548" spans="1:7" outlineLevel="1">
      <c r="A548" s="393"/>
      <c r="B548" s="370">
        <v>4</v>
      </c>
      <c r="C548" s="553"/>
      <c r="D548" s="554"/>
      <c r="E548" s="50"/>
      <c r="F548" s="50"/>
      <c r="G548" s="551"/>
    </row>
    <row r="549" spans="1:7" outlineLevel="1">
      <c r="A549" s="393"/>
      <c r="B549" s="370">
        <v>5</v>
      </c>
      <c r="C549" s="553"/>
      <c r="D549" s="554"/>
      <c r="E549" s="49"/>
      <c r="F549" s="49"/>
      <c r="G549" s="551"/>
    </row>
    <row r="550" spans="1:7" outlineLevel="1">
      <c r="A550" s="393"/>
      <c r="B550" s="370">
        <v>6</v>
      </c>
      <c r="C550" s="553"/>
      <c r="D550" s="554"/>
      <c r="E550" s="49"/>
      <c r="F550" s="49"/>
      <c r="G550" s="551"/>
    </row>
    <row r="551" spans="1:7" outlineLevel="1">
      <c r="A551" s="393"/>
      <c r="B551" s="370">
        <v>7</v>
      </c>
      <c r="C551" s="553"/>
      <c r="D551" s="554"/>
      <c r="E551" s="49"/>
      <c r="F551" s="49"/>
      <c r="G551" s="551"/>
    </row>
    <row r="552" spans="1:7" outlineLevel="1">
      <c r="A552" s="393"/>
      <c r="B552" s="370">
        <v>8</v>
      </c>
      <c r="C552" s="553"/>
      <c r="D552" s="554"/>
      <c r="E552" s="49"/>
      <c r="F552" s="49"/>
      <c r="G552" s="551"/>
    </row>
    <row r="553" spans="1:7" outlineLevel="1">
      <c r="A553" s="393"/>
      <c r="B553" s="370">
        <v>9</v>
      </c>
      <c r="C553" s="553"/>
      <c r="D553" s="554"/>
      <c r="E553" s="49"/>
      <c r="F553" s="49"/>
      <c r="G553" s="551"/>
    </row>
    <row r="554" spans="1:7" outlineLevel="1">
      <c r="A554" s="393"/>
      <c r="B554" s="370">
        <v>10</v>
      </c>
      <c r="C554" s="553"/>
      <c r="D554" s="554"/>
      <c r="E554" s="49"/>
      <c r="F554" s="49"/>
      <c r="G554" s="551"/>
    </row>
    <row r="555" spans="1:7" outlineLevel="1">
      <c r="A555" s="393"/>
      <c r="B555" s="370">
        <v>11</v>
      </c>
      <c r="C555" s="553"/>
      <c r="D555" s="554"/>
      <c r="E555" s="49"/>
      <c r="F555" s="49"/>
      <c r="G555" s="551"/>
    </row>
    <row r="556" spans="1:7" outlineLevel="1">
      <c r="A556" s="393"/>
      <c r="B556" s="370">
        <v>12</v>
      </c>
      <c r="C556" s="553"/>
      <c r="D556" s="554"/>
      <c r="E556" s="49"/>
      <c r="F556" s="49"/>
      <c r="G556" s="551"/>
    </row>
    <row r="557" spans="1:7" outlineLevel="1">
      <c r="A557" s="393"/>
      <c r="B557" s="370">
        <v>13</v>
      </c>
      <c r="C557" s="553"/>
      <c r="D557" s="554"/>
      <c r="E557" s="49"/>
      <c r="F557" s="49"/>
      <c r="G557" s="551"/>
    </row>
    <row r="558" spans="1:7" outlineLevel="1">
      <c r="A558" s="393"/>
      <c r="B558" s="370">
        <v>14</v>
      </c>
      <c r="C558" s="553"/>
      <c r="D558" s="554"/>
      <c r="E558" s="49"/>
      <c r="F558" s="49"/>
      <c r="G558" s="551"/>
    </row>
    <row r="559" spans="1:7" outlineLevel="1">
      <c r="A559" s="394"/>
      <c r="B559" s="371">
        <v>15</v>
      </c>
      <c r="C559" s="555"/>
      <c r="D559" s="556"/>
      <c r="E559" s="51"/>
      <c r="F559" s="51"/>
      <c r="G559" s="552"/>
    </row>
    <row r="560" spans="1:7">
      <c r="A560" s="368"/>
    </row>
    <row r="561" spans="1:7">
      <c r="A561" s="392" t="s">
        <v>56</v>
      </c>
      <c r="B561" s="4"/>
      <c r="C561" s="547" t="s">
        <v>20</v>
      </c>
      <c r="D561" s="548"/>
      <c r="E561" s="409" t="s">
        <v>21</v>
      </c>
      <c r="F561" s="409" t="s">
        <v>22</v>
      </c>
      <c r="G561" s="61" t="s">
        <v>23</v>
      </c>
    </row>
    <row r="562" spans="1:7">
      <c r="A562" s="393"/>
      <c r="B562" s="369"/>
      <c r="C562" s="549" t="s">
        <v>1499</v>
      </c>
      <c r="D562" s="550"/>
      <c r="E562" s="62">
        <f>SUM(E563:E577)</f>
        <v>3.5</v>
      </c>
      <c r="F562" s="62">
        <f>SUM(F563:F577)</f>
        <v>3.5</v>
      </c>
      <c r="G562" s="551"/>
    </row>
    <row r="563" spans="1:7" outlineLevel="1">
      <c r="A563" s="393"/>
      <c r="B563" s="370">
        <v>1</v>
      </c>
      <c r="C563" s="553"/>
      <c r="D563" s="554"/>
      <c r="E563" s="49">
        <v>3.5</v>
      </c>
      <c r="F563" s="49">
        <v>3.5</v>
      </c>
      <c r="G563" s="551"/>
    </row>
    <row r="564" spans="1:7" outlineLevel="1">
      <c r="A564" s="393"/>
      <c r="B564" s="370">
        <v>2</v>
      </c>
      <c r="C564" s="553"/>
      <c r="D564" s="554"/>
      <c r="E564" s="49"/>
      <c r="F564" s="49"/>
      <c r="G564" s="551"/>
    </row>
    <row r="565" spans="1:7" outlineLevel="1">
      <c r="A565" s="393"/>
      <c r="B565" s="370">
        <v>3</v>
      </c>
      <c r="C565" s="553"/>
      <c r="D565" s="554"/>
      <c r="E565" s="49"/>
      <c r="F565" s="49"/>
      <c r="G565" s="551"/>
    </row>
    <row r="566" spans="1:7" outlineLevel="1">
      <c r="A566" s="393"/>
      <c r="B566" s="370">
        <v>4</v>
      </c>
      <c r="C566" s="553"/>
      <c r="D566" s="554"/>
      <c r="E566" s="50"/>
      <c r="F566" s="50"/>
      <c r="G566" s="551"/>
    </row>
    <row r="567" spans="1:7" outlineLevel="1">
      <c r="A567" s="393"/>
      <c r="B567" s="370">
        <v>5</v>
      </c>
      <c r="C567" s="553"/>
      <c r="D567" s="554"/>
      <c r="E567" s="49"/>
      <c r="F567" s="49"/>
      <c r="G567" s="551"/>
    </row>
    <row r="568" spans="1:7" outlineLevel="1">
      <c r="A568" s="393"/>
      <c r="B568" s="370">
        <v>6</v>
      </c>
      <c r="C568" s="553"/>
      <c r="D568" s="554"/>
      <c r="E568" s="49"/>
      <c r="F568" s="49"/>
      <c r="G568" s="551"/>
    </row>
    <row r="569" spans="1:7" outlineLevel="1">
      <c r="A569" s="393"/>
      <c r="B569" s="370">
        <v>7</v>
      </c>
      <c r="C569" s="553"/>
      <c r="D569" s="554"/>
      <c r="E569" s="49"/>
      <c r="F569" s="49"/>
      <c r="G569" s="551"/>
    </row>
    <row r="570" spans="1:7" outlineLevel="1">
      <c r="A570" s="393"/>
      <c r="B570" s="370">
        <v>8</v>
      </c>
      <c r="C570" s="553"/>
      <c r="D570" s="554"/>
      <c r="E570" s="49"/>
      <c r="F570" s="49"/>
      <c r="G570" s="551"/>
    </row>
    <row r="571" spans="1:7" outlineLevel="1">
      <c r="A571" s="393"/>
      <c r="B571" s="370">
        <v>9</v>
      </c>
      <c r="C571" s="553"/>
      <c r="D571" s="554"/>
      <c r="E571" s="49"/>
      <c r="F571" s="49"/>
      <c r="G571" s="551"/>
    </row>
    <row r="572" spans="1:7" outlineLevel="1">
      <c r="A572" s="393"/>
      <c r="B572" s="370">
        <v>10</v>
      </c>
      <c r="C572" s="553"/>
      <c r="D572" s="554"/>
      <c r="E572" s="49"/>
      <c r="F572" s="49"/>
      <c r="G572" s="551"/>
    </row>
    <row r="573" spans="1:7" outlineLevel="1">
      <c r="A573" s="393"/>
      <c r="B573" s="370">
        <v>11</v>
      </c>
      <c r="C573" s="553"/>
      <c r="D573" s="554"/>
      <c r="E573" s="49"/>
      <c r="F573" s="49"/>
      <c r="G573" s="551"/>
    </row>
    <row r="574" spans="1:7" outlineLevel="1">
      <c r="A574" s="393"/>
      <c r="B574" s="370">
        <v>12</v>
      </c>
      <c r="C574" s="553"/>
      <c r="D574" s="554"/>
      <c r="E574" s="49"/>
      <c r="F574" s="49"/>
      <c r="G574" s="551"/>
    </row>
    <row r="575" spans="1:7" outlineLevel="1">
      <c r="A575" s="393"/>
      <c r="B575" s="370">
        <v>13</v>
      </c>
      <c r="C575" s="553"/>
      <c r="D575" s="554"/>
      <c r="E575" s="49"/>
      <c r="F575" s="49"/>
      <c r="G575" s="551"/>
    </row>
    <row r="576" spans="1:7" outlineLevel="1">
      <c r="A576" s="393"/>
      <c r="B576" s="370">
        <v>14</v>
      </c>
      <c r="C576" s="553"/>
      <c r="D576" s="554"/>
      <c r="E576" s="49"/>
      <c r="F576" s="49"/>
      <c r="G576" s="551"/>
    </row>
    <row r="577" spans="1:7" outlineLevel="1">
      <c r="A577" s="394"/>
      <c r="B577" s="371">
        <v>15</v>
      </c>
      <c r="C577" s="555"/>
      <c r="D577" s="556"/>
      <c r="E577" s="51"/>
      <c r="F577" s="51"/>
      <c r="G577" s="552"/>
    </row>
    <row r="578" spans="1:7">
      <c r="A578" s="368"/>
    </row>
    <row r="579" spans="1:7">
      <c r="A579" s="392" t="s">
        <v>56</v>
      </c>
      <c r="B579" s="4"/>
      <c r="C579" s="547" t="s">
        <v>20</v>
      </c>
      <c r="D579" s="548"/>
      <c r="E579" s="409" t="s">
        <v>21</v>
      </c>
      <c r="F579" s="409" t="s">
        <v>22</v>
      </c>
      <c r="G579" s="61" t="s">
        <v>23</v>
      </c>
    </row>
    <row r="580" spans="1:7">
      <c r="A580" s="393"/>
      <c r="B580" s="369"/>
      <c r="C580" s="549" t="s">
        <v>1501</v>
      </c>
      <c r="D580" s="550"/>
      <c r="E580" s="62">
        <f>SUM(E581:E595)</f>
        <v>5</v>
      </c>
      <c r="F580" s="62">
        <f>SUM(F581:F595)</f>
        <v>5</v>
      </c>
      <c r="G580" s="551"/>
    </row>
    <row r="581" spans="1:7" outlineLevel="1">
      <c r="A581" s="393"/>
      <c r="B581" s="370">
        <v>1</v>
      </c>
      <c r="C581" s="553"/>
      <c r="D581" s="554"/>
      <c r="E581" s="49">
        <v>5</v>
      </c>
      <c r="F581" s="49">
        <v>5</v>
      </c>
      <c r="G581" s="551"/>
    </row>
    <row r="582" spans="1:7" outlineLevel="1">
      <c r="A582" s="393"/>
      <c r="B582" s="370">
        <v>2</v>
      </c>
      <c r="C582" s="553"/>
      <c r="D582" s="554"/>
      <c r="E582" s="49"/>
      <c r="F582" s="49"/>
      <c r="G582" s="551"/>
    </row>
    <row r="583" spans="1:7" outlineLevel="1">
      <c r="A583" s="393"/>
      <c r="B583" s="370">
        <v>3</v>
      </c>
      <c r="C583" s="553"/>
      <c r="D583" s="554"/>
      <c r="E583" s="49"/>
      <c r="F583" s="49"/>
      <c r="G583" s="551"/>
    </row>
    <row r="584" spans="1:7" outlineLevel="1">
      <c r="A584" s="393"/>
      <c r="B584" s="370">
        <v>4</v>
      </c>
      <c r="C584" s="553"/>
      <c r="D584" s="554"/>
      <c r="E584" s="50"/>
      <c r="F584" s="50"/>
      <c r="G584" s="551"/>
    </row>
    <row r="585" spans="1:7" outlineLevel="1">
      <c r="A585" s="393"/>
      <c r="B585" s="370">
        <v>5</v>
      </c>
      <c r="C585" s="553"/>
      <c r="D585" s="554"/>
      <c r="E585" s="49"/>
      <c r="F585" s="49"/>
      <c r="G585" s="551"/>
    </row>
    <row r="586" spans="1:7" outlineLevel="1">
      <c r="A586" s="393"/>
      <c r="B586" s="370">
        <v>6</v>
      </c>
      <c r="C586" s="553"/>
      <c r="D586" s="554"/>
      <c r="E586" s="49"/>
      <c r="F586" s="49"/>
      <c r="G586" s="551"/>
    </row>
    <row r="587" spans="1:7" outlineLevel="1">
      <c r="A587" s="393"/>
      <c r="B587" s="370">
        <v>7</v>
      </c>
      <c r="C587" s="553"/>
      <c r="D587" s="554"/>
      <c r="E587" s="49"/>
      <c r="F587" s="49"/>
      <c r="G587" s="551"/>
    </row>
    <row r="588" spans="1:7" outlineLevel="1">
      <c r="A588" s="393"/>
      <c r="B588" s="370">
        <v>8</v>
      </c>
      <c r="C588" s="553"/>
      <c r="D588" s="554"/>
      <c r="E588" s="49"/>
      <c r="F588" s="49"/>
      <c r="G588" s="551"/>
    </row>
    <row r="589" spans="1:7" outlineLevel="1">
      <c r="A589" s="393"/>
      <c r="B589" s="370">
        <v>9</v>
      </c>
      <c r="C589" s="553"/>
      <c r="D589" s="554"/>
      <c r="E589" s="49"/>
      <c r="F589" s="49"/>
      <c r="G589" s="551"/>
    </row>
    <row r="590" spans="1:7" outlineLevel="1">
      <c r="A590" s="393"/>
      <c r="B590" s="370">
        <v>10</v>
      </c>
      <c r="C590" s="553"/>
      <c r="D590" s="554"/>
      <c r="E590" s="49"/>
      <c r="F590" s="49"/>
      <c r="G590" s="551"/>
    </row>
    <row r="591" spans="1:7" outlineLevel="1">
      <c r="A591" s="393"/>
      <c r="B591" s="370">
        <v>11</v>
      </c>
      <c r="C591" s="553"/>
      <c r="D591" s="554"/>
      <c r="E591" s="49"/>
      <c r="F591" s="49"/>
      <c r="G591" s="551"/>
    </row>
    <row r="592" spans="1:7" outlineLevel="1">
      <c r="A592" s="393"/>
      <c r="B592" s="370">
        <v>12</v>
      </c>
      <c r="C592" s="553"/>
      <c r="D592" s="554"/>
      <c r="E592" s="49"/>
      <c r="F592" s="49"/>
      <c r="G592" s="551"/>
    </row>
    <row r="593" spans="1:7" outlineLevel="1">
      <c r="A593" s="393"/>
      <c r="B593" s="370">
        <v>13</v>
      </c>
      <c r="C593" s="553"/>
      <c r="D593" s="554"/>
      <c r="E593" s="49"/>
      <c r="F593" s="49"/>
      <c r="G593" s="551"/>
    </row>
    <row r="594" spans="1:7" outlineLevel="1">
      <c r="A594" s="393"/>
      <c r="B594" s="370">
        <v>14</v>
      </c>
      <c r="C594" s="553"/>
      <c r="D594" s="554"/>
      <c r="E594" s="49"/>
      <c r="F594" s="49"/>
      <c r="G594" s="551"/>
    </row>
    <row r="595" spans="1:7" outlineLevel="1">
      <c r="A595" s="394"/>
      <c r="B595" s="371">
        <v>15</v>
      </c>
      <c r="C595" s="555"/>
      <c r="D595" s="556"/>
      <c r="E595" s="51"/>
      <c r="F595" s="51"/>
      <c r="G595" s="552"/>
    </row>
    <row r="596" spans="1:7">
      <c r="A596" s="368"/>
    </row>
    <row r="597" spans="1:7">
      <c r="A597" s="392" t="s">
        <v>56</v>
      </c>
      <c r="B597" s="4"/>
      <c r="C597" s="547" t="s">
        <v>20</v>
      </c>
      <c r="D597" s="548"/>
      <c r="E597" s="409" t="s">
        <v>21</v>
      </c>
      <c r="F597" s="409" t="s">
        <v>22</v>
      </c>
      <c r="G597" s="61" t="s">
        <v>23</v>
      </c>
    </row>
    <row r="598" spans="1:7">
      <c r="A598" s="393"/>
      <c r="B598" s="369"/>
      <c r="C598" s="549" t="s">
        <v>1516</v>
      </c>
      <c r="D598" s="550"/>
      <c r="E598" s="62">
        <f>SUM(E599:E613)</f>
        <v>1</v>
      </c>
      <c r="F598" s="62">
        <f>SUM(F599:F613)</f>
        <v>1</v>
      </c>
      <c r="G598" s="574" t="s">
        <v>1502</v>
      </c>
    </row>
    <row r="599" spans="1:7" outlineLevel="1">
      <c r="A599" s="393"/>
      <c r="B599" s="370">
        <v>1</v>
      </c>
      <c r="C599" s="553" t="s">
        <v>1506</v>
      </c>
      <c r="D599" s="554"/>
      <c r="E599" s="49">
        <v>0.5</v>
      </c>
      <c r="F599" s="49">
        <v>0.5</v>
      </c>
      <c r="G599" s="551"/>
    </row>
    <row r="600" spans="1:7" outlineLevel="1">
      <c r="A600" s="393"/>
      <c r="B600" s="370">
        <v>2</v>
      </c>
      <c r="C600" s="553" t="s">
        <v>1507</v>
      </c>
      <c r="D600" s="554"/>
      <c r="E600" s="49">
        <v>0.25</v>
      </c>
      <c r="F600" s="49">
        <v>0.25</v>
      </c>
      <c r="G600" s="551"/>
    </row>
    <row r="601" spans="1:7" outlineLevel="1">
      <c r="A601" s="393"/>
      <c r="B601" s="370">
        <v>3</v>
      </c>
      <c r="C601" s="553" t="s">
        <v>1508</v>
      </c>
      <c r="D601" s="554"/>
      <c r="E601" s="49">
        <v>0.25</v>
      </c>
      <c r="F601" s="49">
        <v>0.25</v>
      </c>
      <c r="G601" s="551"/>
    </row>
    <row r="602" spans="1:7" outlineLevel="1">
      <c r="A602" s="393"/>
      <c r="B602" s="370">
        <v>4</v>
      </c>
      <c r="C602" s="553"/>
      <c r="D602" s="554"/>
      <c r="E602" s="50"/>
      <c r="F602" s="50"/>
      <c r="G602" s="551"/>
    </row>
    <row r="603" spans="1:7" outlineLevel="1">
      <c r="A603" s="393"/>
      <c r="B603" s="370">
        <v>5</v>
      </c>
      <c r="C603" s="553"/>
      <c r="D603" s="554"/>
      <c r="E603" s="49"/>
      <c r="F603" s="49"/>
      <c r="G603" s="551"/>
    </row>
    <row r="604" spans="1:7" outlineLevel="1">
      <c r="A604" s="393"/>
      <c r="B604" s="370">
        <v>6</v>
      </c>
      <c r="C604" s="553"/>
      <c r="D604" s="554"/>
      <c r="E604" s="49"/>
      <c r="F604" s="49"/>
      <c r="G604" s="551"/>
    </row>
    <row r="605" spans="1:7" outlineLevel="1">
      <c r="A605" s="393"/>
      <c r="B605" s="370">
        <v>7</v>
      </c>
      <c r="C605" s="553"/>
      <c r="D605" s="554"/>
      <c r="E605" s="49"/>
      <c r="F605" s="49"/>
      <c r="G605" s="551"/>
    </row>
    <row r="606" spans="1:7" outlineLevel="1">
      <c r="A606" s="393"/>
      <c r="B606" s="370">
        <v>8</v>
      </c>
      <c r="C606" s="553"/>
      <c r="D606" s="554"/>
      <c r="E606" s="49"/>
      <c r="F606" s="49"/>
      <c r="G606" s="551"/>
    </row>
    <row r="607" spans="1:7" outlineLevel="1">
      <c r="A607" s="393"/>
      <c r="B607" s="370">
        <v>9</v>
      </c>
      <c r="C607" s="553"/>
      <c r="D607" s="554"/>
      <c r="E607" s="49"/>
      <c r="F607" s="49"/>
      <c r="G607" s="551"/>
    </row>
    <row r="608" spans="1:7" outlineLevel="1">
      <c r="A608" s="393"/>
      <c r="B608" s="370">
        <v>10</v>
      </c>
      <c r="C608" s="553"/>
      <c r="D608" s="554"/>
      <c r="E608" s="49"/>
      <c r="F608" s="49"/>
      <c r="G608" s="551"/>
    </row>
    <row r="609" spans="1:7" outlineLevel="1">
      <c r="A609" s="393"/>
      <c r="B609" s="370">
        <v>11</v>
      </c>
      <c r="C609" s="553"/>
      <c r="D609" s="554"/>
      <c r="E609" s="49"/>
      <c r="F609" s="49"/>
      <c r="G609" s="551"/>
    </row>
    <row r="610" spans="1:7" outlineLevel="1">
      <c r="A610" s="393"/>
      <c r="B610" s="370">
        <v>12</v>
      </c>
      <c r="C610" s="553"/>
      <c r="D610" s="554"/>
      <c r="E610" s="49"/>
      <c r="F610" s="49"/>
      <c r="G610" s="551"/>
    </row>
    <row r="611" spans="1:7" outlineLevel="1">
      <c r="A611" s="393"/>
      <c r="B611" s="370">
        <v>13</v>
      </c>
      <c r="C611" s="553"/>
      <c r="D611" s="554"/>
      <c r="E611" s="49"/>
      <c r="F611" s="49"/>
      <c r="G611" s="551"/>
    </row>
    <row r="612" spans="1:7" outlineLevel="1">
      <c r="A612" s="393"/>
      <c r="B612" s="370">
        <v>14</v>
      </c>
      <c r="C612" s="553"/>
      <c r="D612" s="554"/>
      <c r="E612" s="49"/>
      <c r="F612" s="49"/>
      <c r="G612" s="551"/>
    </row>
    <row r="613" spans="1:7" outlineLevel="1">
      <c r="A613" s="394"/>
      <c r="B613" s="371">
        <v>15</v>
      </c>
      <c r="C613" s="555"/>
      <c r="D613" s="556"/>
      <c r="E613" s="51"/>
      <c r="F613" s="51"/>
      <c r="G613" s="552"/>
    </row>
    <row r="614" spans="1:7">
      <c r="A614" s="368"/>
    </row>
    <row r="615" spans="1:7">
      <c r="A615" s="392" t="s">
        <v>56</v>
      </c>
      <c r="B615" s="4"/>
      <c r="C615" s="547" t="s">
        <v>20</v>
      </c>
      <c r="D615" s="548"/>
      <c r="E615" s="409" t="s">
        <v>21</v>
      </c>
      <c r="F615" s="409" t="s">
        <v>22</v>
      </c>
      <c r="G615" s="61" t="s">
        <v>23</v>
      </c>
    </row>
    <row r="616" spans="1:7">
      <c r="A616" s="393"/>
      <c r="B616" s="369"/>
      <c r="C616" s="549" t="s">
        <v>1503</v>
      </c>
      <c r="D616" s="550"/>
      <c r="E616" s="62">
        <f>SUM(E617:E631)</f>
        <v>0.5</v>
      </c>
      <c r="F616" s="62">
        <f>SUM(F617:F631)</f>
        <v>0.5</v>
      </c>
      <c r="G616" s="551"/>
    </row>
    <row r="617" spans="1:7" outlineLevel="1">
      <c r="A617" s="393"/>
      <c r="B617" s="370">
        <v>1</v>
      </c>
      <c r="C617" s="553" t="s">
        <v>1515</v>
      </c>
      <c r="D617" s="554"/>
      <c r="E617" s="49">
        <v>0.25</v>
      </c>
      <c r="F617" s="49">
        <v>0.25</v>
      </c>
      <c r="G617" s="551"/>
    </row>
    <row r="618" spans="1:7" outlineLevel="1">
      <c r="A618" s="393"/>
      <c r="B618" s="370">
        <v>2</v>
      </c>
      <c r="C618" s="553" t="s">
        <v>1514</v>
      </c>
      <c r="D618" s="554"/>
      <c r="E618" s="49">
        <v>0.25</v>
      </c>
      <c r="F618" s="49">
        <v>0.25</v>
      </c>
      <c r="G618" s="551"/>
    </row>
    <row r="619" spans="1:7" outlineLevel="1">
      <c r="A619" s="393"/>
      <c r="B619" s="370">
        <v>3</v>
      </c>
      <c r="C619" s="553"/>
      <c r="D619" s="554"/>
      <c r="E619" s="49"/>
      <c r="F619" s="49"/>
      <c r="G619" s="551"/>
    </row>
    <row r="620" spans="1:7" outlineLevel="1">
      <c r="A620" s="393"/>
      <c r="B620" s="370">
        <v>4</v>
      </c>
      <c r="C620" s="553"/>
      <c r="D620" s="554"/>
      <c r="E620" s="50"/>
      <c r="F620" s="50"/>
      <c r="G620" s="551"/>
    </row>
    <row r="621" spans="1:7" outlineLevel="1">
      <c r="A621" s="393"/>
      <c r="B621" s="370">
        <v>5</v>
      </c>
      <c r="C621" s="553"/>
      <c r="D621" s="554"/>
      <c r="E621" s="49"/>
      <c r="F621" s="49"/>
      <c r="G621" s="551"/>
    </row>
    <row r="622" spans="1:7" outlineLevel="1">
      <c r="A622" s="393"/>
      <c r="B622" s="370">
        <v>6</v>
      </c>
      <c r="C622" s="553"/>
      <c r="D622" s="554"/>
      <c r="E622" s="49"/>
      <c r="F622" s="49"/>
      <c r="G622" s="551"/>
    </row>
    <row r="623" spans="1:7" outlineLevel="1">
      <c r="A623" s="393"/>
      <c r="B623" s="370">
        <v>7</v>
      </c>
      <c r="C623" s="553"/>
      <c r="D623" s="554"/>
      <c r="E623" s="49"/>
      <c r="F623" s="49"/>
      <c r="G623" s="551"/>
    </row>
    <row r="624" spans="1:7" outlineLevel="1">
      <c r="A624" s="393"/>
      <c r="B624" s="370">
        <v>8</v>
      </c>
      <c r="C624" s="553"/>
      <c r="D624" s="554"/>
      <c r="E624" s="49"/>
      <c r="F624" s="49"/>
      <c r="G624" s="551"/>
    </row>
    <row r="625" spans="1:7" outlineLevel="1">
      <c r="A625" s="393"/>
      <c r="B625" s="370">
        <v>9</v>
      </c>
      <c r="C625" s="553"/>
      <c r="D625" s="554"/>
      <c r="E625" s="49"/>
      <c r="F625" s="49"/>
      <c r="G625" s="551"/>
    </row>
    <row r="626" spans="1:7" outlineLevel="1">
      <c r="A626" s="393"/>
      <c r="B626" s="370">
        <v>10</v>
      </c>
      <c r="C626" s="553"/>
      <c r="D626" s="554"/>
      <c r="E626" s="49"/>
      <c r="F626" s="49"/>
      <c r="G626" s="551"/>
    </row>
    <row r="627" spans="1:7" outlineLevel="1">
      <c r="A627" s="393"/>
      <c r="B627" s="370">
        <v>11</v>
      </c>
      <c r="C627" s="553"/>
      <c r="D627" s="554"/>
      <c r="E627" s="49"/>
      <c r="F627" s="49"/>
      <c r="G627" s="551"/>
    </row>
    <row r="628" spans="1:7" outlineLevel="1">
      <c r="A628" s="393"/>
      <c r="B628" s="370">
        <v>12</v>
      </c>
      <c r="C628" s="553"/>
      <c r="D628" s="554"/>
      <c r="E628" s="49"/>
      <c r="F628" s="49"/>
      <c r="G628" s="551"/>
    </row>
    <row r="629" spans="1:7" outlineLevel="1">
      <c r="A629" s="393"/>
      <c r="B629" s="370">
        <v>13</v>
      </c>
      <c r="C629" s="553"/>
      <c r="D629" s="554"/>
      <c r="E629" s="49"/>
      <c r="F629" s="49"/>
      <c r="G629" s="551"/>
    </row>
    <row r="630" spans="1:7" outlineLevel="1">
      <c r="A630" s="393"/>
      <c r="B630" s="370">
        <v>14</v>
      </c>
      <c r="C630" s="553"/>
      <c r="D630" s="554"/>
      <c r="E630" s="49"/>
      <c r="F630" s="49"/>
      <c r="G630" s="551"/>
    </row>
    <row r="631" spans="1:7" outlineLevel="1">
      <c r="A631" s="394"/>
      <c r="B631" s="371">
        <v>15</v>
      </c>
      <c r="C631" s="555"/>
      <c r="D631" s="556"/>
      <c r="E631" s="51"/>
      <c r="F631" s="51"/>
      <c r="G631" s="552"/>
    </row>
    <row r="632" spans="1:7">
      <c r="A632" s="368"/>
    </row>
    <row r="633" spans="1:7">
      <c r="A633" s="392" t="s">
        <v>56</v>
      </c>
      <c r="B633" s="4"/>
      <c r="C633" s="547" t="s">
        <v>20</v>
      </c>
      <c r="D633" s="548"/>
      <c r="E633" s="409" t="s">
        <v>21</v>
      </c>
      <c r="F633" s="409" t="s">
        <v>22</v>
      </c>
      <c r="G633" s="61" t="s">
        <v>23</v>
      </c>
    </row>
    <row r="634" spans="1:7">
      <c r="A634" s="393"/>
      <c r="B634" s="369"/>
      <c r="C634" s="549" t="s">
        <v>1504</v>
      </c>
      <c r="D634" s="550"/>
      <c r="E634" s="62">
        <f>SUM(E635:E649)</f>
        <v>5</v>
      </c>
      <c r="F634" s="62">
        <f>SUM(F635:F649)</f>
        <v>5</v>
      </c>
      <c r="G634" s="551"/>
    </row>
    <row r="635" spans="1:7" outlineLevel="1">
      <c r="A635" s="393"/>
      <c r="B635" s="370">
        <v>1</v>
      </c>
      <c r="C635" s="553"/>
      <c r="D635" s="554"/>
      <c r="E635" s="49">
        <v>5</v>
      </c>
      <c r="F635" s="49">
        <v>5</v>
      </c>
      <c r="G635" s="551"/>
    </row>
    <row r="636" spans="1:7" outlineLevel="1">
      <c r="A636" s="393"/>
      <c r="B636" s="370">
        <v>2</v>
      </c>
      <c r="C636" s="553"/>
      <c r="D636" s="554"/>
      <c r="E636" s="49"/>
      <c r="F636" s="49"/>
      <c r="G636" s="551"/>
    </row>
    <row r="637" spans="1:7" outlineLevel="1">
      <c r="A637" s="393"/>
      <c r="B637" s="370">
        <v>3</v>
      </c>
      <c r="C637" s="553"/>
      <c r="D637" s="554"/>
      <c r="E637" s="49"/>
      <c r="F637" s="49"/>
      <c r="G637" s="551"/>
    </row>
    <row r="638" spans="1:7" outlineLevel="1">
      <c r="A638" s="393"/>
      <c r="B638" s="370">
        <v>4</v>
      </c>
      <c r="C638" s="553"/>
      <c r="D638" s="554"/>
      <c r="E638" s="50"/>
      <c r="F638" s="50"/>
      <c r="G638" s="551"/>
    </row>
    <row r="639" spans="1:7" outlineLevel="1">
      <c r="A639" s="393"/>
      <c r="B639" s="370">
        <v>5</v>
      </c>
      <c r="C639" s="553"/>
      <c r="D639" s="554"/>
      <c r="E639" s="49"/>
      <c r="F639" s="49"/>
      <c r="G639" s="551"/>
    </row>
    <row r="640" spans="1:7" outlineLevel="1">
      <c r="A640" s="393"/>
      <c r="B640" s="370">
        <v>6</v>
      </c>
      <c r="C640" s="553"/>
      <c r="D640" s="554"/>
      <c r="E640" s="49"/>
      <c r="F640" s="49"/>
      <c r="G640" s="551"/>
    </row>
    <row r="641" spans="1:7" outlineLevel="1">
      <c r="A641" s="393"/>
      <c r="B641" s="370">
        <v>7</v>
      </c>
      <c r="C641" s="553"/>
      <c r="D641" s="554"/>
      <c r="E641" s="49"/>
      <c r="F641" s="49"/>
      <c r="G641" s="551"/>
    </row>
    <row r="642" spans="1:7" outlineLevel="1">
      <c r="A642" s="393"/>
      <c r="B642" s="370">
        <v>8</v>
      </c>
      <c r="C642" s="553"/>
      <c r="D642" s="554"/>
      <c r="E642" s="49"/>
      <c r="F642" s="49"/>
      <c r="G642" s="551"/>
    </row>
    <row r="643" spans="1:7" outlineLevel="1">
      <c r="A643" s="393"/>
      <c r="B643" s="370">
        <v>9</v>
      </c>
      <c r="C643" s="553"/>
      <c r="D643" s="554"/>
      <c r="E643" s="49"/>
      <c r="F643" s="49"/>
      <c r="G643" s="551"/>
    </row>
    <row r="644" spans="1:7" outlineLevel="1">
      <c r="A644" s="393"/>
      <c r="B644" s="370">
        <v>10</v>
      </c>
      <c r="C644" s="553"/>
      <c r="D644" s="554"/>
      <c r="E644" s="49"/>
      <c r="F644" s="49"/>
      <c r="G644" s="551"/>
    </row>
    <row r="645" spans="1:7" outlineLevel="1">
      <c r="A645" s="393"/>
      <c r="B645" s="370">
        <v>11</v>
      </c>
      <c r="C645" s="553"/>
      <c r="D645" s="554"/>
      <c r="E645" s="49"/>
      <c r="F645" s="49"/>
      <c r="G645" s="551"/>
    </row>
    <row r="646" spans="1:7" outlineLevel="1">
      <c r="A646" s="393"/>
      <c r="B646" s="370">
        <v>12</v>
      </c>
      <c r="C646" s="553"/>
      <c r="D646" s="554"/>
      <c r="E646" s="49"/>
      <c r="F646" s="49"/>
      <c r="G646" s="551"/>
    </row>
    <row r="647" spans="1:7" outlineLevel="1">
      <c r="A647" s="393"/>
      <c r="B647" s="370">
        <v>13</v>
      </c>
      <c r="C647" s="553"/>
      <c r="D647" s="554"/>
      <c r="E647" s="49"/>
      <c r="F647" s="49"/>
      <c r="G647" s="551"/>
    </row>
    <row r="648" spans="1:7" outlineLevel="1">
      <c r="A648" s="393"/>
      <c r="B648" s="370">
        <v>14</v>
      </c>
      <c r="C648" s="553"/>
      <c r="D648" s="554"/>
      <c r="E648" s="49"/>
      <c r="F648" s="49"/>
      <c r="G648" s="551"/>
    </row>
    <row r="649" spans="1:7" outlineLevel="1">
      <c r="A649" s="394"/>
      <c r="B649" s="371">
        <v>15</v>
      </c>
      <c r="C649" s="555"/>
      <c r="D649" s="556"/>
      <c r="E649" s="51"/>
      <c r="F649" s="51"/>
      <c r="G649" s="552"/>
    </row>
    <row r="650" spans="1:7">
      <c r="A650" s="368"/>
    </row>
    <row r="651" spans="1:7">
      <c r="A651" s="392" t="s">
        <v>56</v>
      </c>
      <c r="B651" s="4"/>
      <c r="C651" s="547" t="s">
        <v>20</v>
      </c>
      <c r="D651" s="548"/>
      <c r="E651" s="409" t="s">
        <v>21</v>
      </c>
      <c r="F651" s="409" t="s">
        <v>22</v>
      </c>
      <c r="G651" s="61" t="s">
        <v>23</v>
      </c>
    </row>
    <row r="652" spans="1:7">
      <c r="A652" s="393"/>
      <c r="B652" s="369"/>
      <c r="C652" s="549" t="s">
        <v>1505</v>
      </c>
      <c r="D652" s="550"/>
      <c r="E652" s="62">
        <f>SUM(E653:E667)</f>
        <v>0.5</v>
      </c>
      <c r="F652" s="62">
        <f>SUM(F653:F667)</f>
        <v>0.5</v>
      </c>
      <c r="G652" s="551"/>
    </row>
    <row r="653" spans="1:7" outlineLevel="1">
      <c r="A653" s="393"/>
      <c r="B653" s="370">
        <v>1</v>
      </c>
      <c r="C653" s="553"/>
      <c r="D653" s="554"/>
      <c r="E653" s="49">
        <v>0.5</v>
      </c>
      <c r="F653" s="49">
        <v>0.5</v>
      </c>
      <c r="G653" s="551"/>
    </row>
    <row r="654" spans="1:7" outlineLevel="1">
      <c r="A654" s="393"/>
      <c r="B654" s="370">
        <v>2</v>
      </c>
      <c r="C654" s="553"/>
      <c r="D654" s="554"/>
      <c r="E654" s="49"/>
      <c r="F654" s="49"/>
      <c r="G654" s="551"/>
    </row>
    <row r="655" spans="1:7" outlineLevel="1">
      <c r="A655" s="393"/>
      <c r="B655" s="370">
        <v>3</v>
      </c>
      <c r="C655" s="553"/>
      <c r="D655" s="554"/>
      <c r="E655" s="49"/>
      <c r="F655" s="49"/>
      <c r="G655" s="551"/>
    </row>
    <row r="656" spans="1:7" outlineLevel="1">
      <c r="A656" s="393"/>
      <c r="B656" s="370">
        <v>4</v>
      </c>
      <c r="C656" s="553"/>
      <c r="D656" s="554"/>
      <c r="E656" s="50"/>
      <c r="F656" s="50"/>
      <c r="G656" s="551"/>
    </row>
    <row r="657" spans="1:7" outlineLevel="1">
      <c r="A657" s="393"/>
      <c r="B657" s="370">
        <v>5</v>
      </c>
      <c r="C657" s="553"/>
      <c r="D657" s="554"/>
      <c r="E657" s="49"/>
      <c r="F657" s="49"/>
      <c r="G657" s="551"/>
    </row>
    <row r="658" spans="1:7" outlineLevel="1">
      <c r="A658" s="393"/>
      <c r="B658" s="370">
        <v>6</v>
      </c>
      <c r="C658" s="553"/>
      <c r="D658" s="554"/>
      <c r="E658" s="49"/>
      <c r="F658" s="49"/>
      <c r="G658" s="551"/>
    </row>
    <row r="659" spans="1:7" outlineLevel="1">
      <c r="A659" s="393"/>
      <c r="B659" s="370">
        <v>7</v>
      </c>
      <c r="C659" s="553"/>
      <c r="D659" s="554"/>
      <c r="E659" s="49"/>
      <c r="F659" s="49"/>
      <c r="G659" s="551"/>
    </row>
    <row r="660" spans="1:7" outlineLevel="1">
      <c r="A660" s="393"/>
      <c r="B660" s="370">
        <v>8</v>
      </c>
      <c r="C660" s="553"/>
      <c r="D660" s="554"/>
      <c r="E660" s="49"/>
      <c r="F660" s="49"/>
      <c r="G660" s="551"/>
    </row>
    <row r="661" spans="1:7" outlineLevel="1">
      <c r="A661" s="393"/>
      <c r="B661" s="370">
        <v>9</v>
      </c>
      <c r="C661" s="553"/>
      <c r="D661" s="554"/>
      <c r="E661" s="49"/>
      <c r="F661" s="49"/>
      <c r="G661" s="551"/>
    </row>
    <row r="662" spans="1:7" outlineLevel="1">
      <c r="A662" s="393"/>
      <c r="B662" s="370">
        <v>10</v>
      </c>
      <c r="C662" s="553"/>
      <c r="D662" s="554"/>
      <c r="E662" s="49"/>
      <c r="F662" s="49"/>
      <c r="G662" s="551"/>
    </row>
    <row r="663" spans="1:7" outlineLevel="1">
      <c r="A663" s="393"/>
      <c r="B663" s="370">
        <v>11</v>
      </c>
      <c r="C663" s="553"/>
      <c r="D663" s="554"/>
      <c r="E663" s="49"/>
      <c r="F663" s="49"/>
      <c r="G663" s="551"/>
    </row>
    <row r="664" spans="1:7" outlineLevel="1">
      <c r="A664" s="393"/>
      <c r="B664" s="370">
        <v>12</v>
      </c>
      <c r="C664" s="553"/>
      <c r="D664" s="554"/>
      <c r="E664" s="49"/>
      <c r="F664" s="49"/>
      <c r="G664" s="551"/>
    </row>
    <row r="665" spans="1:7" outlineLevel="1">
      <c r="A665" s="393"/>
      <c r="B665" s="370">
        <v>13</v>
      </c>
      <c r="C665" s="553"/>
      <c r="D665" s="554"/>
      <c r="E665" s="49"/>
      <c r="F665" s="49"/>
      <c r="G665" s="551"/>
    </row>
    <row r="666" spans="1:7" outlineLevel="1">
      <c r="A666" s="393"/>
      <c r="B666" s="370">
        <v>14</v>
      </c>
      <c r="C666" s="553"/>
      <c r="D666" s="554"/>
      <c r="E666" s="49"/>
      <c r="F666" s="49"/>
      <c r="G666" s="551"/>
    </row>
    <row r="667" spans="1:7" outlineLevel="1">
      <c r="A667" s="394"/>
      <c r="B667" s="371">
        <v>15</v>
      </c>
      <c r="C667" s="555"/>
      <c r="D667" s="556"/>
      <c r="E667" s="51"/>
      <c r="F667" s="51"/>
      <c r="G667" s="552"/>
    </row>
    <row r="668" spans="1:7">
      <c r="A668" s="368"/>
    </row>
    <row r="669" spans="1:7">
      <c r="A669" s="392" t="s">
        <v>56</v>
      </c>
      <c r="B669" s="4"/>
      <c r="C669" s="547" t="s">
        <v>20</v>
      </c>
      <c r="D669" s="548"/>
      <c r="E669" s="409" t="s">
        <v>21</v>
      </c>
      <c r="F669" s="409" t="s">
        <v>22</v>
      </c>
      <c r="G669" s="61" t="s">
        <v>23</v>
      </c>
    </row>
    <row r="670" spans="1:7">
      <c r="A670" s="393"/>
      <c r="B670" s="369"/>
      <c r="C670" s="549" t="s">
        <v>1510</v>
      </c>
      <c r="D670" s="550"/>
      <c r="E670" s="62">
        <f>SUM(E671:E685)</f>
        <v>1</v>
      </c>
      <c r="F670" s="62">
        <f>SUM(F671:F685)</f>
        <v>1</v>
      </c>
      <c r="G670" s="551" t="s">
        <v>1509</v>
      </c>
    </row>
    <row r="671" spans="1:7" outlineLevel="1">
      <c r="A671" s="393"/>
      <c r="B671" s="370">
        <v>1</v>
      </c>
      <c r="C671" s="553"/>
      <c r="D671" s="554"/>
      <c r="E671" s="49">
        <v>1</v>
      </c>
      <c r="F671" s="49">
        <v>1</v>
      </c>
      <c r="G671" s="551"/>
    </row>
    <row r="672" spans="1:7" outlineLevel="1">
      <c r="A672" s="393"/>
      <c r="B672" s="370">
        <v>2</v>
      </c>
      <c r="C672" s="553"/>
      <c r="D672" s="554"/>
      <c r="E672" s="49"/>
      <c r="F672" s="49"/>
      <c r="G672" s="551"/>
    </row>
    <row r="673" spans="1:7" outlineLevel="1">
      <c r="A673" s="393"/>
      <c r="B673" s="370">
        <v>3</v>
      </c>
      <c r="C673" s="553"/>
      <c r="D673" s="554"/>
      <c r="E673" s="49"/>
      <c r="F673" s="49"/>
      <c r="G673" s="551"/>
    </row>
    <row r="674" spans="1:7" outlineLevel="1">
      <c r="A674" s="393"/>
      <c r="B674" s="370">
        <v>4</v>
      </c>
      <c r="C674" s="553"/>
      <c r="D674" s="554"/>
      <c r="E674" s="50"/>
      <c r="F674" s="50"/>
      <c r="G674" s="551"/>
    </row>
    <row r="675" spans="1:7" outlineLevel="1">
      <c r="A675" s="393"/>
      <c r="B675" s="370">
        <v>5</v>
      </c>
      <c r="C675" s="553"/>
      <c r="D675" s="554"/>
      <c r="E675" s="49"/>
      <c r="F675" s="49"/>
      <c r="G675" s="551"/>
    </row>
    <row r="676" spans="1:7" outlineLevel="1">
      <c r="A676" s="393"/>
      <c r="B676" s="370">
        <v>6</v>
      </c>
      <c r="C676" s="553"/>
      <c r="D676" s="554"/>
      <c r="E676" s="49"/>
      <c r="F676" s="49"/>
      <c r="G676" s="551"/>
    </row>
    <row r="677" spans="1:7" outlineLevel="1">
      <c r="A677" s="393"/>
      <c r="B677" s="370">
        <v>7</v>
      </c>
      <c r="C677" s="553"/>
      <c r="D677" s="554"/>
      <c r="E677" s="49"/>
      <c r="F677" s="49"/>
      <c r="G677" s="551"/>
    </row>
    <row r="678" spans="1:7" outlineLevel="1">
      <c r="A678" s="393"/>
      <c r="B678" s="370">
        <v>8</v>
      </c>
      <c r="C678" s="553"/>
      <c r="D678" s="554"/>
      <c r="E678" s="49"/>
      <c r="F678" s="49"/>
      <c r="G678" s="551"/>
    </row>
    <row r="679" spans="1:7" outlineLevel="1">
      <c r="A679" s="393"/>
      <c r="B679" s="370">
        <v>9</v>
      </c>
      <c r="C679" s="553"/>
      <c r="D679" s="554"/>
      <c r="E679" s="49"/>
      <c r="F679" s="49"/>
      <c r="G679" s="551"/>
    </row>
    <row r="680" spans="1:7" outlineLevel="1">
      <c r="A680" s="393"/>
      <c r="B680" s="370">
        <v>10</v>
      </c>
      <c r="C680" s="553"/>
      <c r="D680" s="554"/>
      <c r="E680" s="49"/>
      <c r="F680" s="49"/>
      <c r="G680" s="551"/>
    </row>
    <row r="681" spans="1:7" outlineLevel="1">
      <c r="A681" s="393"/>
      <c r="B681" s="370">
        <v>11</v>
      </c>
      <c r="C681" s="553"/>
      <c r="D681" s="554"/>
      <c r="E681" s="49"/>
      <c r="F681" s="49"/>
      <c r="G681" s="551"/>
    </row>
    <row r="682" spans="1:7" outlineLevel="1">
      <c r="A682" s="393"/>
      <c r="B682" s="370">
        <v>12</v>
      </c>
      <c r="C682" s="553"/>
      <c r="D682" s="554"/>
      <c r="E682" s="49"/>
      <c r="F682" s="49"/>
      <c r="G682" s="551"/>
    </row>
    <row r="683" spans="1:7" outlineLevel="1">
      <c r="A683" s="393"/>
      <c r="B683" s="370">
        <v>13</v>
      </c>
      <c r="C683" s="553"/>
      <c r="D683" s="554"/>
      <c r="E683" s="49"/>
      <c r="F683" s="49"/>
      <c r="G683" s="551"/>
    </row>
    <row r="684" spans="1:7" outlineLevel="1">
      <c r="A684" s="393"/>
      <c r="B684" s="370">
        <v>14</v>
      </c>
      <c r="C684" s="553"/>
      <c r="D684" s="554"/>
      <c r="E684" s="49"/>
      <c r="F684" s="49"/>
      <c r="G684" s="551"/>
    </row>
    <row r="685" spans="1:7" outlineLevel="1">
      <c r="A685" s="394"/>
      <c r="B685" s="371">
        <v>15</v>
      </c>
      <c r="C685" s="555"/>
      <c r="D685" s="556"/>
      <c r="E685" s="51"/>
      <c r="F685" s="51"/>
      <c r="G685" s="552"/>
    </row>
    <row r="686" spans="1:7">
      <c r="A686" s="368"/>
    </row>
    <row r="687" spans="1:7">
      <c r="A687" s="392" t="s">
        <v>56</v>
      </c>
      <c r="B687" s="4"/>
      <c r="C687" s="547" t="s">
        <v>20</v>
      </c>
      <c r="D687" s="548"/>
      <c r="E687" s="409" t="s">
        <v>21</v>
      </c>
      <c r="F687" s="409" t="s">
        <v>22</v>
      </c>
      <c r="G687" s="61" t="s">
        <v>23</v>
      </c>
    </row>
    <row r="688" spans="1:7" ht="15" customHeight="1">
      <c r="A688" s="393"/>
      <c r="B688" s="369"/>
      <c r="C688" s="549" t="s">
        <v>1511</v>
      </c>
      <c r="D688" s="550"/>
      <c r="E688" s="62">
        <f>SUM(E689:E703)</f>
        <v>1</v>
      </c>
      <c r="F688" s="62">
        <f>SUM(F689:F703)</f>
        <v>1</v>
      </c>
      <c r="G688" s="551" t="s">
        <v>1512</v>
      </c>
    </row>
    <row r="689" spans="1:7" outlineLevel="1">
      <c r="A689" s="393"/>
      <c r="B689" s="370">
        <v>1</v>
      </c>
      <c r="C689" s="553"/>
      <c r="D689" s="554"/>
      <c r="E689" s="49">
        <v>1</v>
      </c>
      <c r="F689" s="49">
        <v>1</v>
      </c>
      <c r="G689" s="551"/>
    </row>
    <row r="690" spans="1:7" outlineLevel="1">
      <c r="A690" s="393"/>
      <c r="B690" s="370">
        <v>2</v>
      </c>
      <c r="C690" s="553"/>
      <c r="D690" s="554"/>
      <c r="E690" s="49"/>
      <c r="F690" s="49"/>
      <c r="G690" s="551"/>
    </row>
    <row r="691" spans="1:7" outlineLevel="1">
      <c r="A691" s="393"/>
      <c r="B691" s="370">
        <v>3</v>
      </c>
      <c r="C691" s="553"/>
      <c r="D691" s="554"/>
      <c r="E691" s="49"/>
      <c r="F691" s="49"/>
      <c r="G691" s="551"/>
    </row>
    <row r="692" spans="1:7" outlineLevel="1">
      <c r="A692" s="393"/>
      <c r="B692" s="370">
        <v>4</v>
      </c>
      <c r="C692" s="553"/>
      <c r="D692" s="554"/>
      <c r="E692" s="50"/>
      <c r="F692" s="50"/>
      <c r="G692" s="551"/>
    </row>
    <row r="693" spans="1:7" outlineLevel="1">
      <c r="A693" s="393"/>
      <c r="B693" s="370">
        <v>5</v>
      </c>
      <c r="C693" s="553"/>
      <c r="D693" s="554"/>
      <c r="E693" s="49"/>
      <c r="F693" s="49"/>
      <c r="G693" s="551"/>
    </row>
    <row r="694" spans="1:7" outlineLevel="1">
      <c r="A694" s="393"/>
      <c r="B694" s="370">
        <v>6</v>
      </c>
      <c r="C694" s="553"/>
      <c r="D694" s="554"/>
      <c r="E694" s="49"/>
      <c r="F694" s="49"/>
      <c r="G694" s="551"/>
    </row>
    <row r="695" spans="1:7" outlineLevel="1">
      <c r="A695" s="393"/>
      <c r="B695" s="370">
        <v>7</v>
      </c>
      <c r="C695" s="553"/>
      <c r="D695" s="554"/>
      <c r="E695" s="49"/>
      <c r="F695" s="49"/>
      <c r="G695" s="551"/>
    </row>
    <row r="696" spans="1:7" outlineLevel="1">
      <c r="A696" s="393"/>
      <c r="B696" s="370">
        <v>8</v>
      </c>
      <c r="C696" s="553"/>
      <c r="D696" s="554"/>
      <c r="E696" s="49"/>
      <c r="F696" s="49"/>
      <c r="G696" s="551"/>
    </row>
    <row r="697" spans="1:7" outlineLevel="1">
      <c r="A697" s="393"/>
      <c r="B697" s="370">
        <v>9</v>
      </c>
      <c r="C697" s="553"/>
      <c r="D697" s="554"/>
      <c r="E697" s="49"/>
      <c r="F697" s="49"/>
      <c r="G697" s="551"/>
    </row>
    <row r="698" spans="1:7" outlineLevel="1">
      <c r="A698" s="393"/>
      <c r="B698" s="370">
        <v>10</v>
      </c>
      <c r="C698" s="553"/>
      <c r="D698" s="554"/>
      <c r="E698" s="49"/>
      <c r="F698" s="49"/>
      <c r="G698" s="551"/>
    </row>
    <row r="699" spans="1:7" outlineLevel="1">
      <c r="A699" s="393"/>
      <c r="B699" s="370">
        <v>11</v>
      </c>
      <c r="C699" s="553"/>
      <c r="D699" s="554"/>
      <c r="E699" s="49"/>
      <c r="F699" s="49"/>
      <c r="G699" s="551"/>
    </row>
    <row r="700" spans="1:7" outlineLevel="1">
      <c r="A700" s="393"/>
      <c r="B700" s="370">
        <v>12</v>
      </c>
      <c r="C700" s="553"/>
      <c r="D700" s="554"/>
      <c r="E700" s="49"/>
      <c r="F700" s="49"/>
      <c r="G700" s="551"/>
    </row>
    <row r="701" spans="1:7" outlineLevel="1">
      <c r="A701" s="393"/>
      <c r="B701" s="370">
        <v>13</v>
      </c>
      <c r="C701" s="553"/>
      <c r="D701" s="554"/>
      <c r="E701" s="49"/>
      <c r="F701" s="49"/>
      <c r="G701" s="551"/>
    </row>
    <row r="702" spans="1:7" outlineLevel="1">
      <c r="A702" s="393"/>
      <c r="B702" s="370">
        <v>14</v>
      </c>
      <c r="C702" s="553"/>
      <c r="D702" s="554"/>
      <c r="E702" s="49"/>
      <c r="F702" s="49"/>
      <c r="G702" s="551"/>
    </row>
    <row r="703" spans="1:7" outlineLevel="1">
      <c r="A703" s="394"/>
      <c r="B703" s="371">
        <v>15</v>
      </c>
      <c r="C703" s="555"/>
      <c r="D703" s="556"/>
      <c r="E703" s="51"/>
      <c r="F703" s="51"/>
      <c r="G703" s="552"/>
    </row>
    <row r="704" spans="1:7">
      <c r="A704" s="368"/>
    </row>
    <row r="705" spans="1:7">
      <c r="A705" s="392" t="s">
        <v>56</v>
      </c>
      <c r="B705" s="4"/>
      <c r="C705" s="547" t="s">
        <v>20</v>
      </c>
      <c r="D705" s="548"/>
      <c r="E705" s="409" t="s">
        <v>21</v>
      </c>
      <c r="F705" s="409" t="s">
        <v>22</v>
      </c>
      <c r="G705" s="61" t="s">
        <v>23</v>
      </c>
    </row>
    <row r="706" spans="1:7">
      <c r="A706" s="393"/>
      <c r="B706" s="369"/>
      <c r="C706" s="549" t="s">
        <v>1517</v>
      </c>
      <c r="D706" s="550"/>
      <c r="E706" s="62">
        <f>SUM(E707:E721)</f>
        <v>1</v>
      </c>
      <c r="F706" s="62">
        <f>SUM(F707:F721)</f>
        <v>1</v>
      </c>
      <c r="G706" s="551"/>
    </row>
    <row r="707" spans="1:7" outlineLevel="1">
      <c r="A707" s="393"/>
      <c r="B707" s="370">
        <v>1</v>
      </c>
      <c r="C707" s="553" t="s">
        <v>1518</v>
      </c>
      <c r="D707" s="554"/>
      <c r="E707" s="49">
        <v>0.25</v>
      </c>
      <c r="F707" s="49">
        <v>0.25</v>
      </c>
      <c r="G707" s="551"/>
    </row>
    <row r="708" spans="1:7" outlineLevel="1">
      <c r="A708" s="393"/>
      <c r="B708" s="370">
        <v>2</v>
      </c>
      <c r="C708" s="553" t="s">
        <v>1519</v>
      </c>
      <c r="D708" s="554"/>
      <c r="E708" s="49">
        <v>0.5</v>
      </c>
      <c r="F708" s="49">
        <v>0.5</v>
      </c>
      <c r="G708" s="551"/>
    </row>
    <row r="709" spans="1:7" outlineLevel="1">
      <c r="A709" s="393"/>
      <c r="B709" s="370">
        <v>3</v>
      </c>
      <c r="C709" s="553" t="s">
        <v>1513</v>
      </c>
      <c r="D709" s="554"/>
      <c r="E709" s="49">
        <v>0.25</v>
      </c>
      <c r="F709" s="49">
        <v>0.25</v>
      </c>
      <c r="G709" s="551"/>
    </row>
    <row r="710" spans="1:7" outlineLevel="1">
      <c r="A710" s="393"/>
      <c r="B710" s="370">
        <v>4</v>
      </c>
      <c r="C710" s="553"/>
      <c r="D710" s="554"/>
      <c r="E710" s="50"/>
      <c r="F710" s="50"/>
      <c r="G710" s="551"/>
    </row>
    <row r="711" spans="1:7" outlineLevel="1">
      <c r="A711" s="393"/>
      <c r="B711" s="370">
        <v>5</v>
      </c>
      <c r="C711" s="553"/>
      <c r="D711" s="554"/>
      <c r="E711" s="49"/>
      <c r="F711" s="49"/>
      <c r="G711" s="551"/>
    </row>
    <row r="712" spans="1:7" outlineLevel="1">
      <c r="A712" s="393"/>
      <c r="B712" s="370">
        <v>6</v>
      </c>
      <c r="C712" s="553"/>
      <c r="D712" s="554"/>
      <c r="E712" s="49"/>
      <c r="F712" s="49"/>
      <c r="G712" s="551"/>
    </row>
    <row r="713" spans="1:7" outlineLevel="1">
      <c r="A713" s="393"/>
      <c r="B713" s="370">
        <v>7</v>
      </c>
      <c r="C713" s="553"/>
      <c r="D713" s="554"/>
      <c r="E713" s="49"/>
      <c r="F713" s="49"/>
      <c r="G713" s="551"/>
    </row>
    <row r="714" spans="1:7" outlineLevel="1">
      <c r="A714" s="393"/>
      <c r="B714" s="370">
        <v>8</v>
      </c>
      <c r="C714" s="553"/>
      <c r="D714" s="554"/>
      <c r="E714" s="49"/>
      <c r="F714" s="49"/>
      <c r="G714" s="551"/>
    </row>
    <row r="715" spans="1:7" outlineLevel="1">
      <c r="A715" s="393"/>
      <c r="B715" s="370">
        <v>9</v>
      </c>
      <c r="C715" s="553"/>
      <c r="D715" s="554"/>
      <c r="E715" s="49"/>
      <c r="F715" s="49"/>
      <c r="G715" s="551"/>
    </row>
    <row r="716" spans="1:7" outlineLevel="1">
      <c r="A716" s="393"/>
      <c r="B716" s="370">
        <v>10</v>
      </c>
      <c r="C716" s="553"/>
      <c r="D716" s="554"/>
      <c r="E716" s="49"/>
      <c r="F716" s="49"/>
      <c r="G716" s="551"/>
    </row>
    <row r="717" spans="1:7" outlineLevel="1">
      <c r="A717" s="393"/>
      <c r="B717" s="370">
        <v>11</v>
      </c>
      <c r="C717" s="553"/>
      <c r="D717" s="554"/>
      <c r="E717" s="49"/>
      <c r="F717" s="49"/>
      <c r="G717" s="551"/>
    </row>
    <row r="718" spans="1:7" outlineLevel="1">
      <c r="A718" s="393"/>
      <c r="B718" s="370">
        <v>12</v>
      </c>
      <c r="C718" s="553"/>
      <c r="D718" s="554"/>
      <c r="E718" s="49"/>
      <c r="F718" s="49"/>
      <c r="G718" s="551"/>
    </row>
    <row r="719" spans="1:7" outlineLevel="1">
      <c r="A719" s="393"/>
      <c r="B719" s="370">
        <v>13</v>
      </c>
      <c r="C719" s="553"/>
      <c r="D719" s="554"/>
      <c r="E719" s="49"/>
      <c r="F719" s="49"/>
      <c r="G719" s="551"/>
    </row>
    <row r="720" spans="1:7" outlineLevel="1">
      <c r="A720" s="393"/>
      <c r="B720" s="370">
        <v>14</v>
      </c>
      <c r="C720" s="553"/>
      <c r="D720" s="554"/>
      <c r="E720" s="49"/>
      <c r="F720" s="49"/>
      <c r="G720" s="551"/>
    </row>
    <row r="721" spans="1:7" outlineLevel="1">
      <c r="A721" s="394"/>
      <c r="B721" s="371">
        <v>15</v>
      </c>
      <c r="C721" s="555"/>
      <c r="D721" s="556"/>
      <c r="E721" s="51"/>
      <c r="F721" s="51"/>
      <c r="G721" s="552"/>
    </row>
    <row r="722" spans="1:7">
      <c r="A722" s="368"/>
    </row>
    <row r="723" spans="1:7">
      <c r="A723" s="374" t="s">
        <v>56</v>
      </c>
      <c r="B723" s="4"/>
      <c r="C723" s="547" t="s">
        <v>20</v>
      </c>
      <c r="D723" s="568"/>
      <c r="E723" s="290" t="s">
        <v>21</v>
      </c>
      <c r="F723" s="290" t="s">
        <v>22</v>
      </c>
      <c r="G723" s="61" t="s">
        <v>23</v>
      </c>
    </row>
    <row r="724" spans="1:7">
      <c r="A724" s="372"/>
      <c r="B724" s="369"/>
      <c r="C724" s="549" t="s">
        <v>1523</v>
      </c>
      <c r="D724" s="550"/>
      <c r="E724" s="62">
        <f>SUM(E725:E739)</f>
        <v>1.05</v>
      </c>
      <c r="F724" s="62">
        <f>SUM(F725:F739)</f>
        <v>1.6500000000000004</v>
      </c>
      <c r="G724" s="569" t="s">
        <v>1524</v>
      </c>
    </row>
    <row r="725" spans="1:7">
      <c r="A725" s="372"/>
      <c r="B725" s="370">
        <v>1</v>
      </c>
      <c r="C725" s="566" t="s">
        <v>1525</v>
      </c>
      <c r="D725" s="554"/>
      <c r="E725" s="49">
        <v>0.1</v>
      </c>
      <c r="F725" s="49">
        <v>0.25</v>
      </c>
      <c r="G725" s="570"/>
    </row>
    <row r="726" spans="1:7">
      <c r="A726" s="372"/>
      <c r="B726" s="370">
        <v>2</v>
      </c>
      <c r="C726" s="566" t="s">
        <v>1526</v>
      </c>
      <c r="D726" s="554"/>
      <c r="E726" s="49">
        <v>0.5</v>
      </c>
      <c r="F726" s="49">
        <v>0.5</v>
      </c>
      <c r="G726" s="570"/>
    </row>
    <row r="727" spans="1:7">
      <c r="A727" s="372"/>
      <c r="B727" s="370">
        <v>3</v>
      </c>
      <c r="C727" s="566" t="s">
        <v>1527</v>
      </c>
      <c r="D727" s="554"/>
      <c r="E727" s="49">
        <v>0</v>
      </c>
      <c r="F727" s="49">
        <v>0</v>
      </c>
      <c r="G727" s="570"/>
    </row>
    <row r="728" spans="1:7">
      <c r="A728" s="372"/>
      <c r="B728" s="370">
        <v>4</v>
      </c>
      <c r="C728" s="566" t="s">
        <v>1528</v>
      </c>
      <c r="D728" s="554"/>
      <c r="E728" s="50">
        <v>0.25</v>
      </c>
      <c r="F728" s="50">
        <v>0.5</v>
      </c>
      <c r="G728" s="570"/>
    </row>
    <row r="729" spans="1:7">
      <c r="A729" s="372"/>
      <c r="B729" s="370">
        <v>5</v>
      </c>
      <c r="C729" s="566" t="s">
        <v>1529</v>
      </c>
      <c r="D729" s="554"/>
      <c r="E729" s="49">
        <v>0.05</v>
      </c>
      <c r="F729" s="49">
        <v>0.1</v>
      </c>
      <c r="G729" s="570"/>
    </row>
    <row r="730" spans="1:7">
      <c r="A730" s="372"/>
      <c r="B730" s="370">
        <v>6</v>
      </c>
      <c r="C730" s="566" t="s">
        <v>1530</v>
      </c>
      <c r="D730" s="554"/>
      <c r="E730" s="49">
        <v>0.05</v>
      </c>
      <c r="F730" s="49">
        <v>0.1</v>
      </c>
      <c r="G730" s="570"/>
    </row>
    <row r="731" spans="1:7">
      <c r="A731" s="372"/>
      <c r="B731" s="370">
        <v>7</v>
      </c>
      <c r="C731" s="566" t="s">
        <v>1531</v>
      </c>
      <c r="D731" s="554"/>
      <c r="E731" s="49">
        <v>0.05</v>
      </c>
      <c r="F731" s="49">
        <v>0.1</v>
      </c>
      <c r="G731" s="570"/>
    </row>
    <row r="732" spans="1:7">
      <c r="A732" s="372"/>
      <c r="B732" s="370">
        <v>8</v>
      </c>
      <c r="C732" s="566" t="s">
        <v>1532</v>
      </c>
      <c r="D732" s="554"/>
      <c r="E732" s="49">
        <v>0.05</v>
      </c>
      <c r="F732" s="49">
        <v>0.1</v>
      </c>
      <c r="G732" s="570"/>
    </row>
    <row r="733" spans="1:7">
      <c r="A733" s="372"/>
      <c r="B733" s="370">
        <v>9</v>
      </c>
      <c r="C733" s="566"/>
      <c r="D733" s="554"/>
      <c r="E733" s="49"/>
      <c r="F733" s="49"/>
      <c r="G733" s="570"/>
    </row>
    <row r="734" spans="1:7">
      <c r="A734" s="372"/>
      <c r="B734" s="370">
        <v>10</v>
      </c>
      <c r="C734" s="566"/>
      <c r="D734" s="554"/>
      <c r="E734" s="49"/>
      <c r="F734" s="49"/>
      <c r="G734" s="570"/>
    </row>
    <row r="735" spans="1:7">
      <c r="A735" s="372"/>
      <c r="B735" s="370">
        <v>11</v>
      </c>
      <c r="C735" s="566"/>
      <c r="D735" s="554"/>
      <c r="E735" s="49"/>
      <c r="F735" s="49"/>
      <c r="G735" s="570"/>
    </row>
    <row r="736" spans="1:7">
      <c r="A736" s="372"/>
      <c r="B736" s="370">
        <v>12</v>
      </c>
      <c r="C736" s="566"/>
      <c r="D736" s="554"/>
      <c r="E736" s="49"/>
      <c r="F736" s="49"/>
      <c r="G736" s="570"/>
    </row>
    <row r="737" spans="1:7">
      <c r="A737" s="372"/>
      <c r="B737" s="370">
        <v>13</v>
      </c>
      <c r="C737" s="566"/>
      <c r="D737" s="554"/>
      <c r="E737" s="49"/>
      <c r="F737" s="49"/>
      <c r="G737" s="570"/>
    </row>
    <row r="738" spans="1:7">
      <c r="A738" s="372"/>
      <c r="B738" s="370">
        <v>14</v>
      </c>
      <c r="C738" s="566"/>
      <c r="D738" s="554"/>
      <c r="E738" s="49"/>
      <c r="F738" s="49"/>
      <c r="G738" s="570"/>
    </row>
    <row r="739" spans="1:7">
      <c r="A739" s="373"/>
      <c r="B739" s="371">
        <v>15</v>
      </c>
      <c r="C739" s="567"/>
      <c r="D739" s="556"/>
      <c r="E739" s="51"/>
      <c r="F739" s="51"/>
      <c r="G739" s="571"/>
    </row>
    <row r="740" spans="1:7">
      <c r="A740" s="368"/>
      <c r="B740" s="390"/>
      <c r="C740" s="390"/>
      <c r="D740" s="390"/>
      <c r="E740" s="390"/>
      <c r="F740" s="390"/>
      <c r="G740" s="390"/>
    </row>
    <row r="741" spans="1:7">
      <c r="A741" s="368"/>
      <c r="B741" s="4"/>
      <c r="C741" s="547" t="s">
        <v>20</v>
      </c>
      <c r="D741" s="568"/>
      <c r="E741" s="290" t="s">
        <v>21</v>
      </c>
      <c r="F741" s="290" t="s">
        <v>22</v>
      </c>
      <c r="G741" s="61" t="s">
        <v>23</v>
      </c>
    </row>
    <row r="742" spans="1:7">
      <c r="A742" s="368"/>
      <c r="B742" s="410" t="s">
        <v>19</v>
      </c>
      <c r="C742" s="549" t="s">
        <v>1533</v>
      </c>
      <c r="D742" s="550"/>
      <c r="E742" s="62">
        <f>SUM(E743:E757)</f>
        <v>2.35</v>
      </c>
      <c r="F742" s="62">
        <f>SUM(F743:F757)</f>
        <v>3.7</v>
      </c>
      <c r="G742" s="569" t="s">
        <v>1534</v>
      </c>
    </row>
    <row r="743" spans="1:7">
      <c r="A743" s="368"/>
      <c r="B743" s="411">
        <v>1</v>
      </c>
      <c r="C743" s="566" t="s">
        <v>1525</v>
      </c>
      <c r="D743" s="554"/>
      <c r="E743" s="49">
        <v>0.1</v>
      </c>
      <c r="F743" s="49">
        <v>0.2</v>
      </c>
      <c r="G743" s="570"/>
    </row>
    <row r="744" spans="1:7">
      <c r="A744" s="368"/>
      <c r="B744" s="411">
        <v>2</v>
      </c>
      <c r="C744" s="566" t="s">
        <v>1535</v>
      </c>
      <c r="D744" s="554"/>
      <c r="E744" s="49">
        <v>0.25</v>
      </c>
      <c r="F744" s="49">
        <v>0.5</v>
      </c>
      <c r="G744" s="570"/>
    </row>
    <row r="745" spans="1:7">
      <c r="A745" s="368"/>
      <c r="B745" s="411">
        <v>3</v>
      </c>
      <c r="C745" s="566" t="s">
        <v>1527</v>
      </c>
      <c r="D745" s="554"/>
      <c r="E745" s="49">
        <v>0.25</v>
      </c>
      <c r="F745" s="49">
        <v>0.25</v>
      </c>
      <c r="G745" s="570"/>
    </row>
    <row r="746" spans="1:7">
      <c r="A746" s="368"/>
      <c r="B746" s="412">
        <v>4</v>
      </c>
      <c r="C746" s="566" t="s">
        <v>1528</v>
      </c>
      <c r="D746" s="554"/>
      <c r="E746" s="50">
        <v>0.75</v>
      </c>
      <c r="F746" s="50">
        <v>1</v>
      </c>
      <c r="G746" s="570"/>
    </row>
    <row r="747" spans="1:7">
      <c r="A747" s="368"/>
      <c r="B747" s="411">
        <v>5</v>
      </c>
      <c r="C747" s="566" t="s">
        <v>1529</v>
      </c>
      <c r="D747" s="554"/>
      <c r="E747" s="49">
        <v>0.25</v>
      </c>
      <c r="F747" s="49">
        <v>0.5</v>
      </c>
      <c r="G747" s="570"/>
    </row>
    <row r="748" spans="1:7">
      <c r="A748" s="368"/>
      <c r="B748" s="411">
        <v>6</v>
      </c>
      <c r="C748" s="566" t="s">
        <v>1530</v>
      </c>
      <c r="D748" s="554"/>
      <c r="E748" s="49">
        <v>0.25</v>
      </c>
      <c r="F748" s="49">
        <v>0.5</v>
      </c>
      <c r="G748" s="570"/>
    </row>
    <row r="749" spans="1:7">
      <c r="A749" s="368"/>
      <c r="B749" s="411">
        <v>7</v>
      </c>
      <c r="C749" s="566" t="s">
        <v>1531</v>
      </c>
      <c r="D749" s="554"/>
      <c r="E749" s="49">
        <v>0.25</v>
      </c>
      <c r="F749" s="49">
        <v>0.5</v>
      </c>
      <c r="G749" s="570"/>
    </row>
    <row r="750" spans="1:7">
      <c r="A750" s="368"/>
      <c r="B750" s="411">
        <v>8</v>
      </c>
      <c r="C750" s="566" t="s">
        <v>1532</v>
      </c>
      <c r="D750" s="554"/>
      <c r="E750" s="49">
        <v>0.25</v>
      </c>
      <c r="F750" s="49">
        <v>0.25</v>
      </c>
      <c r="G750" s="570"/>
    </row>
    <row r="751" spans="1:7">
      <c r="A751" s="368"/>
      <c r="B751" s="411">
        <v>9</v>
      </c>
      <c r="C751" s="566"/>
      <c r="D751" s="554"/>
      <c r="E751" s="49"/>
      <c r="F751" s="49"/>
      <c r="G751" s="570"/>
    </row>
    <row r="752" spans="1:7">
      <c r="A752" s="368"/>
      <c r="B752" s="411">
        <v>10</v>
      </c>
      <c r="C752" s="566"/>
      <c r="D752" s="554"/>
      <c r="E752" s="49"/>
      <c r="F752" s="49"/>
      <c r="G752" s="570"/>
    </row>
    <row r="753" spans="1:7">
      <c r="A753" s="368"/>
      <c r="B753" s="411">
        <v>11</v>
      </c>
      <c r="C753" s="566"/>
      <c r="D753" s="554"/>
      <c r="E753" s="49"/>
      <c r="F753" s="49"/>
      <c r="G753" s="570"/>
    </row>
    <row r="754" spans="1:7">
      <c r="A754" s="368"/>
      <c r="B754" s="411">
        <v>12</v>
      </c>
      <c r="C754" s="566"/>
      <c r="D754" s="554"/>
      <c r="E754" s="49"/>
      <c r="F754" s="49"/>
      <c r="G754" s="570"/>
    </row>
    <row r="755" spans="1:7">
      <c r="A755" s="368"/>
      <c r="B755" s="411">
        <v>13</v>
      </c>
      <c r="C755" s="566"/>
      <c r="D755" s="554"/>
      <c r="E755" s="49"/>
      <c r="F755" s="49"/>
      <c r="G755" s="570"/>
    </row>
    <row r="756" spans="1:7">
      <c r="A756" s="368"/>
      <c r="B756" s="411">
        <v>14</v>
      </c>
      <c r="C756" s="566"/>
      <c r="D756" s="554"/>
      <c r="E756" s="49"/>
      <c r="F756" s="49"/>
      <c r="G756" s="570"/>
    </row>
    <row r="757" spans="1:7">
      <c r="A757" s="368"/>
      <c r="B757" s="413">
        <v>15</v>
      </c>
      <c r="C757" s="567"/>
      <c r="D757" s="556"/>
      <c r="E757" s="51"/>
      <c r="F757" s="51"/>
      <c r="G757" s="571"/>
    </row>
    <row r="758" spans="1:7">
      <c r="A758" s="368"/>
      <c r="B758" s="390"/>
      <c r="C758" s="390"/>
      <c r="D758" s="390"/>
      <c r="E758" s="390"/>
      <c r="F758" s="390"/>
      <c r="G758" s="390"/>
    </row>
    <row r="759" spans="1:7">
      <c r="A759" s="368"/>
      <c r="B759" s="4"/>
      <c r="C759" s="547" t="s">
        <v>20</v>
      </c>
      <c r="D759" s="568"/>
      <c r="E759" s="290" t="s">
        <v>21</v>
      </c>
      <c r="F759" s="290" t="s">
        <v>22</v>
      </c>
      <c r="G759" s="61" t="s">
        <v>23</v>
      </c>
    </row>
    <row r="760" spans="1:7">
      <c r="A760" s="368"/>
      <c r="B760" s="410" t="s">
        <v>19</v>
      </c>
      <c r="C760" s="549" t="s">
        <v>1536</v>
      </c>
      <c r="D760" s="550"/>
      <c r="E760" s="62">
        <f>SUM(E761:E775)</f>
        <v>3.5</v>
      </c>
      <c r="F760" s="62">
        <f>SUM(F761:F775)</f>
        <v>4.75</v>
      </c>
      <c r="G760" s="569" t="s">
        <v>1537</v>
      </c>
    </row>
    <row r="761" spans="1:7">
      <c r="A761" s="368"/>
      <c r="B761" s="411">
        <v>1</v>
      </c>
      <c r="C761" s="566" t="s">
        <v>1525</v>
      </c>
      <c r="D761" s="554"/>
      <c r="E761" s="49">
        <v>0.25</v>
      </c>
      <c r="F761" s="49">
        <v>0.5</v>
      </c>
      <c r="G761" s="570"/>
    </row>
    <row r="762" spans="1:7">
      <c r="A762" s="368"/>
      <c r="B762" s="411">
        <v>2</v>
      </c>
      <c r="C762" s="566" t="s">
        <v>1535</v>
      </c>
      <c r="D762" s="554"/>
      <c r="E762" s="49">
        <v>0.5</v>
      </c>
      <c r="F762" s="49">
        <v>0.75</v>
      </c>
      <c r="G762" s="570"/>
    </row>
    <row r="763" spans="1:7">
      <c r="A763" s="368"/>
      <c r="B763" s="411">
        <v>3</v>
      </c>
      <c r="C763" s="566" t="s">
        <v>1527</v>
      </c>
      <c r="D763" s="554"/>
      <c r="E763" s="49">
        <v>0.25</v>
      </c>
      <c r="F763" s="49">
        <v>0.5</v>
      </c>
      <c r="G763" s="570"/>
    </row>
    <row r="764" spans="1:7">
      <c r="A764" s="368"/>
      <c r="B764" s="412">
        <v>4</v>
      </c>
      <c r="C764" s="566" t="s">
        <v>1528</v>
      </c>
      <c r="D764" s="554"/>
      <c r="E764" s="50">
        <v>1</v>
      </c>
      <c r="F764" s="50">
        <v>0.5</v>
      </c>
      <c r="G764" s="570"/>
    </row>
    <row r="765" spans="1:7">
      <c r="A765" s="368"/>
      <c r="B765" s="411">
        <v>5</v>
      </c>
      <c r="C765" s="566" t="s">
        <v>1529</v>
      </c>
      <c r="D765" s="554"/>
      <c r="E765" s="49">
        <v>0.5</v>
      </c>
      <c r="F765" s="49">
        <v>0.75</v>
      </c>
      <c r="G765" s="570"/>
    </row>
    <row r="766" spans="1:7">
      <c r="A766" s="368"/>
      <c r="B766" s="411">
        <v>6</v>
      </c>
      <c r="C766" s="566" t="s">
        <v>1530</v>
      </c>
      <c r="D766" s="554"/>
      <c r="E766" s="49">
        <v>0.5</v>
      </c>
      <c r="F766" s="49">
        <v>0.75</v>
      </c>
      <c r="G766" s="570"/>
    </row>
    <row r="767" spans="1:7">
      <c r="A767" s="368"/>
      <c r="B767" s="411">
        <v>7</v>
      </c>
      <c r="C767" s="566" t="s">
        <v>1531</v>
      </c>
      <c r="D767" s="554"/>
      <c r="E767" s="49">
        <v>0.25</v>
      </c>
      <c r="F767" s="49">
        <v>0.5</v>
      </c>
      <c r="G767" s="570"/>
    </row>
    <row r="768" spans="1:7">
      <c r="A768" s="368"/>
      <c r="B768" s="411">
        <v>8</v>
      </c>
      <c r="C768" s="566" t="s">
        <v>1532</v>
      </c>
      <c r="D768" s="554"/>
      <c r="E768" s="49">
        <v>0.25</v>
      </c>
      <c r="F768" s="49">
        <v>0.5</v>
      </c>
      <c r="G768" s="570"/>
    </row>
    <row r="769" spans="1:7">
      <c r="A769" s="368"/>
      <c r="B769" s="411">
        <v>9</v>
      </c>
      <c r="C769" s="566"/>
      <c r="D769" s="554"/>
      <c r="E769" s="49"/>
      <c r="F769" s="49"/>
      <c r="G769" s="570"/>
    </row>
    <row r="770" spans="1:7">
      <c r="A770" s="368"/>
      <c r="B770" s="411">
        <v>10</v>
      </c>
      <c r="C770" s="566"/>
      <c r="D770" s="554"/>
      <c r="E770" s="49"/>
      <c r="F770" s="49"/>
      <c r="G770" s="570"/>
    </row>
    <row r="771" spans="1:7">
      <c r="A771" s="368"/>
      <c r="B771" s="411">
        <v>11</v>
      </c>
      <c r="C771" s="566"/>
      <c r="D771" s="554"/>
      <c r="E771" s="49"/>
      <c r="F771" s="49"/>
      <c r="G771" s="570"/>
    </row>
    <row r="772" spans="1:7">
      <c r="A772" s="368"/>
      <c r="B772" s="411">
        <v>12</v>
      </c>
      <c r="C772" s="566"/>
      <c r="D772" s="554"/>
      <c r="E772" s="49"/>
      <c r="F772" s="49"/>
      <c r="G772" s="570"/>
    </row>
    <row r="773" spans="1:7">
      <c r="A773" s="368"/>
      <c r="B773" s="411">
        <v>13</v>
      </c>
      <c r="C773" s="566"/>
      <c r="D773" s="554"/>
      <c r="E773" s="49"/>
      <c r="F773" s="49"/>
      <c r="G773" s="570"/>
    </row>
    <row r="774" spans="1:7">
      <c r="A774" s="368"/>
      <c r="B774" s="411">
        <v>14</v>
      </c>
      <c r="C774" s="566"/>
      <c r="D774" s="554"/>
      <c r="E774" s="49"/>
      <c r="F774" s="49"/>
      <c r="G774" s="570"/>
    </row>
    <row r="775" spans="1:7">
      <c r="A775" s="368"/>
      <c r="B775" s="413">
        <v>15</v>
      </c>
      <c r="C775" s="567"/>
      <c r="D775" s="556"/>
      <c r="E775" s="51"/>
      <c r="F775" s="51"/>
      <c r="G775" s="571"/>
    </row>
    <row r="776" spans="1:7">
      <c r="A776" s="368"/>
      <c r="B776" s="390"/>
      <c r="C776" s="390"/>
      <c r="D776" s="390"/>
      <c r="E776" s="390"/>
      <c r="F776" s="390"/>
      <c r="G776" s="390"/>
    </row>
    <row r="777" spans="1:7">
      <c r="A777" s="368"/>
      <c r="B777" s="4"/>
      <c r="C777" s="547" t="s">
        <v>20</v>
      </c>
      <c r="D777" s="568"/>
      <c r="E777" s="290" t="s">
        <v>21</v>
      </c>
      <c r="F777" s="290" t="s">
        <v>22</v>
      </c>
      <c r="G777" s="61" t="s">
        <v>23</v>
      </c>
    </row>
    <row r="778" spans="1:7">
      <c r="A778" s="368"/>
      <c r="B778" s="410" t="s">
        <v>19</v>
      </c>
      <c r="C778" s="549" t="s">
        <v>1538</v>
      </c>
      <c r="D778" s="550"/>
      <c r="E778" s="62">
        <f>SUM(E779:E793)</f>
        <v>1.5000000000000002</v>
      </c>
      <c r="F778" s="62">
        <f>SUM(F779:F793)</f>
        <v>2.4000000000000004</v>
      </c>
      <c r="G778" s="569" t="s">
        <v>1539</v>
      </c>
    </row>
    <row r="779" spans="1:7">
      <c r="A779" s="368"/>
      <c r="B779" s="411">
        <v>1</v>
      </c>
      <c r="C779" s="566" t="s">
        <v>1540</v>
      </c>
      <c r="D779" s="554"/>
      <c r="E779" s="49">
        <v>0.25</v>
      </c>
      <c r="F779" s="49">
        <v>0.25</v>
      </c>
      <c r="G779" s="570"/>
    </row>
    <row r="780" spans="1:7">
      <c r="A780" s="368"/>
      <c r="B780" s="411">
        <v>2</v>
      </c>
      <c r="C780" s="566" t="s">
        <v>1541</v>
      </c>
      <c r="D780" s="554"/>
      <c r="E780" s="49">
        <v>0.25</v>
      </c>
      <c r="F780" s="49">
        <v>0.5</v>
      </c>
      <c r="G780" s="570"/>
    </row>
    <row r="781" spans="1:7">
      <c r="A781" s="368"/>
      <c r="B781" s="411">
        <v>3</v>
      </c>
      <c r="C781" s="566" t="s">
        <v>1542</v>
      </c>
      <c r="D781" s="554"/>
      <c r="E781" s="49">
        <v>0.5</v>
      </c>
      <c r="F781" s="49">
        <v>0.75</v>
      </c>
      <c r="G781" s="570"/>
    </row>
    <row r="782" spans="1:7">
      <c r="A782" s="368"/>
      <c r="B782" s="412">
        <v>4</v>
      </c>
      <c r="C782" s="566" t="s">
        <v>1543</v>
      </c>
      <c r="D782" s="554"/>
      <c r="E782" s="50">
        <v>0.2</v>
      </c>
      <c r="F782" s="50">
        <v>0.4</v>
      </c>
      <c r="G782" s="570"/>
    </row>
    <row r="783" spans="1:7">
      <c r="A783" s="368"/>
      <c r="B783" s="411">
        <v>5</v>
      </c>
      <c r="C783" s="566" t="s">
        <v>1544</v>
      </c>
      <c r="D783" s="554"/>
      <c r="E783" s="49">
        <v>0.1</v>
      </c>
      <c r="F783" s="49">
        <v>0.2</v>
      </c>
      <c r="G783" s="570"/>
    </row>
    <row r="784" spans="1:7">
      <c r="A784" s="368"/>
      <c r="B784" s="411">
        <v>6</v>
      </c>
      <c r="C784" s="566" t="s">
        <v>1545</v>
      </c>
      <c r="D784" s="554"/>
      <c r="E784" s="49">
        <v>0.1</v>
      </c>
      <c r="F784" s="49">
        <v>0.1</v>
      </c>
      <c r="G784" s="570"/>
    </row>
    <row r="785" spans="1:7">
      <c r="A785" s="368"/>
      <c r="B785" s="411">
        <v>7</v>
      </c>
      <c r="C785" s="566" t="s">
        <v>1546</v>
      </c>
      <c r="D785" s="554"/>
      <c r="E785" s="49">
        <v>0.1</v>
      </c>
      <c r="F785" s="49">
        <v>0.2</v>
      </c>
      <c r="G785" s="570"/>
    </row>
    <row r="786" spans="1:7">
      <c r="A786" s="368"/>
      <c r="B786" s="411">
        <v>8</v>
      </c>
      <c r="C786" s="566"/>
      <c r="D786" s="554"/>
      <c r="E786" s="49"/>
      <c r="F786" s="49"/>
      <c r="G786" s="570"/>
    </row>
    <row r="787" spans="1:7">
      <c r="A787" s="368"/>
      <c r="B787" s="411">
        <v>9</v>
      </c>
      <c r="C787" s="566"/>
      <c r="D787" s="554"/>
      <c r="E787" s="49"/>
      <c r="F787" s="49"/>
      <c r="G787" s="570"/>
    </row>
    <row r="788" spans="1:7">
      <c r="A788" s="368"/>
      <c r="B788" s="411">
        <v>10</v>
      </c>
      <c r="C788" s="566"/>
      <c r="D788" s="554"/>
      <c r="E788" s="49"/>
      <c r="F788" s="49"/>
      <c r="G788" s="570"/>
    </row>
    <row r="789" spans="1:7">
      <c r="A789" s="368"/>
      <c r="B789" s="411">
        <v>11</v>
      </c>
      <c r="C789" s="566"/>
      <c r="D789" s="554"/>
      <c r="E789" s="49"/>
      <c r="F789" s="49"/>
      <c r="G789" s="570"/>
    </row>
    <row r="790" spans="1:7">
      <c r="A790" s="368"/>
      <c r="B790" s="411">
        <v>12</v>
      </c>
      <c r="C790" s="566"/>
      <c r="D790" s="554"/>
      <c r="E790" s="49"/>
      <c r="F790" s="49"/>
      <c r="G790" s="570"/>
    </row>
    <row r="791" spans="1:7">
      <c r="A791" s="368"/>
      <c r="B791" s="411">
        <v>13</v>
      </c>
      <c r="C791" s="566"/>
      <c r="D791" s="554"/>
      <c r="E791" s="49"/>
      <c r="F791" s="49"/>
      <c r="G791" s="570"/>
    </row>
    <row r="792" spans="1:7">
      <c r="A792" s="368"/>
      <c r="B792" s="411">
        <v>14</v>
      </c>
      <c r="C792" s="566"/>
      <c r="D792" s="554"/>
      <c r="E792" s="49"/>
      <c r="F792" s="49"/>
      <c r="G792" s="570"/>
    </row>
    <row r="793" spans="1:7">
      <c r="A793" s="368"/>
      <c r="B793" s="413">
        <v>15</v>
      </c>
      <c r="C793" s="567"/>
      <c r="D793" s="556"/>
      <c r="E793" s="51"/>
      <c r="F793" s="51"/>
      <c r="G793" s="571"/>
    </row>
    <row r="794" spans="1:7">
      <c r="A794" s="368"/>
      <c r="B794" s="390"/>
      <c r="C794" s="390"/>
      <c r="D794" s="390"/>
      <c r="E794" s="390"/>
      <c r="F794" s="390"/>
      <c r="G794" s="390"/>
    </row>
    <row r="795" spans="1:7">
      <c r="A795" s="368"/>
      <c r="B795" s="4"/>
      <c r="C795" s="547" t="s">
        <v>20</v>
      </c>
      <c r="D795" s="568"/>
      <c r="E795" s="290" t="s">
        <v>21</v>
      </c>
      <c r="F795" s="290" t="s">
        <v>22</v>
      </c>
      <c r="G795" s="61" t="s">
        <v>23</v>
      </c>
    </row>
    <row r="796" spans="1:7">
      <c r="A796" s="368"/>
      <c r="B796" s="410" t="s">
        <v>19</v>
      </c>
      <c r="C796" s="549" t="s">
        <v>1547</v>
      </c>
      <c r="D796" s="550"/>
      <c r="E796" s="62">
        <f>SUM(E797:E811)</f>
        <v>2.4499999999999997</v>
      </c>
      <c r="F796" s="62">
        <f>SUM(F797:F811)</f>
        <v>4</v>
      </c>
      <c r="G796" s="569" t="s">
        <v>1548</v>
      </c>
    </row>
    <row r="797" spans="1:7">
      <c r="A797" s="368"/>
      <c r="B797" s="411">
        <v>1</v>
      </c>
      <c r="C797" s="566" t="s">
        <v>1540</v>
      </c>
      <c r="D797" s="554"/>
      <c r="E797" s="49">
        <v>0.5</v>
      </c>
      <c r="F797" s="49">
        <v>0.75</v>
      </c>
      <c r="G797" s="570"/>
    </row>
    <row r="798" spans="1:7">
      <c r="A798" s="368"/>
      <c r="B798" s="411">
        <v>2</v>
      </c>
      <c r="C798" s="566" t="s">
        <v>1541</v>
      </c>
      <c r="D798" s="554"/>
      <c r="E798" s="49">
        <v>0.75</v>
      </c>
      <c r="F798" s="49">
        <v>1</v>
      </c>
      <c r="G798" s="570"/>
    </row>
    <row r="799" spans="1:7">
      <c r="A799" s="368"/>
      <c r="B799" s="411">
        <v>3</v>
      </c>
      <c r="C799" s="566" t="s">
        <v>1542</v>
      </c>
      <c r="D799" s="554"/>
      <c r="E799" s="49">
        <v>0.5</v>
      </c>
      <c r="F799" s="49">
        <v>1</v>
      </c>
      <c r="G799" s="570"/>
    </row>
    <row r="800" spans="1:7">
      <c r="A800" s="368"/>
      <c r="B800" s="412">
        <v>4</v>
      </c>
      <c r="C800" s="566" t="s">
        <v>1543</v>
      </c>
      <c r="D800" s="554"/>
      <c r="E800" s="50">
        <v>0.25</v>
      </c>
      <c r="F800" s="50">
        <v>0.5</v>
      </c>
      <c r="G800" s="570"/>
    </row>
    <row r="801" spans="1:7">
      <c r="A801" s="368"/>
      <c r="B801" s="411">
        <v>5</v>
      </c>
      <c r="C801" s="566" t="s">
        <v>1544</v>
      </c>
      <c r="D801" s="554"/>
      <c r="E801" s="49">
        <v>0.15</v>
      </c>
      <c r="F801" s="49">
        <v>0.25</v>
      </c>
      <c r="G801" s="570"/>
    </row>
    <row r="802" spans="1:7">
      <c r="A802" s="368"/>
      <c r="B802" s="411">
        <v>6</v>
      </c>
      <c r="C802" s="566" t="s">
        <v>1545</v>
      </c>
      <c r="D802" s="554"/>
      <c r="E802" s="49">
        <v>0.15</v>
      </c>
      <c r="F802" s="49">
        <v>0.25</v>
      </c>
      <c r="G802" s="570"/>
    </row>
    <row r="803" spans="1:7">
      <c r="A803" s="368"/>
      <c r="B803" s="411">
        <v>7</v>
      </c>
      <c r="C803" s="566" t="s">
        <v>1546</v>
      </c>
      <c r="D803" s="554"/>
      <c r="E803" s="49">
        <v>0.15</v>
      </c>
      <c r="F803" s="49">
        <v>0.25</v>
      </c>
      <c r="G803" s="570"/>
    </row>
    <row r="804" spans="1:7">
      <c r="A804" s="368"/>
      <c r="B804" s="411">
        <v>8</v>
      </c>
      <c r="C804" s="566"/>
      <c r="D804" s="554"/>
      <c r="E804" s="49"/>
      <c r="F804" s="49"/>
      <c r="G804" s="570"/>
    </row>
    <row r="805" spans="1:7">
      <c r="A805" s="368"/>
      <c r="B805" s="411">
        <v>9</v>
      </c>
      <c r="C805" s="566"/>
      <c r="D805" s="554"/>
      <c r="E805" s="49"/>
      <c r="F805" s="49"/>
      <c r="G805" s="570"/>
    </row>
    <row r="806" spans="1:7">
      <c r="A806" s="368"/>
      <c r="B806" s="411">
        <v>10</v>
      </c>
      <c r="C806" s="566"/>
      <c r="D806" s="554"/>
      <c r="E806" s="49"/>
      <c r="F806" s="49"/>
      <c r="G806" s="570"/>
    </row>
    <row r="807" spans="1:7">
      <c r="A807" s="368"/>
      <c r="B807" s="411">
        <v>11</v>
      </c>
      <c r="C807" s="566"/>
      <c r="D807" s="554"/>
      <c r="E807" s="49"/>
      <c r="F807" s="49"/>
      <c r="G807" s="570"/>
    </row>
    <row r="808" spans="1:7">
      <c r="A808" s="368"/>
      <c r="B808" s="411">
        <v>12</v>
      </c>
      <c r="C808" s="566"/>
      <c r="D808" s="554"/>
      <c r="E808" s="49"/>
      <c r="F808" s="49"/>
      <c r="G808" s="570"/>
    </row>
    <row r="809" spans="1:7">
      <c r="A809" s="368"/>
      <c r="B809" s="411">
        <v>13</v>
      </c>
      <c r="C809" s="566"/>
      <c r="D809" s="554"/>
      <c r="E809" s="49"/>
      <c r="F809" s="49"/>
      <c r="G809" s="570"/>
    </row>
    <row r="810" spans="1:7">
      <c r="A810" s="368"/>
      <c r="B810" s="411">
        <v>14</v>
      </c>
      <c r="C810" s="566"/>
      <c r="D810" s="554"/>
      <c r="E810" s="49"/>
      <c r="F810" s="49"/>
      <c r="G810" s="570"/>
    </row>
    <row r="811" spans="1:7">
      <c r="A811" s="368"/>
      <c r="B811" s="413">
        <v>15</v>
      </c>
      <c r="C811" s="567"/>
      <c r="D811" s="556"/>
      <c r="E811" s="51"/>
      <c r="F811" s="51"/>
      <c r="G811" s="571"/>
    </row>
    <row r="812" spans="1:7">
      <c r="A812" s="368"/>
      <c r="B812" s="390"/>
      <c r="C812" s="390"/>
      <c r="D812" s="390"/>
      <c r="E812" s="390"/>
      <c r="F812" s="390"/>
      <c r="G812" s="390"/>
    </row>
    <row r="813" spans="1:7">
      <c r="A813" s="368"/>
      <c r="B813" s="4"/>
      <c r="C813" s="547" t="s">
        <v>20</v>
      </c>
      <c r="D813" s="568"/>
      <c r="E813" s="290" t="s">
        <v>21</v>
      </c>
      <c r="F813" s="290" t="s">
        <v>22</v>
      </c>
      <c r="G813" s="61" t="s">
        <v>23</v>
      </c>
    </row>
    <row r="814" spans="1:7">
      <c r="A814" s="368"/>
      <c r="B814" s="410" t="s">
        <v>19</v>
      </c>
      <c r="C814" s="549" t="s">
        <v>1549</v>
      </c>
      <c r="D814" s="550"/>
      <c r="E814" s="62">
        <f>SUM(E815:E829)</f>
        <v>3.5</v>
      </c>
      <c r="F814" s="62">
        <f>SUM(F815:F829)</f>
        <v>5.75</v>
      </c>
      <c r="G814" s="569" t="s">
        <v>1550</v>
      </c>
    </row>
    <row r="815" spans="1:7">
      <c r="A815" s="368"/>
      <c r="B815" s="411">
        <v>1</v>
      </c>
      <c r="C815" s="566" t="s">
        <v>1540</v>
      </c>
      <c r="D815" s="554"/>
      <c r="E815" s="49">
        <v>0.75</v>
      </c>
      <c r="F815" s="49">
        <v>1</v>
      </c>
      <c r="G815" s="570"/>
    </row>
    <row r="816" spans="1:7">
      <c r="A816" s="368"/>
      <c r="B816" s="411">
        <v>2</v>
      </c>
      <c r="C816" s="566" t="s">
        <v>1541</v>
      </c>
      <c r="D816" s="554"/>
      <c r="E816" s="49">
        <v>1</v>
      </c>
      <c r="F816" s="49">
        <v>1.5</v>
      </c>
      <c r="G816" s="570"/>
    </row>
    <row r="817" spans="1:7">
      <c r="A817" s="368"/>
      <c r="B817" s="411">
        <v>3</v>
      </c>
      <c r="C817" s="566" t="s">
        <v>1542</v>
      </c>
      <c r="D817" s="554"/>
      <c r="E817" s="49">
        <v>0.75</v>
      </c>
      <c r="F817" s="49">
        <v>1.25</v>
      </c>
      <c r="G817" s="570"/>
    </row>
    <row r="818" spans="1:7">
      <c r="A818" s="368"/>
      <c r="B818" s="412">
        <v>4</v>
      </c>
      <c r="C818" s="566" t="s">
        <v>1543</v>
      </c>
      <c r="D818" s="554"/>
      <c r="E818" s="50">
        <v>0.25</v>
      </c>
      <c r="F818" s="50">
        <v>0.5</v>
      </c>
      <c r="G818" s="570"/>
    </row>
    <row r="819" spans="1:7">
      <c r="A819" s="368"/>
      <c r="B819" s="411">
        <v>5</v>
      </c>
      <c r="C819" s="566" t="s">
        <v>1544</v>
      </c>
      <c r="D819" s="554"/>
      <c r="E819" s="49">
        <v>0.25</v>
      </c>
      <c r="F819" s="49">
        <v>0.5</v>
      </c>
      <c r="G819" s="570"/>
    </row>
    <row r="820" spans="1:7">
      <c r="A820" s="368"/>
      <c r="B820" s="411">
        <v>6</v>
      </c>
      <c r="C820" s="566" t="s">
        <v>1545</v>
      </c>
      <c r="D820" s="554"/>
      <c r="E820" s="49">
        <v>0.25</v>
      </c>
      <c r="F820" s="49">
        <v>0.5</v>
      </c>
      <c r="G820" s="570"/>
    </row>
    <row r="821" spans="1:7">
      <c r="A821" s="368"/>
      <c r="B821" s="411">
        <v>7</v>
      </c>
      <c r="C821" s="566" t="s">
        <v>1546</v>
      </c>
      <c r="D821" s="554"/>
      <c r="E821" s="49">
        <v>0.25</v>
      </c>
      <c r="F821" s="49">
        <v>0.5</v>
      </c>
      <c r="G821" s="570"/>
    </row>
    <row r="822" spans="1:7">
      <c r="A822" s="368"/>
      <c r="B822" s="411">
        <v>8</v>
      </c>
      <c r="C822" s="566"/>
      <c r="D822" s="554"/>
      <c r="E822" s="49"/>
      <c r="F822" s="49"/>
      <c r="G822" s="570"/>
    </row>
    <row r="823" spans="1:7">
      <c r="A823" s="368"/>
      <c r="B823" s="411">
        <v>9</v>
      </c>
      <c r="C823" s="566"/>
      <c r="D823" s="554"/>
      <c r="E823" s="49"/>
      <c r="F823" s="49"/>
      <c r="G823" s="570"/>
    </row>
    <row r="824" spans="1:7">
      <c r="A824" s="368"/>
      <c r="B824" s="411">
        <v>10</v>
      </c>
      <c r="C824" s="566"/>
      <c r="D824" s="554"/>
      <c r="E824" s="49"/>
      <c r="F824" s="49"/>
      <c r="G824" s="570"/>
    </row>
    <row r="825" spans="1:7">
      <c r="A825" s="368"/>
      <c r="B825" s="411">
        <v>11</v>
      </c>
      <c r="C825" s="566"/>
      <c r="D825" s="554"/>
      <c r="E825" s="49"/>
      <c r="F825" s="49"/>
      <c r="G825" s="570"/>
    </row>
    <row r="826" spans="1:7">
      <c r="A826" s="368"/>
      <c r="B826" s="411">
        <v>12</v>
      </c>
      <c r="C826" s="566"/>
      <c r="D826" s="554"/>
      <c r="E826" s="49"/>
      <c r="F826" s="49"/>
      <c r="G826" s="570"/>
    </row>
    <row r="827" spans="1:7">
      <c r="A827" s="368"/>
      <c r="B827" s="411">
        <v>13</v>
      </c>
      <c r="C827" s="566"/>
      <c r="D827" s="554"/>
      <c r="E827" s="49"/>
      <c r="F827" s="49"/>
      <c r="G827" s="570"/>
    </row>
    <row r="828" spans="1:7">
      <c r="A828" s="368"/>
      <c r="B828" s="411">
        <v>14</v>
      </c>
      <c r="C828" s="566"/>
      <c r="D828" s="554"/>
      <c r="E828" s="49"/>
      <c r="F828" s="49"/>
      <c r="G828" s="570"/>
    </row>
    <row r="829" spans="1:7">
      <c r="A829" s="368"/>
      <c r="B829" s="413">
        <v>15</v>
      </c>
      <c r="C829" s="567"/>
      <c r="D829" s="556"/>
      <c r="E829" s="51"/>
      <c r="F829" s="51"/>
      <c r="G829" s="571"/>
    </row>
    <row r="830" spans="1:7">
      <c r="A830" s="368"/>
      <c r="B830" s="390"/>
      <c r="C830" s="390"/>
      <c r="D830" s="390"/>
      <c r="E830" s="390"/>
      <c r="F830" s="390"/>
      <c r="G830" s="390"/>
    </row>
    <row r="831" spans="1:7">
      <c r="A831" s="368"/>
      <c r="B831" s="4"/>
      <c r="C831" s="547" t="s">
        <v>20</v>
      </c>
      <c r="D831" s="568"/>
      <c r="E831" s="290" t="s">
        <v>21</v>
      </c>
      <c r="F831" s="290" t="s">
        <v>22</v>
      </c>
      <c r="G831" s="61" t="s">
        <v>23</v>
      </c>
    </row>
    <row r="832" spans="1:7">
      <c r="A832" s="368"/>
      <c r="B832" s="410" t="s">
        <v>19</v>
      </c>
      <c r="C832" s="549" t="s">
        <v>1551</v>
      </c>
      <c r="D832" s="550"/>
      <c r="E832" s="62">
        <f>SUM(E833:E847)</f>
        <v>1.6500000000000001</v>
      </c>
      <c r="F832" s="62">
        <f>SUM(F833:F847)</f>
        <v>2.95</v>
      </c>
      <c r="G832" s="569" t="s">
        <v>1552</v>
      </c>
    </row>
    <row r="833" spans="1:7">
      <c r="A833" s="368"/>
      <c r="B833" s="411">
        <v>1</v>
      </c>
      <c r="C833" s="566" t="s">
        <v>1553</v>
      </c>
      <c r="D833" s="554"/>
      <c r="E833" s="49">
        <v>0.1</v>
      </c>
      <c r="F833" s="49">
        <v>0.1</v>
      </c>
      <c r="G833" s="570"/>
    </row>
    <row r="834" spans="1:7">
      <c r="A834" s="368"/>
      <c r="B834" s="411">
        <v>2</v>
      </c>
      <c r="C834" s="566" t="s">
        <v>1554</v>
      </c>
      <c r="D834" s="554"/>
      <c r="E834" s="49">
        <v>0.1</v>
      </c>
      <c r="F834" s="49">
        <v>0.1</v>
      </c>
      <c r="G834" s="570"/>
    </row>
    <row r="835" spans="1:7">
      <c r="A835" s="368"/>
      <c r="B835" s="411">
        <v>3</v>
      </c>
      <c r="C835" s="566" t="s">
        <v>1555</v>
      </c>
      <c r="D835" s="554"/>
      <c r="E835" s="49">
        <v>0.75</v>
      </c>
      <c r="F835" s="49">
        <v>1.25</v>
      </c>
      <c r="G835" s="570"/>
    </row>
    <row r="836" spans="1:7">
      <c r="A836" s="368"/>
      <c r="B836" s="412">
        <v>4</v>
      </c>
      <c r="C836" s="566" t="s">
        <v>1556</v>
      </c>
      <c r="D836" s="554"/>
      <c r="E836" s="50">
        <v>0.5</v>
      </c>
      <c r="F836" s="50">
        <v>1</v>
      </c>
      <c r="G836" s="570"/>
    </row>
    <row r="837" spans="1:7">
      <c r="A837" s="368"/>
      <c r="B837" s="411">
        <v>5</v>
      </c>
      <c r="C837" s="566" t="s">
        <v>1520</v>
      </c>
      <c r="D837" s="554"/>
      <c r="E837" s="49">
        <v>0.1</v>
      </c>
      <c r="F837" s="49">
        <v>0.25</v>
      </c>
      <c r="G837" s="570"/>
    </row>
    <row r="838" spans="1:7">
      <c r="A838" s="368"/>
      <c r="B838" s="411">
        <v>6</v>
      </c>
      <c r="C838" s="566" t="s">
        <v>1546</v>
      </c>
      <c r="D838" s="554"/>
      <c r="E838" s="49">
        <v>0.1</v>
      </c>
      <c r="F838" s="49">
        <v>0.25</v>
      </c>
      <c r="G838" s="570"/>
    </row>
    <row r="839" spans="1:7">
      <c r="A839" s="368"/>
      <c r="B839" s="411">
        <v>7</v>
      </c>
      <c r="C839" s="566"/>
      <c r="D839" s="554"/>
      <c r="E839" s="49"/>
      <c r="F839" s="49"/>
      <c r="G839" s="570"/>
    </row>
    <row r="840" spans="1:7">
      <c r="A840" s="368"/>
      <c r="B840" s="411">
        <v>8</v>
      </c>
      <c r="C840" s="566"/>
      <c r="D840" s="554"/>
      <c r="E840" s="49"/>
      <c r="F840" s="49"/>
      <c r="G840" s="570"/>
    </row>
    <row r="841" spans="1:7">
      <c r="A841" s="368"/>
      <c r="B841" s="411">
        <v>9</v>
      </c>
      <c r="C841" s="566"/>
      <c r="D841" s="554"/>
      <c r="E841" s="49"/>
      <c r="F841" s="49"/>
      <c r="G841" s="570"/>
    </row>
    <row r="842" spans="1:7">
      <c r="A842" s="368"/>
      <c r="B842" s="411">
        <v>10</v>
      </c>
      <c r="C842" s="566"/>
      <c r="D842" s="554"/>
      <c r="E842" s="49"/>
      <c r="F842" s="49"/>
      <c r="G842" s="570"/>
    </row>
    <row r="843" spans="1:7">
      <c r="A843" s="368"/>
      <c r="B843" s="411">
        <v>11</v>
      </c>
      <c r="C843" s="566"/>
      <c r="D843" s="554"/>
      <c r="E843" s="49"/>
      <c r="F843" s="49"/>
      <c r="G843" s="570"/>
    </row>
    <row r="844" spans="1:7">
      <c r="A844" s="368"/>
      <c r="B844" s="411">
        <v>12</v>
      </c>
      <c r="C844" s="566"/>
      <c r="D844" s="554"/>
      <c r="E844" s="49"/>
      <c r="F844" s="49"/>
      <c r="G844" s="570"/>
    </row>
    <row r="845" spans="1:7">
      <c r="A845" s="368"/>
      <c r="B845" s="411">
        <v>13</v>
      </c>
      <c r="C845" s="566"/>
      <c r="D845" s="554"/>
      <c r="E845" s="49"/>
      <c r="F845" s="49"/>
      <c r="G845" s="570"/>
    </row>
    <row r="846" spans="1:7">
      <c r="A846" s="368"/>
      <c r="B846" s="411">
        <v>14</v>
      </c>
      <c r="C846" s="566"/>
      <c r="D846" s="554"/>
      <c r="E846" s="49"/>
      <c r="F846" s="49"/>
      <c r="G846" s="570"/>
    </row>
    <row r="847" spans="1:7">
      <c r="A847" s="368"/>
      <c r="B847" s="413">
        <v>15</v>
      </c>
      <c r="C847" s="567"/>
      <c r="D847" s="556"/>
      <c r="E847" s="51"/>
      <c r="F847" s="51"/>
      <c r="G847" s="571"/>
    </row>
    <row r="848" spans="1:7">
      <c r="A848" s="368"/>
      <c r="B848" s="390"/>
      <c r="C848" s="390"/>
      <c r="D848" s="390"/>
      <c r="E848" s="390"/>
      <c r="F848" s="390"/>
      <c r="G848" s="390"/>
    </row>
    <row r="849" spans="1:7">
      <c r="A849" s="368"/>
      <c r="B849" s="4"/>
      <c r="C849" s="547" t="s">
        <v>20</v>
      </c>
      <c r="D849" s="568"/>
      <c r="E849" s="290" t="s">
        <v>21</v>
      </c>
      <c r="F849" s="290" t="s">
        <v>22</v>
      </c>
      <c r="G849" s="61" t="s">
        <v>23</v>
      </c>
    </row>
    <row r="850" spans="1:7">
      <c r="A850" s="368"/>
      <c r="B850" s="410" t="s">
        <v>19</v>
      </c>
      <c r="C850" s="549" t="s">
        <v>1557</v>
      </c>
      <c r="D850" s="550"/>
      <c r="E850" s="62">
        <f>SUM(E851:E865)</f>
        <v>3.5500000000000003</v>
      </c>
      <c r="F850" s="62">
        <f>SUM(F851:F865)</f>
        <v>6.15</v>
      </c>
      <c r="G850" s="569" t="s">
        <v>1558</v>
      </c>
    </row>
    <row r="851" spans="1:7">
      <c r="A851" s="368"/>
      <c r="B851" s="411">
        <v>1</v>
      </c>
      <c r="C851" s="566" t="s">
        <v>1553</v>
      </c>
      <c r="D851" s="554"/>
      <c r="E851" s="49">
        <v>0.5</v>
      </c>
      <c r="F851" s="49">
        <v>1.2</v>
      </c>
      <c r="G851" s="570"/>
    </row>
    <row r="852" spans="1:7">
      <c r="A852" s="368"/>
      <c r="B852" s="411">
        <v>2</v>
      </c>
      <c r="C852" s="566" t="s">
        <v>1554</v>
      </c>
      <c r="D852" s="554"/>
      <c r="E852" s="49">
        <v>0.2</v>
      </c>
      <c r="F852" s="49">
        <v>0.5</v>
      </c>
      <c r="G852" s="570"/>
    </row>
    <row r="853" spans="1:7">
      <c r="A853" s="368"/>
      <c r="B853" s="411">
        <v>3</v>
      </c>
      <c r="C853" s="566" t="s">
        <v>1555</v>
      </c>
      <c r="D853" s="554"/>
      <c r="E853" s="49">
        <v>1.5</v>
      </c>
      <c r="F853" s="49">
        <v>2.5</v>
      </c>
      <c r="G853" s="570"/>
    </row>
    <row r="854" spans="1:7">
      <c r="A854" s="368"/>
      <c r="B854" s="412">
        <v>4</v>
      </c>
      <c r="C854" s="566" t="s">
        <v>1556</v>
      </c>
      <c r="D854" s="554"/>
      <c r="E854" s="50">
        <v>0.75</v>
      </c>
      <c r="F854" s="50">
        <v>1</v>
      </c>
      <c r="G854" s="570"/>
    </row>
    <row r="855" spans="1:7">
      <c r="A855" s="368"/>
      <c r="B855" s="411">
        <v>5</v>
      </c>
      <c r="C855" s="566" t="s">
        <v>1545</v>
      </c>
      <c r="D855" s="554"/>
      <c r="E855" s="49">
        <v>0.5</v>
      </c>
      <c r="F855" s="49">
        <v>0.75</v>
      </c>
      <c r="G855" s="570"/>
    </row>
    <row r="856" spans="1:7">
      <c r="A856" s="368"/>
      <c r="B856" s="411">
        <v>6</v>
      </c>
      <c r="C856" s="566" t="s">
        <v>1546</v>
      </c>
      <c r="D856" s="554"/>
      <c r="E856" s="49">
        <v>0.1</v>
      </c>
      <c r="F856" s="49">
        <v>0.2</v>
      </c>
      <c r="G856" s="570"/>
    </row>
    <row r="857" spans="1:7">
      <c r="A857" s="368"/>
      <c r="B857" s="411">
        <v>7</v>
      </c>
      <c r="C857" s="566"/>
      <c r="D857" s="554"/>
      <c r="E857" s="49"/>
      <c r="F857" s="49"/>
      <c r="G857" s="570"/>
    </row>
    <row r="858" spans="1:7">
      <c r="A858" s="368"/>
      <c r="B858" s="411">
        <v>8</v>
      </c>
      <c r="C858" s="566"/>
      <c r="D858" s="554"/>
      <c r="E858" s="49"/>
      <c r="F858" s="49"/>
      <c r="G858" s="570"/>
    </row>
    <row r="859" spans="1:7">
      <c r="A859" s="368"/>
      <c r="B859" s="411">
        <v>9</v>
      </c>
      <c r="C859" s="566"/>
      <c r="D859" s="554"/>
      <c r="E859" s="49"/>
      <c r="F859" s="49"/>
      <c r="G859" s="570"/>
    </row>
    <row r="860" spans="1:7">
      <c r="A860" s="368"/>
      <c r="B860" s="411">
        <v>10</v>
      </c>
      <c r="C860" s="566"/>
      <c r="D860" s="554"/>
      <c r="E860" s="49"/>
      <c r="F860" s="49"/>
      <c r="G860" s="570"/>
    </row>
    <row r="861" spans="1:7">
      <c r="A861" s="368"/>
      <c r="B861" s="411">
        <v>11</v>
      </c>
      <c r="C861" s="566"/>
      <c r="D861" s="554"/>
      <c r="E861" s="49"/>
      <c r="F861" s="49"/>
      <c r="G861" s="570"/>
    </row>
    <row r="862" spans="1:7">
      <c r="A862" s="368"/>
      <c r="B862" s="411">
        <v>12</v>
      </c>
      <c r="C862" s="566"/>
      <c r="D862" s="554"/>
      <c r="E862" s="49"/>
      <c r="F862" s="49"/>
      <c r="G862" s="570"/>
    </row>
    <row r="863" spans="1:7">
      <c r="A863" s="368"/>
      <c r="B863" s="411">
        <v>13</v>
      </c>
      <c r="C863" s="566"/>
      <c r="D863" s="554"/>
      <c r="E863" s="49"/>
      <c r="F863" s="49"/>
      <c r="G863" s="570"/>
    </row>
    <row r="864" spans="1:7">
      <c r="A864" s="368"/>
      <c r="B864" s="411">
        <v>14</v>
      </c>
      <c r="C864" s="566"/>
      <c r="D864" s="554"/>
      <c r="E864" s="49"/>
      <c r="F864" s="49"/>
      <c r="G864" s="570"/>
    </row>
    <row r="865" spans="1:7">
      <c r="A865" s="368"/>
      <c r="B865" s="413">
        <v>15</v>
      </c>
      <c r="C865" s="567"/>
      <c r="D865" s="556"/>
      <c r="E865" s="51"/>
      <c r="F865" s="51"/>
      <c r="G865" s="571"/>
    </row>
    <row r="866" spans="1:7">
      <c r="A866" s="368"/>
      <c r="B866" s="390"/>
      <c r="C866" s="390"/>
      <c r="D866" s="390"/>
      <c r="E866" s="390"/>
      <c r="F866" s="390"/>
      <c r="G866" s="390"/>
    </row>
    <row r="867" spans="1:7">
      <c r="A867" s="368"/>
      <c r="B867" s="4"/>
      <c r="C867" s="547" t="s">
        <v>20</v>
      </c>
      <c r="D867" s="568"/>
      <c r="E867" s="290" t="s">
        <v>21</v>
      </c>
      <c r="F867" s="290" t="s">
        <v>22</v>
      </c>
      <c r="G867" s="61" t="s">
        <v>23</v>
      </c>
    </row>
    <row r="868" spans="1:7">
      <c r="A868" s="368"/>
      <c r="B868" s="410" t="s">
        <v>19</v>
      </c>
      <c r="C868" s="549" t="s">
        <v>1559</v>
      </c>
      <c r="D868" s="550"/>
      <c r="E868" s="62">
        <f>SUM(E869:E883)</f>
        <v>6.25</v>
      </c>
      <c r="F868" s="62">
        <f>SUM(F869:F883)</f>
        <v>11.5</v>
      </c>
      <c r="G868" s="569" t="s">
        <v>1560</v>
      </c>
    </row>
    <row r="869" spans="1:7">
      <c r="A869" s="368"/>
      <c r="B869" s="411">
        <v>1</v>
      </c>
      <c r="C869" s="566" t="s">
        <v>1553</v>
      </c>
      <c r="D869" s="554"/>
      <c r="E869" s="49">
        <v>0.75</v>
      </c>
      <c r="F869" s="49">
        <v>1.5</v>
      </c>
      <c r="G869" s="570"/>
    </row>
    <row r="870" spans="1:7">
      <c r="A870" s="368"/>
      <c r="B870" s="411">
        <v>2</v>
      </c>
      <c r="C870" s="566" t="s">
        <v>1554</v>
      </c>
      <c r="D870" s="554"/>
      <c r="E870" s="49">
        <v>0.75</v>
      </c>
      <c r="F870" s="49">
        <v>1.5</v>
      </c>
      <c r="G870" s="570"/>
    </row>
    <row r="871" spans="1:7">
      <c r="A871" s="368"/>
      <c r="B871" s="411">
        <v>3</v>
      </c>
      <c r="C871" s="566" t="s">
        <v>1555</v>
      </c>
      <c r="D871" s="554"/>
      <c r="E871" s="49">
        <v>2.5</v>
      </c>
      <c r="F871" s="49">
        <v>4</v>
      </c>
      <c r="G871" s="570"/>
    </row>
    <row r="872" spans="1:7">
      <c r="A872" s="368"/>
      <c r="B872" s="412">
        <v>4</v>
      </c>
      <c r="C872" s="566" t="s">
        <v>1556</v>
      </c>
      <c r="D872" s="554"/>
      <c r="E872" s="50">
        <v>1</v>
      </c>
      <c r="F872" s="50">
        <v>2</v>
      </c>
      <c r="G872" s="570"/>
    </row>
    <row r="873" spans="1:7">
      <c r="A873" s="368"/>
      <c r="B873" s="411">
        <v>5</v>
      </c>
      <c r="C873" s="566" t="s">
        <v>1520</v>
      </c>
      <c r="D873" s="554"/>
      <c r="E873" s="49">
        <v>0.75</v>
      </c>
      <c r="F873" s="49">
        <v>1.5</v>
      </c>
      <c r="G873" s="570"/>
    </row>
    <row r="874" spans="1:7">
      <c r="A874" s="368"/>
      <c r="B874" s="411">
        <v>6</v>
      </c>
      <c r="C874" s="566" t="s">
        <v>1546</v>
      </c>
      <c r="D874" s="554"/>
      <c r="E874" s="49">
        <v>0.5</v>
      </c>
      <c r="F874" s="49">
        <v>1</v>
      </c>
      <c r="G874" s="570"/>
    </row>
    <row r="875" spans="1:7">
      <c r="A875" s="368"/>
      <c r="B875" s="411">
        <v>7</v>
      </c>
      <c r="C875" s="566"/>
      <c r="D875" s="554"/>
      <c r="E875" s="49"/>
      <c r="F875" s="49"/>
      <c r="G875" s="570"/>
    </row>
    <row r="876" spans="1:7">
      <c r="A876" s="368"/>
      <c r="B876" s="411">
        <v>8</v>
      </c>
      <c r="C876" s="566"/>
      <c r="D876" s="554"/>
      <c r="E876" s="49"/>
      <c r="F876" s="49"/>
      <c r="G876" s="570"/>
    </row>
    <row r="877" spans="1:7">
      <c r="A877" s="368"/>
      <c r="B877" s="411">
        <v>9</v>
      </c>
      <c r="C877" s="566"/>
      <c r="D877" s="554"/>
      <c r="E877" s="49"/>
      <c r="F877" s="49"/>
      <c r="G877" s="570"/>
    </row>
    <row r="878" spans="1:7">
      <c r="A878" s="368"/>
      <c r="B878" s="411">
        <v>10</v>
      </c>
      <c r="C878" s="566"/>
      <c r="D878" s="554"/>
      <c r="E878" s="49"/>
      <c r="F878" s="49"/>
      <c r="G878" s="570"/>
    </row>
    <row r="879" spans="1:7">
      <c r="A879" s="368"/>
      <c r="B879" s="411">
        <v>11</v>
      </c>
      <c r="C879" s="566"/>
      <c r="D879" s="554"/>
      <c r="E879" s="49"/>
      <c r="F879" s="49"/>
      <c r="G879" s="570"/>
    </row>
    <row r="880" spans="1:7">
      <c r="A880" s="368"/>
      <c r="B880" s="411">
        <v>12</v>
      </c>
      <c r="C880" s="566"/>
      <c r="D880" s="554"/>
      <c r="E880" s="49"/>
      <c r="F880" s="49"/>
      <c r="G880" s="570"/>
    </row>
    <row r="881" spans="1:7">
      <c r="A881" s="368"/>
      <c r="B881" s="411">
        <v>13</v>
      </c>
      <c r="C881" s="566"/>
      <c r="D881" s="554"/>
      <c r="E881" s="49"/>
      <c r="F881" s="49"/>
      <c r="G881" s="570"/>
    </row>
    <row r="882" spans="1:7">
      <c r="A882" s="368"/>
      <c r="B882" s="411">
        <v>14</v>
      </c>
      <c r="C882" s="566"/>
      <c r="D882" s="554"/>
      <c r="E882" s="49"/>
      <c r="F882" s="49"/>
      <c r="G882" s="570"/>
    </row>
    <row r="883" spans="1:7">
      <c r="A883" s="368"/>
      <c r="B883" s="413">
        <v>15</v>
      </c>
      <c r="C883" s="567"/>
      <c r="D883" s="556"/>
      <c r="E883" s="51"/>
      <c r="F883" s="51"/>
      <c r="G883" s="571"/>
    </row>
    <row r="884" spans="1:7">
      <c r="A884" s="368"/>
      <c r="B884" s="390"/>
      <c r="C884" s="390"/>
      <c r="D884" s="390"/>
      <c r="E884" s="390"/>
      <c r="F884" s="390"/>
      <c r="G884" s="390"/>
    </row>
    <row r="885" spans="1:7">
      <c r="A885" s="368"/>
      <c r="B885" s="4"/>
      <c r="C885" s="547" t="s">
        <v>20</v>
      </c>
      <c r="D885" s="568"/>
      <c r="E885" s="290" t="s">
        <v>21</v>
      </c>
      <c r="F885" s="290" t="s">
        <v>22</v>
      </c>
      <c r="G885" s="61" t="s">
        <v>23</v>
      </c>
    </row>
    <row r="886" spans="1:7">
      <c r="A886" s="368"/>
      <c r="B886" s="410" t="s">
        <v>19</v>
      </c>
      <c r="C886" s="549" t="s">
        <v>1561</v>
      </c>
      <c r="D886" s="550"/>
      <c r="E886" s="62">
        <f>SUM(E887:E901)</f>
        <v>4.25</v>
      </c>
      <c r="F886" s="62">
        <f>SUM(F887:F901)</f>
        <v>6.5</v>
      </c>
      <c r="G886" s="569" t="s">
        <v>1562</v>
      </c>
    </row>
    <row r="887" spans="1:7">
      <c r="A887" s="368"/>
      <c r="B887" s="411">
        <v>1</v>
      </c>
      <c r="C887" s="566" t="s">
        <v>1563</v>
      </c>
      <c r="D887" s="554"/>
      <c r="E887" s="414">
        <v>0.25</v>
      </c>
      <c r="F887" s="414">
        <v>0.5</v>
      </c>
      <c r="G887" s="570"/>
    </row>
    <row r="888" spans="1:7">
      <c r="A888" s="368"/>
      <c r="B888" s="411">
        <v>2</v>
      </c>
      <c r="C888" s="566" t="s">
        <v>1564</v>
      </c>
      <c r="D888" s="554"/>
      <c r="E888" s="414">
        <v>1</v>
      </c>
      <c r="F888" s="414">
        <v>1.25</v>
      </c>
      <c r="G888" s="570"/>
    </row>
    <row r="889" spans="1:7">
      <c r="A889" s="368"/>
      <c r="B889" s="411">
        <v>3</v>
      </c>
      <c r="C889" s="566" t="s">
        <v>1565</v>
      </c>
      <c r="D889" s="554"/>
      <c r="E889" s="414">
        <v>0.25</v>
      </c>
      <c r="F889" s="414">
        <v>0.5</v>
      </c>
      <c r="G889" s="570"/>
    </row>
    <row r="890" spans="1:7">
      <c r="A890" s="368"/>
      <c r="B890" s="412">
        <v>4</v>
      </c>
      <c r="C890" s="566" t="s">
        <v>1566</v>
      </c>
      <c r="D890" s="554"/>
      <c r="E890" s="414">
        <v>0.25</v>
      </c>
      <c r="F890" s="414">
        <v>0.5</v>
      </c>
      <c r="G890" s="570"/>
    </row>
    <row r="891" spans="1:7">
      <c r="A891" s="368"/>
      <c r="B891" s="411">
        <v>5</v>
      </c>
      <c r="C891" s="566" t="s">
        <v>1567</v>
      </c>
      <c r="D891" s="554"/>
      <c r="E891" s="414">
        <v>0.25</v>
      </c>
      <c r="F891" s="414">
        <v>0.5</v>
      </c>
      <c r="G891" s="570"/>
    </row>
    <row r="892" spans="1:7">
      <c r="A892" s="368"/>
      <c r="B892" s="411">
        <v>6</v>
      </c>
      <c r="C892" s="566" t="s">
        <v>1568</v>
      </c>
      <c r="D892" s="554"/>
      <c r="E892" s="415">
        <v>0.25</v>
      </c>
      <c r="F892" s="415">
        <v>0.5</v>
      </c>
      <c r="G892" s="570"/>
    </row>
    <row r="893" spans="1:7">
      <c r="A893" s="368"/>
      <c r="B893" s="411">
        <v>7</v>
      </c>
      <c r="C893" s="566" t="s">
        <v>1569</v>
      </c>
      <c r="D893" s="554"/>
      <c r="E893" s="415">
        <v>0.5</v>
      </c>
      <c r="F893" s="415">
        <v>0.5</v>
      </c>
      <c r="G893" s="570"/>
    </row>
    <row r="894" spans="1:7">
      <c r="A894" s="368"/>
      <c r="B894" s="411">
        <v>8</v>
      </c>
      <c r="C894" s="566" t="s">
        <v>1570</v>
      </c>
      <c r="D894" s="554"/>
      <c r="E894" s="415">
        <v>0.25</v>
      </c>
      <c r="F894" s="415">
        <v>0.5</v>
      </c>
      <c r="G894" s="570"/>
    </row>
    <row r="895" spans="1:7">
      <c r="A895" s="368"/>
      <c r="B895" s="411">
        <v>9</v>
      </c>
      <c r="C895" s="566" t="s">
        <v>1571</v>
      </c>
      <c r="D895" s="554"/>
      <c r="E895" s="415">
        <v>0.25</v>
      </c>
      <c r="F895" s="415">
        <v>0.25</v>
      </c>
      <c r="G895" s="570"/>
    </row>
    <row r="896" spans="1:7">
      <c r="A896" s="368"/>
      <c r="B896" s="411">
        <v>10</v>
      </c>
      <c r="C896" s="566" t="s">
        <v>1572</v>
      </c>
      <c r="D896" s="554"/>
      <c r="E896" s="415">
        <v>0.75</v>
      </c>
      <c r="F896" s="415">
        <v>1</v>
      </c>
      <c r="G896" s="570"/>
    </row>
    <row r="897" spans="1:7">
      <c r="A897" s="368"/>
      <c r="B897" s="411">
        <v>11</v>
      </c>
      <c r="C897" s="566" t="s">
        <v>1573</v>
      </c>
      <c r="D897" s="554"/>
      <c r="E897" s="415">
        <v>0.25</v>
      </c>
      <c r="F897" s="415">
        <v>0.5</v>
      </c>
      <c r="G897" s="570"/>
    </row>
    <row r="898" spans="1:7">
      <c r="A898" s="368"/>
      <c r="B898" s="411">
        <v>12</v>
      </c>
      <c r="C898" s="566"/>
      <c r="D898" s="554"/>
      <c r="E898" s="49"/>
      <c r="F898" s="49"/>
      <c r="G898" s="570"/>
    </row>
    <row r="899" spans="1:7">
      <c r="A899" s="368"/>
      <c r="B899" s="411">
        <v>13</v>
      </c>
      <c r="C899" s="566"/>
      <c r="D899" s="554"/>
      <c r="E899" s="49"/>
      <c r="F899" s="49"/>
      <c r="G899" s="570"/>
    </row>
    <row r="900" spans="1:7">
      <c r="A900" s="368"/>
      <c r="B900" s="411">
        <v>14</v>
      </c>
      <c r="C900" s="566"/>
      <c r="D900" s="554"/>
      <c r="E900" s="49"/>
      <c r="F900" s="49"/>
      <c r="G900" s="570"/>
    </row>
    <row r="901" spans="1:7">
      <c r="A901" s="368"/>
      <c r="B901" s="413">
        <v>15</v>
      </c>
      <c r="C901" s="567"/>
      <c r="D901" s="556"/>
      <c r="E901" s="51"/>
      <c r="F901" s="51"/>
      <c r="G901" s="571"/>
    </row>
    <row r="902" spans="1:7">
      <c r="A902" s="368"/>
      <c r="B902" s="390"/>
      <c r="C902" s="390"/>
      <c r="D902" s="390"/>
      <c r="E902" s="390"/>
      <c r="F902" s="390"/>
      <c r="G902" s="390"/>
    </row>
    <row r="903" spans="1:7">
      <c r="A903" s="368"/>
      <c r="B903" s="4"/>
      <c r="C903" s="547" t="s">
        <v>20</v>
      </c>
      <c r="D903" s="568"/>
      <c r="E903" s="290" t="s">
        <v>21</v>
      </c>
      <c r="F903" s="290" t="s">
        <v>22</v>
      </c>
      <c r="G903" s="61" t="s">
        <v>23</v>
      </c>
    </row>
    <row r="904" spans="1:7">
      <c r="A904" s="368"/>
      <c r="B904" s="410" t="s">
        <v>19</v>
      </c>
      <c r="C904" s="549" t="s">
        <v>1574</v>
      </c>
      <c r="D904" s="550"/>
      <c r="E904" s="62">
        <f>SUM(E905:E919)</f>
        <v>5</v>
      </c>
      <c r="F904" s="62">
        <f>SUM(F905:F919)</f>
        <v>7.75</v>
      </c>
      <c r="G904" s="569" t="s">
        <v>1575</v>
      </c>
    </row>
    <row r="905" spans="1:7">
      <c r="A905" s="368"/>
      <c r="B905" s="411">
        <v>1</v>
      </c>
      <c r="C905" s="566" t="s">
        <v>1576</v>
      </c>
      <c r="D905" s="554"/>
      <c r="E905" s="49">
        <v>0.2</v>
      </c>
      <c r="F905" s="49">
        <v>0.5</v>
      </c>
      <c r="G905" s="570"/>
    </row>
    <row r="906" spans="1:7">
      <c r="A906" s="368"/>
      <c r="B906" s="411">
        <v>2</v>
      </c>
      <c r="C906" s="566" t="s">
        <v>1577</v>
      </c>
      <c r="D906" s="554"/>
      <c r="E906" s="49">
        <v>1.5</v>
      </c>
      <c r="F906" s="49">
        <v>2</v>
      </c>
      <c r="G906" s="570"/>
    </row>
    <row r="907" spans="1:7">
      <c r="A907" s="368"/>
      <c r="B907" s="411">
        <v>3</v>
      </c>
      <c r="C907" s="566" t="s">
        <v>1578</v>
      </c>
      <c r="D907" s="554"/>
      <c r="E907" s="49">
        <v>1</v>
      </c>
      <c r="F907" s="49">
        <v>1.5</v>
      </c>
      <c r="G907" s="570"/>
    </row>
    <row r="908" spans="1:7">
      <c r="A908" s="368"/>
      <c r="B908" s="412">
        <v>4</v>
      </c>
      <c r="C908" s="566" t="s">
        <v>1579</v>
      </c>
      <c r="D908" s="554"/>
      <c r="E908" s="50">
        <v>0.5</v>
      </c>
      <c r="F908" s="50">
        <v>1</v>
      </c>
      <c r="G908" s="570"/>
    </row>
    <row r="909" spans="1:7">
      <c r="A909" s="368"/>
      <c r="B909" s="411">
        <v>5</v>
      </c>
      <c r="C909" s="566" t="s">
        <v>1580</v>
      </c>
      <c r="D909" s="554"/>
      <c r="E909" s="49">
        <v>0.5</v>
      </c>
      <c r="F909" s="49">
        <v>0.75</v>
      </c>
      <c r="G909" s="570"/>
    </row>
    <row r="910" spans="1:7">
      <c r="A910" s="368"/>
      <c r="B910" s="411">
        <v>6</v>
      </c>
      <c r="C910" s="566" t="s">
        <v>1581</v>
      </c>
      <c r="D910" s="554"/>
      <c r="E910" s="49">
        <v>1</v>
      </c>
      <c r="F910" s="49">
        <v>1.5</v>
      </c>
      <c r="G910" s="570"/>
    </row>
    <row r="911" spans="1:7">
      <c r="A911" s="368"/>
      <c r="B911" s="411">
        <v>7</v>
      </c>
      <c r="C911" s="566" t="s">
        <v>1582</v>
      </c>
      <c r="D911" s="554"/>
      <c r="E911" s="49">
        <v>0.3</v>
      </c>
      <c r="F911" s="49">
        <v>0.5</v>
      </c>
      <c r="G911" s="570"/>
    </row>
    <row r="912" spans="1:7">
      <c r="A912" s="368"/>
      <c r="B912" s="411">
        <v>8</v>
      </c>
      <c r="C912" s="566"/>
      <c r="D912" s="554"/>
      <c r="E912" s="49"/>
      <c r="F912" s="49"/>
      <c r="G912" s="570"/>
    </row>
    <row r="913" spans="1:7">
      <c r="A913" s="368"/>
      <c r="B913" s="411">
        <v>9</v>
      </c>
      <c r="C913" s="566"/>
      <c r="D913" s="554"/>
      <c r="E913" s="49"/>
      <c r="F913" s="49"/>
      <c r="G913" s="570"/>
    </row>
    <row r="914" spans="1:7">
      <c r="A914" s="368"/>
      <c r="B914" s="411">
        <v>10</v>
      </c>
      <c r="C914" s="566"/>
      <c r="D914" s="554"/>
      <c r="E914" s="49"/>
      <c r="F914" s="49"/>
      <c r="G914" s="570"/>
    </row>
    <row r="915" spans="1:7">
      <c r="A915" s="368"/>
      <c r="B915" s="411">
        <v>11</v>
      </c>
      <c r="C915" s="566"/>
      <c r="D915" s="554"/>
      <c r="E915" s="49"/>
      <c r="F915" s="49"/>
      <c r="G915" s="570"/>
    </row>
    <row r="916" spans="1:7">
      <c r="A916" s="368"/>
      <c r="B916" s="411">
        <v>12</v>
      </c>
      <c r="C916" s="566"/>
      <c r="D916" s="554"/>
      <c r="E916" s="49"/>
      <c r="F916" s="49"/>
      <c r="G916" s="570"/>
    </row>
    <row r="917" spans="1:7">
      <c r="A917" s="368"/>
      <c r="B917" s="411">
        <v>13</v>
      </c>
      <c r="C917" s="566"/>
      <c r="D917" s="554"/>
      <c r="E917" s="49"/>
      <c r="F917" s="49"/>
      <c r="G917" s="570"/>
    </row>
    <row r="918" spans="1:7">
      <c r="A918" s="368"/>
      <c r="B918" s="411">
        <v>14</v>
      </c>
      <c r="C918" s="566"/>
      <c r="D918" s="554"/>
      <c r="E918" s="49"/>
      <c r="F918" s="49"/>
      <c r="G918" s="570"/>
    </row>
    <row r="919" spans="1:7">
      <c r="A919" s="368"/>
      <c r="B919" s="413">
        <v>15</v>
      </c>
      <c r="C919" s="567"/>
      <c r="D919" s="556"/>
      <c r="E919" s="51"/>
      <c r="F919" s="51"/>
      <c r="G919" s="571"/>
    </row>
    <row r="920" spans="1:7">
      <c r="A920" s="368"/>
      <c r="B920" s="390"/>
      <c r="C920" s="390"/>
      <c r="D920" s="390"/>
      <c r="E920" s="390"/>
      <c r="F920" s="390"/>
      <c r="G920" s="390"/>
    </row>
    <row r="921" spans="1:7">
      <c r="A921" s="368"/>
      <c r="B921" s="4"/>
      <c r="C921" s="547" t="s">
        <v>20</v>
      </c>
      <c r="D921" s="568"/>
      <c r="E921" s="290" t="s">
        <v>21</v>
      </c>
      <c r="F921" s="290" t="s">
        <v>22</v>
      </c>
      <c r="G921" s="61" t="s">
        <v>23</v>
      </c>
    </row>
    <row r="922" spans="1:7">
      <c r="A922" s="368"/>
      <c r="B922" s="410" t="s">
        <v>19</v>
      </c>
      <c r="C922" s="549" t="s">
        <v>1583</v>
      </c>
      <c r="D922" s="550"/>
      <c r="E922" s="62">
        <f>SUM(E923:E937)</f>
        <v>2.0499999999999998</v>
      </c>
      <c r="F922" s="62">
        <f>SUM(F923:F937)</f>
        <v>3.15</v>
      </c>
      <c r="G922" s="569" t="s">
        <v>1584</v>
      </c>
    </row>
    <row r="923" spans="1:7">
      <c r="A923" s="368"/>
      <c r="B923" s="411">
        <v>1</v>
      </c>
      <c r="C923" s="566" t="s">
        <v>1585</v>
      </c>
      <c r="D923" s="554"/>
      <c r="E923" s="49">
        <v>1.25</v>
      </c>
      <c r="F923" s="49">
        <v>1.75</v>
      </c>
      <c r="G923" s="570"/>
    </row>
    <row r="924" spans="1:7">
      <c r="A924" s="368"/>
      <c r="B924" s="411">
        <v>2</v>
      </c>
      <c r="C924" s="566" t="s">
        <v>1520</v>
      </c>
      <c r="D924" s="554"/>
      <c r="E924" s="49">
        <v>0.25</v>
      </c>
      <c r="F924" s="49">
        <v>0.5</v>
      </c>
      <c r="G924" s="570"/>
    </row>
    <row r="925" spans="1:7">
      <c r="A925" s="368"/>
      <c r="B925" s="411">
        <v>3</v>
      </c>
      <c r="C925" s="566" t="s">
        <v>1544</v>
      </c>
      <c r="D925" s="554"/>
      <c r="E925" s="49">
        <v>0.25</v>
      </c>
      <c r="F925" s="49">
        <v>0.5</v>
      </c>
      <c r="G925" s="570"/>
    </row>
    <row r="926" spans="1:7">
      <c r="A926" s="368"/>
      <c r="B926" s="412">
        <v>4</v>
      </c>
      <c r="C926" s="566" t="s">
        <v>1586</v>
      </c>
      <c r="D926" s="554"/>
      <c r="E926" s="50">
        <v>0</v>
      </c>
      <c r="F926" s="50">
        <v>0</v>
      </c>
      <c r="G926" s="570"/>
    </row>
    <row r="927" spans="1:7">
      <c r="A927" s="368"/>
      <c r="B927" s="411">
        <v>5</v>
      </c>
      <c r="C927" s="566" t="s">
        <v>1587</v>
      </c>
      <c r="D927" s="554"/>
      <c r="E927" s="49">
        <v>0</v>
      </c>
      <c r="F927" s="49">
        <v>0</v>
      </c>
      <c r="G927" s="570"/>
    </row>
    <row r="928" spans="1:7">
      <c r="A928" s="368"/>
      <c r="B928" s="411">
        <v>6</v>
      </c>
      <c r="C928" s="566" t="s">
        <v>1588</v>
      </c>
      <c r="D928" s="554"/>
      <c r="E928" s="49">
        <v>0.25</v>
      </c>
      <c r="F928" s="49">
        <v>0.3</v>
      </c>
      <c r="G928" s="570"/>
    </row>
    <row r="929" spans="1:7">
      <c r="A929" s="368"/>
      <c r="B929" s="411">
        <v>7</v>
      </c>
      <c r="C929" s="566" t="s">
        <v>1589</v>
      </c>
      <c r="D929" s="554"/>
      <c r="E929" s="49">
        <v>0.05</v>
      </c>
      <c r="F929" s="49">
        <v>0.1</v>
      </c>
      <c r="G929" s="570"/>
    </row>
    <row r="930" spans="1:7">
      <c r="A930" s="368"/>
      <c r="B930" s="411">
        <v>8</v>
      </c>
      <c r="C930" s="566"/>
      <c r="D930" s="554"/>
      <c r="E930" s="49"/>
      <c r="F930" s="49"/>
      <c r="G930" s="570"/>
    </row>
    <row r="931" spans="1:7">
      <c r="A931" s="368"/>
      <c r="B931" s="411">
        <v>9</v>
      </c>
      <c r="C931" s="566"/>
      <c r="D931" s="554"/>
      <c r="E931" s="49"/>
      <c r="F931" s="49"/>
      <c r="G931" s="570"/>
    </row>
    <row r="932" spans="1:7">
      <c r="A932" s="368"/>
      <c r="B932" s="411">
        <v>10</v>
      </c>
      <c r="C932" s="566"/>
      <c r="D932" s="554"/>
      <c r="E932" s="49"/>
      <c r="F932" s="49"/>
      <c r="G932" s="570"/>
    </row>
    <row r="933" spans="1:7">
      <c r="A933" s="368"/>
      <c r="B933" s="411">
        <v>11</v>
      </c>
      <c r="C933" s="566"/>
      <c r="D933" s="554"/>
      <c r="E933" s="49"/>
      <c r="F933" s="49"/>
      <c r="G933" s="570"/>
    </row>
    <row r="934" spans="1:7">
      <c r="A934" s="368"/>
      <c r="B934" s="411">
        <v>12</v>
      </c>
      <c r="C934" s="566"/>
      <c r="D934" s="554"/>
      <c r="E934" s="49"/>
      <c r="F934" s="49"/>
      <c r="G934" s="570"/>
    </row>
    <row r="935" spans="1:7">
      <c r="A935" s="368"/>
      <c r="B935" s="411">
        <v>13</v>
      </c>
      <c r="C935" s="566"/>
      <c r="D935" s="554"/>
      <c r="E935" s="49"/>
      <c r="F935" s="49"/>
      <c r="G935" s="570"/>
    </row>
    <row r="936" spans="1:7">
      <c r="A936" s="368"/>
      <c r="B936" s="411">
        <v>14</v>
      </c>
      <c r="C936" s="566"/>
      <c r="D936" s="554"/>
      <c r="E936" s="49"/>
      <c r="F936" s="49"/>
      <c r="G936" s="570"/>
    </row>
    <row r="937" spans="1:7">
      <c r="A937" s="368"/>
      <c r="B937" s="413">
        <v>15</v>
      </c>
      <c r="C937" s="567"/>
      <c r="D937" s="556"/>
      <c r="E937" s="51"/>
      <c r="F937" s="51"/>
      <c r="G937" s="571"/>
    </row>
    <row r="938" spans="1:7">
      <c r="A938" s="368"/>
      <c r="B938" s="390"/>
      <c r="C938" s="390"/>
      <c r="D938" s="390"/>
      <c r="E938" s="390"/>
      <c r="F938" s="390"/>
      <c r="G938" s="390"/>
    </row>
    <row r="939" spans="1:7">
      <c r="A939" s="368"/>
      <c r="B939" s="4"/>
      <c r="C939" s="547" t="s">
        <v>20</v>
      </c>
      <c r="D939" s="568"/>
      <c r="E939" s="290" t="s">
        <v>21</v>
      </c>
      <c r="F939" s="290" t="s">
        <v>22</v>
      </c>
      <c r="G939" s="61" t="s">
        <v>23</v>
      </c>
    </row>
    <row r="940" spans="1:7">
      <c r="A940" s="368"/>
      <c r="B940" s="410" t="s">
        <v>19</v>
      </c>
      <c r="C940" s="549" t="s">
        <v>1590</v>
      </c>
      <c r="D940" s="550"/>
      <c r="E940" s="62">
        <f>SUM(E941:E955)</f>
        <v>3.6499999999999995</v>
      </c>
      <c r="F940" s="62">
        <f>SUM(F941:F955)</f>
        <v>5.4999999999999991</v>
      </c>
      <c r="G940" s="569" t="s">
        <v>1591</v>
      </c>
    </row>
    <row r="941" spans="1:7">
      <c r="A941" s="368"/>
      <c r="B941" s="411">
        <v>1</v>
      </c>
      <c r="C941" s="566" t="s">
        <v>1585</v>
      </c>
      <c r="D941" s="554"/>
      <c r="E941" s="49">
        <v>1.5</v>
      </c>
      <c r="F941" s="49">
        <v>2</v>
      </c>
      <c r="G941" s="570"/>
    </row>
    <row r="942" spans="1:7">
      <c r="A942" s="368"/>
      <c r="B942" s="411">
        <v>2</v>
      </c>
      <c r="C942" s="566" t="s">
        <v>1592</v>
      </c>
      <c r="D942" s="554"/>
      <c r="E942" s="49">
        <v>1.25</v>
      </c>
      <c r="F942" s="49">
        <v>2</v>
      </c>
      <c r="G942" s="570"/>
    </row>
    <row r="943" spans="1:7">
      <c r="A943" s="368"/>
      <c r="B943" s="411">
        <v>3</v>
      </c>
      <c r="C943" s="566" t="s">
        <v>1520</v>
      </c>
      <c r="D943" s="554"/>
      <c r="E943" s="49">
        <v>0.25</v>
      </c>
      <c r="F943" s="49">
        <v>0.5</v>
      </c>
      <c r="G943" s="570"/>
    </row>
    <row r="944" spans="1:7">
      <c r="A944" s="368"/>
      <c r="B944" s="412">
        <v>4</v>
      </c>
      <c r="C944" s="566" t="s">
        <v>1544</v>
      </c>
      <c r="D944" s="554"/>
      <c r="E944" s="50">
        <v>0.25</v>
      </c>
      <c r="F944" s="50">
        <v>0.5</v>
      </c>
      <c r="G944" s="570"/>
    </row>
    <row r="945" spans="1:7">
      <c r="A945" s="368"/>
      <c r="B945" s="411">
        <v>5</v>
      </c>
      <c r="C945" s="566" t="s">
        <v>1586</v>
      </c>
      <c r="D945" s="554"/>
      <c r="E945" s="49">
        <v>0.05</v>
      </c>
      <c r="F945" s="49">
        <v>0.05</v>
      </c>
      <c r="G945" s="570"/>
    </row>
    <row r="946" spans="1:7">
      <c r="A946" s="368"/>
      <c r="B946" s="411">
        <v>6</v>
      </c>
      <c r="C946" s="566" t="s">
        <v>1587</v>
      </c>
      <c r="D946" s="554"/>
      <c r="E946" s="49">
        <v>0.05</v>
      </c>
      <c r="F946" s="49">
        <v>0.05</v>
      </c>
      <c r="G946" s="570"/>
    </row>
    <row r="947" spans="1:7">
      <c r="A947" s="368"/>
      <c r="B947" s="411">
        <v>7</v>
      </c>
      <c r="C947" s="566" t="s">
        <v>1588</v>
      </c>
      <c r="D947" s="554"/>
      <c r="E947" s="49">
        <v>0.25</v>
      </c>
      <c r="F947" s="49">
        <v>0.3</v>
      </c>
      <c r="G947" s="570"/>
    </row>
    <row r="948" spans="1:7">
      <c r="A948" s="368"/>
      <c r="B948" s="411">
        <v>8</v>
      </c>
      <c r="C948" s="566" t="s">
        <v>1589</v>
      </c>
      <c r="D948" s="554"/>
      <c r="E948" s="49">
        <v>0.05</v>
      </c>
      <c r="F948" s="49">
        <v>0.1</v>
      </c>
      <c r="G948" s="570"/>
    </row>
    <row r="949" spans="1:7">
      <c r="A949" s="368"/>
      <c r="B949" s="411">
        <v>9</v>
      </c>
      <c r="C949" s="566"/>
      <c r="D949" s="554"/>
      <c r="E949" s="49"/>
      <c r="F949" s="49"/>
      <c r="G949" s="570"/>
    </row>
    <row r="950" spans="1:7">
      <c r="A950" s="368"/>
      <c r="B950" s="411">
        <v>10</v>
      </c>
      <c r="C950" s="566"/>
      <c r="D950" s="554"/>
      <c r="E950" s="49"/>
      <c r="F950" s="49"/>
      <c r="G950" s="570"/>
    </row>
    <row r="951" spans="1:7">
      <c r="A951" s="368"/>
      <c r="B951" s="411">
        <v>11</v>
      </c>
      <c r="C951" s="566"/>
      <c r="D951" s="554"/>
      <c r="E951" s="49"/>
      <c r="F951" s="49"/>
      <c r="G951" s="570"/>
    </row>
    <row r="952" spans="1:7">
      <c r="A952" s="368"/>
      <c r="B952" s="411">
        <v>12</v>
      </c>
      <c r="C952" s="566"/>
      <c r="D952" s="554"/>
      <c r="E952" s="49"/>
      <c r="F952" s="49"/>
      <c r="G952" s="570"/>
    </row>
    <row r="953" spans="1:7">
      <c r="A953" s="368"/>
      <c r="B953" s="411">
        <v>13</v>
      </c>
      <c r="C953" s="566"/>
      <c r="D953" s="554"/>
      <c r="E953" s="49"/>
      <c r="F953" s="49"/>
      <c r="G953" s="570"/>
    </row>
    <row r="954" spans="1:7">
      <c r="A954" s="368"/>
      <c r="B954" s="411">
        <v>14</v>
      </c>
      <c r="C954" s="566"/>
      <c r="D954" s="554"/>
      <c r="E954" s="49"/>
      <c r="F954" s="49"/>
      <c r="G954" s="570"/>
    </row>
    <row r="955" spans="1:7">
      <c r="A955" s="368"/>
      <c r="B955" s="413">
        <v>15</v>
      </c>
      <c r="C955" s="567"/>
      <c r="D955" s="556"/>
      <c r="E955" s="51"/>
      <c r="F955" s="51"/>
      <c r="G955" s="571"/>
    </row>
    <row r="956" spans="1:7">
      <c r="A956" s="368"/>
      <c r="B956" s="390"/>
      <c r="C956" s="390"/>
      <c r="D956" s="390"/>
      <c r="E956" s="390"/>
      <c r="F956" s="390"/>
      <c r="G956" s="390"/>
    </row>
    <row r="957" spans="1:7">
      <c r="A957" s="368"/>
      <c r="B957" s="4"/>
      <c r="C957" s="547" t="s">
        <v>20</v>
      </c>
      <c r="D957" s="568"/>
      <c r="E957" s="290" t="s">
        <v>21</v>
      </c>
      <c r="F957" s="290" t="s">
        <v>22</v>
      </c>
      <c r="G957" s="61" t="s">
        <v>23</v>
      </c>
    </row>
    <row r="958" spans="1:7">
      <c r="A958" s="368"/>
      <c r="B958" s="410" t="s">
        <v>19</v>
      </c>
      <c r="C958" s="549" t="s">
        <v>1593</v>
      </c>
      <c r="D958" s="550"/>
      <c r="E958" s="62">
        <f>SUM(E959:E973)</f>
        <v>5.3999999999999995</v>
      </c>
      <c r="F958" s="62">
        <f>SUM(F959:F973)</f>
        <v>8.5000000000000018</v>
      </c>
      <c r="G958" s="569" t="s">
        <v>1594</v>
      </c>
    </row>
    <row r="959" spans="1:7">
      <c r="A959" s="368"/>
      <c r="B959" s="411">
        <v>1</v>
      </c>
      <c r="C959" s="566" t="s">
        <v>1585</v>
      </c>
      <c r="D959" s="554"/>
      <c r="E959" s="49">
        <v>2</v>
      </c>
      <c r="F959" s="49">
        <v>3</v>
      </c>
      <c r="G959" s="570"/>
    </row>
    <row r="960" spans="1:7">
      <c r="A960" s="368"/>
      <c r="B960" s="411">
        <v>2</v>
      </c>
      <c r="C960" s="566" t="s">
        <v>1595</v>
      </c>
      <c r="D960" s="554"/>
      <c r="E960" s="49">
        <v>2.5</v>
      </c>
      <c r="F960" s="49">
        <v>3.5</v>
      </c>
      <c r="G960" s="570"/>
    </row>
    <row r="961" spans="1:7">
      <c r="A961" s="368"/>
      <c r="B961" s="411">
        <v>3</v>
      </c>
      <c r="C961" s="566" t="s">
        <v>1520</v>
      </c>
      <c r="D961" s="554"/>
      <c r="E961" s="49">
        <v>0.25</v>
      </c>
      <c r="F961" s="49">
        <v>0.75</v>
      </c>
      <c r="G961" s="570"/>
    </row>
    <row r="962" spans="1:7">
      <c r="A962" s="368"/>
      <c r="B962" s="412">
        <v>4</v>
      </c>
      <c r="C962" s="566" t="s">
        <v>1544</v>
      </c>
      <c r="D962" s="554"/>
      <c r="E962" s="50">
        <v>0.25</v>
      </c>
      <c r="F962" s="50">
        <v>0.75</v>
      </c>
      <c r="G962" s="570"/>
    </row>
    <row r="963" spans="1:7">
      <c r="A963" s="368"/>
      <c r="B963" s="411">
        <v>5</v>
      </c>
      <c r="C963" s="566" t="s">
        <v>1586</v>
      </c>
      <c r="D963" s="554"/>
      <c r="E963" s="49">
        <v>0.05</v>
      </c>
      <c r="F963" s="49">
        <v>0.05</v>
      </c>
      <c r="G963" s="570"/>
    </row>
    <row r="964" spans="1:7">
      <c r="A964" s="368"/>
      <c r="B964" s="411">
        <v>6</v>
      </c>
      <c r="C964" s="566" t="s">
        <v>1587</v>
      </c>
      <c r="D964" s="554"/>
      <c r="E964" s="49">
        <v>0.05</v>
      </c>
      <c r="F964" s="49">
        <v>0.05</v>
      </c>
      <c r="G964" s="570"/>
    </row>
    <row r="965" spans="1:7">
      <c r="A965" s="368"/>
      <c r="B965" s="411">
        <v>7</v>
      </c>
      <c r="C965" s="566" t="s">
        <v>1588</v>
      </c>
      <c r="D965" s="554"/>
      <c r="E965" s="49">
        <v>0.25</v>
      </c>
      <c r="F965" s="49">
        <v>0.3</v>
      </c>
      <c r="G965" s="570"/>
    </row>
    <row r="966" spans="1:7">
      <c r="A966" s="368"/>
      <c r="B966" s="411">
        <v>8</v>
      </c>
      <c r="C966" s="566" t="s">
        <v>1589</v>
      </c>
      <c r="D966" s="554"/>
      <c r="E966" s="49">
        <v>0.05</v>
      </c>
      <c r="F966" s="49">
        <v>0.1</v>
      </c>
      <c r="G966" s="570"/>
    </row>
    <row r="967" spans="1:7">
      <c r="A967" s="368"/>
      <c r="B967" s="411">
        <v>9</v>
      </c>
      <c r="C967" s="566"/>
      <c r="D967" s="554"/>
      <c r="E967" s="49"/>
      <c r="F967" s="49"/>
      <c r="G967" s="570"/>
    </row>
    <row r="968" spans="1:7">
      <c r="A968" s="368"/>
      <c r="B968" s="411">
        <v>10</v>
      </c>
      <c r="C968" s="566"/>
      <c r="D968" s="554"/>
      <c r="E968" s="49"/>
      <c r="F968" s="49"/>
      <c r="G968" s="570"/>
    </row>
    <row r="969" spans="1:7">
      <c r="A969" s="368"/>
      <c r="B969" s="411">
        <v>11</v>
      </c>
      <c r="C969" s="566"/>
      <c r="D969" s="554"/>
      <c r="E969" s="49"/>
      <c r="F969" s="49"/>
      <c r="G969" s="570"/>
    </row>
    <row r="970" spans="1:7">
      <c r="A970" s="368"/>
      <c r="B970" s="411">
        <v>12</v>
      </c>
      <c r="C970" s="566"/>
      <c r="D970" s="554"/>
      <c r="E970" s="49"/>
      <c r="F970" s="49"/>
      <c r="G970" s="570"/>
    </row>
    <row r="971" spans="1:7">
      <c r="A971" s="368"/>
      <c r="B971" s="411">
        <v>13</v>
      </c>
      <c r="C971" s="566"/>
      <c r="D971" s="554"/>
      <c r="E971" s="49"/>
      <c r="F971" s="49"/>
      <c r="G971" s="570"/>
    </row>
    <row r="972" spans="1:7">
      <c r="A972" s="368"/>
      <c r="B972" s="411">
        <v>14</v>
      </c>
      <c r="C972" s="566"/>
      <c r="D972" s="554"/>
      <c r="E972" s="49"/>
      <c r="F972" s="49"/>
      <c r="G972" s="570"/>
    </row>
    <row r="973" spans="1:7">
      <c r="A973" s="368"/>
      <c r="B973" s="413">
        <v>15</v>
      </c>
      <c r="C973" s="567"/>
      <c r="D973" s="556"/>
      <c r="E973" s="51"/>
      <c r="F973" s="51"/>
      <c r="G973" s="571"/>
    </row>
    <row r="974" spans="1:7">
      <c r="A974" s="368"/>
      <c r="B974" s="390"/>
      <c r="C974" s="390"/>
      <c r="D974" s="390"/>
      <c r="E974" s="390"/>
      <c r="F974" s="390"/>
      <c r="G974" s="390"/>
    </row>
    <row r="975" spans="1:7">
      <c r="A975" s="368"/>
      <c r="B975" s="4"/>
      <c r="C975" s="547" t="s">
        <v>20</v>
      </c>
      <c r="D975" s="568"/>
      <c r="E975" s="290" t="s">
        <v>21</v>
      </c>
      <c r="F975" s="290" t="s">
        <v>22</v>
      </c>
      <c r="G975" s="61" t="s">
        <v>23</v>
      </c>
    </row>
    <row r="976" spans="1:7">
      <c r="A976" s="368"/>
      <c r="B976" s="410" t="s">
        <v>19</v>
      </c>
      <c r="C976" s="549" t="s">
        <v>1596</v>
      </c>
      <c r="D976" s="550"/>
      <c r="E976" s="62">
        <f>SUM(E977:E991)</f>
        <v>1.4000000000000001</v>
      </c>
      <c r="F976" s="62">
        <f>SUM(F977:F991)</f>
        <v>2.75</v>
      </c>
      <c r="G976" s="569" t="s">
        <v>1597</v>
      </c>
    </row>
    <row r="977" spans="1:7">
      <c r="A977" s="368"/>
      <c r="B977" s="411">
        <v>1</v>
      </c>
      <c r="C977" s="566" t="s">
        <v>1598</v>
      </c>
      <c r="D977" s="554"/>
      <c r="E977" s="49">
        <v>0.2</v>
      </c>
      <c r="F977" s="49">
        <v>0.25</v>
      </c>
      <c r="G977" s="570"/>
    </row>
    <row r="978" spans="1:7">
      <c r="A978" s="368"/>
      <c r="B978" s="411">
        <v>2</v>
      </c>
      <c r="C978" s="566" t="s">
        <v>1599</v>
      </c>
      <c r="D978" s="554"/>
      <c r="E978" s="49">
        <v>0.2</v>
      </c>
      <c r="F978" s="49">
        <v>0.2</v>
      </c>
      <c r="G978" s="570"/>
    </row>
    <row r="979" spans="1:7">
      <c r="A979" s="368"/>
      <c r="B979" s="411">
        <v>3</v>
      </c>
      <c r="C979" s="566" t="s">
        <v>1600</v>
      </c>
      <c r="D979" s="554"/>
      <c r="E979" s="49">
        <v>0.25</v>
      </c>
      <c r="F979" s="49">
        <v>0.5</v>
      </c>
      <c r="G979" s="570"/>
    </row>
    <row r="980" spans="1:7">
      <c r="A980" s="368"/>
      <c r="B980" s="412">
        <v>4</v>
      </c>
      <c r="C980" s="566" t="s">
        <v>1601</v>
      </c>
      <c r="D980" s="554"/>
      <c r="E980" s="50">
        <v>0.25</v>
      </c>
      <c r="F980" s="50">
        <v>0.5</v>
      </c>
      <c r="G980" s="570"/>
    </row>
    <row r="981" spans="1:7">
      <c r="A981" s="368"/>
      <c r="B981" s="411">
        <v>5</v>
      </c>
      <c r="C981" s="566" t="s">
        <v>1602</v>
      </c>
      <c r="D981" s="554"/>
      <c r="E981" s="49">
        <v>0</v>
      </c>
      <c r="F981" s="49">
        <v>0</v>
      </c>
      <c r="G981" s="570"/>
    </row>
    <row r="982" spans="1:7">
      <c r="A982" s="368"/>
      <c r="B982" s="411">
        <v>6</v>
      </c>
      <c r="C982" s="566" t="s">
        <v>1603</v>
      </c>
      <c r="D982" s="554"/>
      <c r="E982" s="49">
        <v>0</v>
      </c>
      <c r="F982" s="49">
        <v>0</v>
      </c>
      <c r="G982" s="570"/>
    </row>
    <row r="983" spans="1:7">
      <c r="A983" s="368"/>
      <c r="B983" s="411">
        <v>7</v>
      </c>
      <c r="C983" s="566" t="s">
        <v>1604</v>
      </c>
      <c r="D983" s="554"/>
      <c r="E983" s="49">
        <v>0</v>
      </c>
      <c r="F983" s="49">
        <v>0</v>
      </c>
      <c r="G983" s="570"/>
    </row>
    <row r="984" spans="1:7">
      <c r="A984" s="368"/>
      <c r="B984" s="411">
        <v>8</v>
      </c>
      <c r="C984" s="566" t="s">
        <v>1605</v>
      </c>
      <c r="D984" s="554"/>
      <c r="E984" s="49">
        <v>0</v>
      </c>
      <c r="F984" s="49">
        <v>0</v>
      </c>
      <c r="G984" s="570"/>
    </row>
    <row r="985" spans="1:7">
      <c r="A985" s="368"/>
      <c r="B985" s="411">
        <v>9</v>
      </c>
      <c r="C985" s="566" t="s">
        <v>1606</v>
      </c>
      <c r="D985" s="554"/>
      <c r="E985" s="49">
        <v>0.1</v>
      </c>
      <c r="F985" s="49">
        <v>0.2</v>
      </c>
      <c r="G985" s="570"/>
    </row>
    <row r="986" spans="1:7">
      <c r="A986" s="368"/>
      <c r="B986" s="411">
        <v>10</v>
      </c>
      <c r="C986" s="566" t="s">
        <v>1607</v>
      </c>
      <c r="D986" s="554"/>
      <c r="E986" s="49">
        <v>0.1</v>
      </c>
      <c r="F986" s="49">
        <v>0.2</v>
      </c>
      <c r="G986" s="570"/>
    </row>
    <row r="987" spans="1:7">
      <c r="A987" s="368"/>
      <c r="B987" s="411">
        <v>11</v>
      </c>
      <c r="C987" s="566" t="s">
        <v>1544</v>
      </c>
      <c r="D987" s="554"/>
      <c r="E987" s="49">
        <v>0.1</v>
      </c>
      <c r="F987" s="49">
        <v>0.2</v>
      </c>
      <c r="G987" s="570"/>
    </row>
    <row r="988" spans="1:7">
      <c r="A988" s="368"/>
      <c r="B988" s="411">
        <v>12</v>
      </c>
      <c r="C988" s="566" t="s">
        <v>1608</v>
      </c>
      <c r="D988" s="554"/>
      <c r="E988" s="49">
        <v>0.2</v>
      </c>
      <c r="F988" s="49">
        <v>0.7</v>
      </c>
      <c r="G988" s="570"/>
    </row>
    <row r="989" spans="1:7">
      <c r="A989" s="368"/>
      <c r="B989" s="411">
        <v>13</v>
      </c>
      <c r="C989" s="566"/>
      <c r="D989" s="554"/>
      <c r="E989" s="49"/>
      <c r="F989" s="49"/>
      <c r="G989" s="570"/>
    </row>
    <row r="990" spans="1:7">
      <c r="A990" s="368"/>
      <c r="B990" s="411">
        <v>14</v>
      </c>
      <c r="C990" s="566"/>
      <c r="D990" s="554"/>
      <c r="E990" s="49"/>
      <c r="F990" s="49"/>
      <c r="G990" s="570"/>
    </row>
    <row r="991" spans="1:7">
      <c r="A991" s="368"/>
      <c r="B991" s="413">
        <v>15</v>
      </c>
      <c r="C991" s="567"/>
      <c r="D991" s="556"/>
      <c r="E991" s="51"/>
      <c r="F991" s="51"/>
      <c r="G991" s="571"/>
    </row>
    <row r="992" spans="1:7">
      <c r="A992" s="368"/>
      <c r="B992" s="390"/>
      <c r="C992" s="390"/>
      <c r="D992" s="390"/>
      <c r="E992" s="390"/>
      <c r="F992" s="390"/>
      <c r="G992" s="390"/>
    </row>
    <row r="993" spans="1:7">
      <c r="A993" s="368"/>
      <c r="B993" s="4"/>
      <c r="C993" s="547" t="s">
        <v>20</v>
      </c>
      <c r="D993" s="568"/>
      <c r="E993" s="290" t="s">
        <v>21</v>
      </c>
      <c r="F993" s="290" t="s">
        <v>22</v>
      </c>
      <c r="G993" s="61" t="s">
        <v>23</v>
      </c>
    </row>
    <row r="994" spans="1:7">
      <c r="A994" s="368"/>
      <c r="B994" s="410" t="s">
        <v>19</v>
      </c>
      <c r="C994" s="549" t="s">
        <v>1609</v>
      </c>
      <c r="D994" s="550"/>
      <c r="E994" s="62">
        <f>SUM(E995:E1009)</f>
        <v>4.9000000000000004</v>
      </c>
      <c r="F994" s="62">
        <f>SUM(F995:F1009)</f>
        <v>7.8999999999999995</v>
      </c>
      <c r="G994" s="569" t="s">
        <v>1610</v>
      </c>
    </row>
    <row r="995" spans="1:7">
      <c r="A995" s="368"/>
      <c r="B995" s="411">
        <v>1</v>
      </c>
      <c r="C995" s="566" t="s">
        <v>1598</v>
      </c>
      <c r="D995" s="554"/>
      <c r="E995" s="49">
        <v>0.1</v>
      </c>
      <c r="F995" s="49">
        <v>0.2</v>
      </c>
      <c r="G995" s="570"/>
    </row>
    <row r="996" spans="1:7">
      <c r="A996" s="368"/>
      <c r="B996" s="411">
        <v>2</v>
      </c>
      <c r="C996" s="566" t="s">
        <v>1599</v>
      </c>
      <c r="D996" s="554"/>
      <c r="E996" s="49">
        <v>0.2</v>
      </c>
      <c r="F996" s="49">
        <v>0.2</v>
      </c>
      <c r="G996" s="570"/>
    </row>
    <row r="997" spans="1:7">
      <c r="A997" s="368"/>
      <c r="B997" s="411">
        <v>3</v>
      </c>
      <c r="C997" s="566" t="s">
        <v>1600</v>
      </c>
      <c r="D997" s="554"/>
      <c r="E997" s="49">
        <v>0.35</v>
      </c>
      <c r="F997" s="49">
        <v>0.5</v>
      </c>
      <c r="G997" s="570"/>
    </row>
    <row r="998" spans="1:7">
      <c r="A998" s="368"/>
      <c r="B998" s="412">
        <v>4</v>
      </c>
      <c r="C998" s="566" t="s">
        <v>1601</v>
      </c>
      <c r="D998" s="554"/>
      <c r="E998" s="50">
        <v>0.5</v>
      </c>
      <c r="F998" s="50">
        <v>0.7</v>
      </c>
      <c r="G998" s="570"/>
    </row>
    <row r="999" spans="1:7">
      <c r="A999" s="368"/>
      <c r="B999" s="411">
        <v>5</v>
      </c>
      <c r="C999" s="566" t="s">
        <v>1602</v>
      </c>
      <c r="D999" s="554"/>
      <c r="E999" s="49">
        <v>0</v>
      </c>
      <c r="F999" s="49">
        <v>0</v>
      </c>
      <c r="G999" s="570"/>
    </row>
    <row r="1000" spans="1:7">
      <c r="A1000" s="368"/>
      <c r="B1000" s="411">
        <v>6</v>
      </c>
      <c r="C1000" s="566" t="s">
        <v>1603</v>
      </c>
      <c r="D1000" s="554"/>
      <c r="E1000" s="49">
        <v>1</v>
      </c>
      <c r="F1000" s="49">
        <v>1.2</v>
      </c>
      <c r="G1000" s="570"/>
    </row>
    <row r="1001" spans="1:7">
      <c r="A1001" s="368"/>
      <c r="B1001" s="411">
        <v>7</v>
      </c>
      <c r="C1001" s="566" t="s">
        <v>1604</v>
      </c>
      <c r="D1001" s="554"/>
      <c r="E1001" s="49">
        <v>0.5</v>
      </c>
      <c r="F1001" s="49">
        <v>0.75</v>
      </c>
      <c r="G1001" s="570"/>
    </row>
    <row r="1002" spans="1:7">
      <c r="A1002" s="368"/>
      <c r="B1002" s="411">
        <v>8</v>
      </c>
      <c r="C1002" s="566" t="s">
        <v>1611</v>
      </c>
      <c r="D1002" s="554"/>
      <c r="E1002" s="49">
        <v>1</v>
      </c>
      <c r="F1002" s="49">
        <v>2</v>
      </c>
      <c r="G1002" s="570"/>
    </row>
    <row r="1003" spans="1:7">
      <c r="A1003" s="368"/>
      <c r="B1003" s="411">
        <v>9</v>
      </c>
      <c r="C1003" s="566" t="s">
        <v>1606</v>
      </c>
      <c r="D1003" s="554"/>
      <c r="E1003" s="49">
        <v>0.25</v>
      </c>
      <c r="F1003" s="49">
        <v>0.5</v>
      </c>
      <c r="G1003" s="570"/>
    </row>
    <row r="1004" spans="1:7">
      <c r="A1004" s="368"/>
      <c r="B1004" s="411">
        <v>10</v>
      </c>
      <c r="C1004" s="566" t="s">
        <v>1607</v>
      </c>
      <c r="D1004" s="554"/>
      <c r="E1004" s="49">
        <v>0.25</v>
      </c>
      <c r="F1004" s="49">
        <v>0.35</v>
      </c>
      <c r="G1004" s="570"/>
    </row>
    <row r="1005" spans="1:7">
      <c r="A1005" s="368"/>
      <c r="B1005" s="411">
        <v>11</v>
      </c>
      <c r="C1005" s="566" t="s">
        <v>1544</v>
      </c>
      <c r="D1005" s="554"/>
      <c r="E1005" s="49">
        <v>0.25</v>
      </c>
      <c r="F1005" s="49">
        <v>0.5</v>
      </c>
      <c r="G1005" s="570"/>
    </row>
    <row r="1006" spans="1:7">
      <c r="A1006" s="368"/>
      <c r="B1006" s="411">
        <v>12</v>
      </c>
      <c r="C1006" s="566" t="s">
        <v>1612</v>
      </c>
      <c r="D1006" s="554"/>
      <c r="E1006" s="49">
        <v>0.5</v>
      </c>
      <c r="F1006" s="49">
        <v>1</v>
      </c>
      <c r="G1006" s="570"/>
    </row>
    <row r="1007" spans="1:7">
      <c r="A1007" s="368"/>
      <c r="B1007" s="411">
        <v>13</v>
      </c>
      <c r="C1007" s="566"/>
      <c r="D1007" s="554"/>
      <c r="E1007" s="49"/>
      <c r="F1007" s="49"/>
      <c r="G1007" s="570"/>
    </row>
    <row r="1008" spans="1:7">
      <c r="A1008" s="368"/>
      <c r="B1008" s="411">
        <v>14</v>
      </c>
      <c r="C1008" s="566"/>
      <c r="D1008" s="554"/>
      <c r="E1008" s="49"/>
      <c r="F1008" s="49"/>
      <c r="G1008" s="570"/>
    </row>
    <row r="1009" spans="1:7">
      <c r="A1009" s="368"/>
      <c r="B1009" s="413">
        <v>15</v>
      </c>
      <c r="C1009" s="567"/>
      <c r="D1009" s="556"/>
      <c r="E1009" s="51"/>
      <c r="F1009" s="51"/>
      <c r="G1009" s="571"/>
    </row>
    <row r="1010" spans="1:7">
      <c r="A1010" s="368"/>
      <c r="B1010" s="390"/>
      <c r="C1010" s="390"/>
      <c r="D1010" s="390"/>
      <c r="E1010" s="390"/>
      <c r="F1010" s="390"/>
      <c r="G1010" s="390"/>
    </row>
    <row r="1011" spans="1:7">
      <c r="A1011" s="368"/>
      <c r="B1011" s="4"/>
      <c r="C1011" s="547" t="s">
        <v>20</v>
      </c>
      <c r="D1011" s="568"/>
      <c r="E1011" s="290" t="s">
        <v>21</v>
      </c>
      <c r="F1011" s="290" t="s">
        <v>22</v>
      </c>
      <c r="G1011" s="61" t="s">
        <v>23</v>
      </c>
    </row>
    <row r="1012" spans="1:7">
      <c r="A1012" s="368"/>
      <c r="B1012" s="410" t="s">
        <v>19</v>
      </c>
      <c r="C1012" s="549" t="s">
        <v>1613</v>
      </c>
      <c r="D1012" s="550"/>
      <c r="E1012" s="62">
        <f>SUM(E1013:E1027)</f>
        <v>8.6999999999999993</v>
      </c>
      <c r="F1012" s="62">
        <f>SUM(F1013:F1027)</f>
        <v>11.649999999999999</v>
      </c>
      <c r="G1012" s="569" t="s">
        <v>1614</v>
      </c>
    </row>
    <row r="1013" spans="1:7">
      <c r="A1013" s="368"/>
      <c r="B1013" s="411">
        <v>1</v>
      </c>
      <c r="C1013" s="566" t="s">
        <v>1598</v>
      </c>
      <c r="D1013" s="554"/>
      <c r="E1013" s="49">
        <v>0.7</v>
      </c>
      <c r="F1013" s="49">
        <v>0.75</v>
      </c>
      <c r="G1013" s="570"/>
    </row>
    <row r="1014" spans="1:7">
      <c r="A1014" s="368"/>
      <c r="B1014" s="411">
        <v>2</v>
      </c>
      <c r="C1014" s="566" t="s">
        <v>1599</v>
      </c>
      <c r="D1014" s="554"/>
      <c r="E1014" s="49">
        <v>0.5</v>
      </c>
      <c r="F1014" s="49">
        <v>0.5</v>
      </c>
      <c r="G1014" s="570"/>
    </row>
    <row r="1015" spans="1:7">
      <c r="A1015" s="368"/>
      <c r="B1015" s="411">
        <v>3</v>
      </c>
      <c r="C1015" s="566" t="s">
        <v>1615</v>
      </c>
      <c r="D1015" s="554"/>
      <c r="E1015" s="49">
        <v>0.5</v>
      </c>
      <c r="F1015" s="49">
        <v>0.5</v>
      </c>
      <c r="G1015" s="570"/>
    </row>
    <row r="1016" spans="1:7">
      <c r="A1016" s="368"/>
      <c r="B1016" s="412">
        <v>4</v>
      </c>
      <c r="C1016" s="566" t="s">
        <v>1601</v>
      </c>
      <c r="D1016" s="554"/>
      <c r="E1016" s="50">
        <v>0.75</v>
      </c>
      <c r="F1016" s="50">
        <v>1</v>
      </c>
      <c r="G1016" s="570"/>
    </row>
    <row r="1017" spans="1:7">
      <c r="A1017" s="368"/>
      <c r="B1017" s="411">
        <v>5</v>
      </c>
      <c r="C1017" s="566" t="s">
        <v>1602</v>
      </c>
      <c r="D1017" s="554"/>
      <c r="E1017" s="49">
        <v>1</v>
      </c>
      <c r="F1017" s="49">
        <v>1.2</v>
      </c>
      <c r="G1017" s="570"/>
    </row>
    <row r="1018" spans="1:7">
      <c r="A1018" s="368"/>
      <c r="B1018" s="411">
        <v>6</v>
      </c>
      <c r="C1018" s="566" t="s">
        <v>1603</v>
      </c>
      <c r="D1018" s="554"/>
      <c r="E1018" s="49">
        <v>1</v>
      </c>
      <c r="F1018" s="49">
        <v>1.5</v>
      </c>
      <c r="G1018" s="570"/>
    </row>
    <row r="1019" spans="1:7">
      <c r="A1019" s="368"/>
      <c r="B1019" s="411">
        <v>7</v>
      </c>
      <c r="C1019" s="566" t="s">
        <v>1604</v>
      </c>
      <c r="D1019" s="554"/>
      <c r="E1019" s="49">
        <v>0.75</v>
      </c>
      <c r="F1019" s="49">
        <v>1</v>
      </c>
      <c r="G1019" s="570"/>
    </row>
    <row r="1020" spans="1:7">
      <c r="A1020" s="368"/>
      <c r="B1020" s="411">
        <v>8</v>
      </c>
      <c r="C1020" s="566" t="s">
        <v>1611</v>
      </c>
      <c r="D1020" s="554"/>
      <c r="E1020" s="49">
        <v>1.5</v>
      </c>
      <c r="F1020" s="49">
        <v>1.75</v>
      </c>
      <c r="G1020" s="570"/>
    </row>
    <row r="1021" spans="1:7">
      <c r="A1021" s="368"/>
      <c r="B1021" s="411">
        <v>9</v>
      </c>
      <c r="C1021" s="566" t="s">
        <v>1606</v>
      </c>
      <c r="D1021" s="554"/>
      <c r="E1021" s="49">
        <v>0.6</v>
      </c>
      <c r="F1021" s="49">
        <v>0.7</v>
      </c>
      <c r="G1021" s="570"/>
    </row>
    <row r="1022" spans="1:7">
      <c r="A1022" s="368"/>
      <c r="B1022" s="411">
        <v>10</v>
      </c>
      <c r="C1022" s="566" t="s">
        <v>1607</v>
      </c>
      <c r="D1022" s="554"/>
      <c r="E1022" s="49">
        <v>0.35</v>
      </c>
      <c r="F1022" s="49">
        <v>0.5</v>
      </c>
      <c r="G1022" s="570"/>
    </row>
    <row r="1023" spans="1:7">
      <c r="A1023" s="368"/>
      <c r="B1023" s="411">
        <v>11</v>
      </c>
      <c r="C1023" s="566" t="s">
        <v>1544</v>
      </c>
      <c r="D1023" s="554"/>
      <c r="E1023" s="49">
        <v>0.35</v>
      </c>
      <c r="F1023" s="49">
        <v>0.75</v>
      </c>
      <c r="G1023" s="570"/>
    </row>
    <row r="1024" spans="1:7">
      <c r="A1024" s="368"/>
      <c r="B1024" s="411">
        <v>12</v>
      </c>
      <c r="C1024" s="566" t="s">
        <v>1608</v>
      </c>
      <c r="D1024" s="554"/>
      <c r="E1024" s="49">
        <v>0.7</v>
      </c>
      <c r="F1024" s="49">
        <v>1.5</v>
      </c>
      <c r="G1024" s="570"/>
    </row>
    <row r="1025" spans="1:7">
      <c r="A1025" s="368"/>
      <c r="B1025" s="411">
        <v>13</v>
      </c>
      <c r="C1025" s="566"/>
      <c r="D1025" s="554"/>
      <c r="E1025" s="49"/>
      <c r="F1025" s="49"/>
      <c r="G1025" s="570"/>
    </row>
    <row r="1026" spans="1:7">
      <c r="A1026" s="368"/>
      <c r="B1026" s="411">
        <v>14</v>
      </c>
      <c r="C1026" s="566"/>
      <c r="D1026" s="554"/>
      <c r="E1026" s="49"/>
      <c r="F1026" s="49"/>
      <c r="G1026" s="570"/>
    </row>
    <row r="1027" spans="1:7">
      <c r="A1027" s="368"/>
      <c r="B1027" s="413">
        <v>15</v>
      </c>
      <c r="C1027" s="567"/>
      <c r="D1027" s="556"/>
      <c r="E1027" s="51"/>
      <c r="F1027" s="51"/>
      <c r="G1027" s="571"/>
    </row>
    <row r="1028" spans="1:7">
      <c r="A1028" s="368"/>
      <c r="B1028" s="390"/>
      <c r="C1028" s="390"/>
      <c r="D1028" s="390"/>
      <c r="E1028" s="390"/>
      <c r="F1028" s="390"/>
      <c r="G1028" s="390"/>
    </row>
    <row r="1029" spans="1:7">
      <c r="A1029" s="368"/>
      <c r="B1029" s="4"/>
      <c r="C1029" s="547" t="s">
        <v>20</v>
      </c>
      <c r="D1029" s="568"/>
      <c r="E1029" s="290" t="s">
        <v>21</v>
      </c>
      <c r="F1029" s="290" t="s">
        <v>22</v>
      </c>
      <c r="G1029" s="61" t="s">
        <v>23</v>
      </c>
    </row>
    <row r="1030" spans="1:7">
      <c r="A1030" s="368"/>
      <c r="B1030" s="410" t="s">
        <v>19</v>
      </c>
      <c r="C1030" s="549" t="s">
        <v>1616</v>
      </c>
      <c r="D1030" s="550"/>
      <c r="E1030" s="62">
        <f>SUM(E1031:E1045)</f>
        <v>1.9000000000000001</v>
      </c>
      <c r="F1030" s="62">
        <f>SUM(F1031:F1045)</f>
        <v>3.3</v>
      </c>
      <c r="G1030" s="569" t="s">
        <v>1617</v>
      </c>
    </row>
    <row r="1031" spans="1:7">
      <c r="A1031" s="368"/>
      <c r="B1031" s="411">
        <v>1</v>
      </c>
      <c r="C1031" s="566" t="s">
        <v>1618</v>
      </c>
      <c r="D1031" s="554"/>
      <c r="E1031" s="49">
        <v>0.25</v>
      </c>
      <c r="F1031" s="49">
        <v>0.5</v>
      </c>
      <c r="G1031" s="570"/>
    </row>
    <row r="1032" spans="1:7">
      <c r="A1032" s="368"/>
      <c r="B1032" s="411">
        <v>2</v>
      </c>
      <c r="C1032" s="566" t="s">
        <v>1599</v>
      </c>
      <c r="D1032" s="554"/>
      <c r="E1032" s="49">
        <v>0.15</v>
      </c>
      <c r="F1032" s="49">
        <v>0.3</v>
      </c>
      <c r="G1032" s="570"/>
    </row>
    <row r="1033" spans="1:7">
      <c r="A1033" s="368"/>
      <c r="B1033" s="411">
        <v>3</v>
      </c>
      <c r="C1033" s="566" t="s">
        <v>1619</v>
      </c>
      <c r="D1033" s="554"/>
      <c r="E1033" s="49">
        <v>0.15</v>
      </c>
      <c r="F1033" s="49">
        <v>0.25</v>
      </c>
      <c r="G1033" s="570"/>
    </row>
    <row r="1034" spans="1:7">
      <c r="A1034" s="368"/>
      <c r="B1034" s="412">
        <v>4</v>
      </c>
      <c r="C1034" s="566" t="s">
        <v>1544</v>
      </c>
      <c r="D1034" s="554"/>
      <c r="E1034" s="50">
        <v>0.1</v>
      </c>
      <c r="F1034" s="50">
        <v>0.2</v>
      </c>
      <c r="G1034" s="570"/>
    </row>
    <row r="1035" spans="1:7">
      <c r="A1035" s="368"/>
      <c r="B1035" s="411">
        <v>5</v>
      </c>
      <c r="C1035" s="566" t="s">
        <v>1612</v>
      </c>
      <c r="D1035" s="554"/>
      <c r="E1035" s="49">
        <v>0.2</v>
      </c>
      <c r="F1035" s="49">
        <v>0.4</v>
      </c>
      <c r="G1035" s="570"/>
    </row>
    <row r="1036" spans="1:7">
      <c r="A1036" s="368"/>
      <c r="B1036" s="411">
        <v>6</v>
      </c>
      <c r="C1036" s="566" t="s">
        <v>1620</v>
      </c>
      <c r="D1036" s="554"/>
      <c r="E1036" s="49">
        <v>0.35</v>
      </c>
      <c r="F1036" s="49">
        <v>0.5</v>
      </c>
      <c r="G1036" s="570"/>
    </row>
    <row r="1037" spans="1:7">
      <c r="A1037" s="368"/>
      <c r="B1037" s="411">
        <v>7</v>
      </c>
      <c r="C1037" s="566" t="s">
        <v>1621</v>
      </c>
      <c r="D1037" s="554"/>
      <c r="E1037" s="49">
        <v>0.1</v>
      </c>
      <c r="F1037" s="49">
        <v>0.1</v>
      </c>
      <c r="G1037" s="570"/>
    </row>
    <row r="1038" spans="1:7">
      <c r="A1038" s="368"/>
      <c r="B1038" s="411">
        <v>8</v>
      </c>
      <c r="C1038" s="566" t="s">
        <v>1622</v>
      </c>
      <c r="D1038" s="554"/>
      <c r="E1038" s="49">
        <v>0.2</v>
      </c>
      <c r="F1038" s="49">
        <v>0.3</v>
      </c>
      <c r="G1038" s="570"/>
    </row>
    <row r="1039" spans="1:7">
      <c r="A1039" s="368"/>
      <c r="B1039" s="411">
        <v>9</v>
      </c>
      <c r="C1039" s="566" t="s">
        <v>1606</v>
      </c>
      <c r="D1039" s="554"/>
      <c r="E1039" s="49">
        <v>0.15</v>
      </c>
      <c r="F1039" s="49">
        <v>0.3</v>
      </c>
      <c r="G1039" s="570"/>
    </row>
    <row r="1040" spans="1:7">
      <c r="A1040" s="368"/>
      <c r="B1040" s="411">
        <v>10</v>
      </c>
      <c r="C1040" s="566" t="s">
        <v>1607</v>
      </c>
      <c r="D1040" s="554"/>
      <c r="E1040" s="49">
        <v>0.15</v>
      </c>
      <c r="F1040" s="49">
        <v>0.25</v>
      </c>
      <c r="G1040" s="570"/>
    </row>
    <row r="1041" spans="1:7">
      <c r="A1041" s="368"/>
      <c r="B1041" s="411">
        <v>11</v>
      </c>
      <c r="C1041" s="566" t="s">
        <v>1544</v>
      </c>
      <c r="D1041" s="554"/>
      <c r="E1041" s="49">
        <v>0.1</v>
      </c>
      <c r="F1041" s="49">
        <v>0.2</v>
      </c>
      <c r="G1041" s="570"/>
    </row>
    <row r="1042" spans="1:7">
      <c r="A1042" s="368"/>
      <c r="B1042" s="411">
        <v>12</v>
      </c>
      <c r="C1042" s="566"/>
      <c r="D1042" s="554"/>
      <c r="E1042" s="49"/>
      <c r="F1042" s="49"/>
      <c r="G1042" s="570"/>
    </row>
    <row r="1043" spans="1:7">
      <c r="A1043" s="368"/>
      <c r="B1043" s="411">
        <v>13</v>
      </c>
      <c r="C1043" s="566"/>
      <c r="D1043" s="554"/>
      <c r="E1043" s="49"/>
      <c r="F1043" s="49"/>
      <c r="G1043" s="570"/>
    </row>
    <row r="1044" spans="1:7">
      <c r="A1044" s="368"/>
      <c r="B1044" s="411">
        <v>14</v>
      </c>
      <c r="C1044" s="566"/>
      <c r="D1044" s="554"/>
      <c r="E1044" s="49"/>
      <c r="F1044" s="49"/>
      <c r="G1044" s="570"/>
    </row>
    <row r="1045" spans="1:7">
      <c r="A1045" s="368"/>
      <c r="B1045" s="413">
        <v>15</v>
      </c>
      <c r="C1045" s="567"/>
      <c r="D1045" s="556"/>
      <c r="E1045" s="51"/>
      <c r="F1045" s="51"/>
      <c r="G1045" s="571"/>
    </row>
    <row r="1046" spans="1:7">
      <c r="A1046" s="368"/>
      <c r="B1046" s="390"/>
      <c r="C1046" s="390"/>
      <c r="D1046" s="390"/>
      <c r="E1046" s="390"/>
      <c r="F1046" s="390"/>
      <c r="G1046" s="390"/>
    </row>
    <row r="1047" spans="1:7">
      <c r="A1047" s="368"/>
      <c r="B1047" s="4"/>
      <c r="C1047" s="547" t="s">
        <v>20</v>
      </c>
      <c r="D1047" s="568"/>
      <c r="E1047" s="290" t="s">
        <v>21</v>
      </c>
      <c r="F1047" s="290" t="s">
        <v>22</v>
      </c>
      <c r="G1047" s="61" t="s">
        <v>23</v>
      </c>
    </row>
    <row r="1048" spans="1:7">
      <c r="A1048" s="368"/>
      <c r="B1048" s="410" t="s">
        <v>19</v>
      </c>
      <c r="C1048" s="549" t="s">
        <v>1623</v>
      </c>
      <c r="D1048" s="550"/>
      <c r="E1048" s="62">
        <f>SUM(E1049:E1063)</f>
        <v>3.4000000000000004</v>
      </c>
      <c r="F1048" s="62">
        <f>SUM(F1049:F1063)</f>
        <v>5.8999999999999995</v>
      </c>
      <c r="G1048" s="569" t="s">
        <v>1624</v>
      </c>
    </row>
    <row r="1049" spans="1:7">
      <c r="A1049" s="368"/>
      <c r="B1049" s="411">
        <v>1</v>
      </c>
      <c r="C1049" s="566" t="s">
        <v>1618</v>
      </c>
      <c r="D1049" s="554"/>
      <c r="E1049" s="49">
        <v>0.25</v>
      </c>
      <c r="F1049" s="49">
        <v>0.5</v>
      </c>
      <c r="G1049" s="570"/>
    </row>
    <row r="1050" spans="1:7">
      <c r="A1050" s="368"/>
      <c r="B1050" s="411">
        <v>2</v>
      </c>
      <c r="C1050" s="566" t="s">
        <v>1599</v>
      </c>
      <c r="D1050" s="554"/>
      <c r="E1050" s="49">
        <v>0.15</v>
      </c>
      <c r="F1050" s="49">
        <v>0.3</v>
      </c>
      <c r="G1050" s="570"/>
    </row>
    <row r="1051" spans="1:7">
      <c r="A1051" s="368"/>
      <c r="B1051" s="411">
        <v>3</v>
      </c>
      <c r="C1051" s="566" t="s">
        <v>1619</v>
      </c>
      <c r="D1051" s="554"/>
      <c r="E1051" s="49">
        <v>0.15</v>
      </c>
      <c r="F1051" s="49">
        <v>0.25</v>
      </c>
      <c r="G1051" s="570"/>
    </row>
    <row r="1052" spans="1:7">
      <c r="A1052" s="368"/>
      <c r="B1052" s="412">
        <v>4</v>
      </c>
      <c r="C1052" s="566" t="s">
        <v>1544</v>
      </c>
      <c r="D1052" s="554"/>
      <c r="E1052" s="50">
        <v>0.1</v>
      </c>
      <c r="F1052" s="50">
        <v>0.2</v>
      </c>
      <c r="G1052" s="570"/>
    </row>
    <row r="1053" spans="1:7">
      <c r="A1053" s="368"/>
      <c r="B1053" s="411">
        <v>5</v>
      </c>
      <c r="C1053" s="566" t="s">
        <v>1612</v>
      </c>
      <c r="D1053" s="554"/>
      <c r="E1053" s="49">
        <v>0.25</v>
      </c>
      <c r="F1053" s="49">
        <v>0.5</v>
      </c>
      <c r="G1053" s="570"/>
    </row>
    <row r="1054" spans="1:7">
      <c r="A1054" s="368"/>
      <c r="B1054" s="411">
        <v>6</v>
      </c>
      <c r="C1054" s="566" t="s">
        <v>1625</v>
      </c>
      <c r="D1054" s="554"/>
      <c r="E1054" s="49">
        <v>1</v>
      </c>
      <c r="F1054" s="49">
        <v>2</v>
      </c>
      <c r="G1054" s="570"/>
    </row>
    <row r="1055" spans="1:7">
      <c r="A1055" s="368"/>
      <c r="B1055" s="411">
        <v>7</v>
      </c>
      <c r="C1055" s="566" t="s">
        <v>1620</v>
      </c>
      <c r="D1055" s="554"/>
      <c r="E1055" s="49">
        <v>0.5</v>
      </c>
      <c r="F1055" s="49">
        <v>0.75</v>
      </c>
      <c r="G1055" s="570"/>
    </row>
    <row r="1056" spans="1:7">
      <c r="A1056" s="368"/>
      <c r="B1056" s="411">
        <v>8</v>
      </c>
      <c r="C1056" s="566" t="s">
        <v>1621</v>
      </c>
      <c r="D1056" s="554"/>
      <c r="E1056" s="49">
        <v>0.1</v>
      </c>
      <c r="F1056" s="49">
        <v>0.1</v>
      </c>
      <c r="G1056" s="570"/>
    </row>
    <row r="1057" spans="1:7">
      <c r="A1057" s="368"/>
      <c r="B1057" s="411">
        <v>9</v>
      </c>
      <c r="C1057" s="566" t="s">
        <v>1622</v>
      </c>
      <c r="D1057" s="554"/>
      <c r="E1057" s="49">
        <v>0.35</v>
      </c>
      <c r="F1057" s="49">
        <v>0.5</v>
      </c>
      <c r="G1057" s="570"/>
    </row>
    <row r="1058" spans="1:7">
      <c r="A1058" s="368"/>
      <c r="B1058" s="411">
        <v>10</v>
      </c>
      <c r="C1058" s="566" t="s">
        <v>1606</v>
      </c>
      <c r="D1058" s="554"/>
      <c r="E1058" s="49">
        <v>0.2</v>
      </c>
      <c r="F1058" s="49">
        <v>0.3</v>
      </c>
      <c r="G1058" s="570"/>
    </row>
    <row r="1059" spans="1:7">
      <c r="A1059" s="368"/>
      <c r="B1059" s="411">
        <v>11</v>
      </c>
      <c r="C1059" s="566" t="s">
        <v>1607</v>
      </c>
      <c r="D1059" s="554"/>
      <c r="E1059" s="49">
        <v>0.2</v>
      </c>
      <c r="F1059" s="49">
        <v>0.3</v>
      </c>
      <c r="G1059" s="570"/>
    </row>
    <row r="1060" spans="1:7">
      <c r="A1060" s="368"/>
      <c r="B1060" s="411">
        <v>12</v>
      </c>
      <c r="C1060" s="566" t="s">
        <v>1544</v>
      </c>
      <c r="D1060" s="554"/>
      <c r="E1060" s="49">
        <v>0.15</v>
      </c>
      <c r="F1060" s="49">
        <v>0.2</v>
      </c>
      <c r="G1060" s="570"/>
    </row>
    <row r="1061" spans="1:7">
      <c r="A1061" s="368"/>
      <c r="B1061" s="411">
        <v>13</v>
      </c>
      <c r="C1061" s="566"/>
      <c r="D1061" s="554"/>
      <c r="E1061" s="49"/>
      <c r="F1061" s="49"/>
      <c r="G1061" s="570"/>
    </row>
    <row r="1062" spans="1:7">
      <c r="A1062" s="368"/>
      <c r="B1062" s="411">
        <v>14</v>
      </c>
      <c r="C1062" s="566"/>
      <c r="D1062" s="554"/>
      <c r="E1062" s="49"/>
      <c r="F1062" s="49"/>
      <c r="G1062" s="570"/>
    </row>
    <row r="1063" spans="1:7">
      <c r="A1063" s="368"/>
      <c r="B1063" s="413">
        <v>15</v>
      </c>
      <c r="C1063" s="567"/>
      <c r="D1063" s="556"/>
      <c r="E1063" s="51"/>
      <c r="F1063" s="51"/>
      <c r="G1063" s="571"/>
    </row>
    <row r="1064" spans="1:7">
      <c r="A1064" s="368"/>
      <c r="B1064" s="390"/>
      <c r="C1064" s="390"/>
      <c r="D1064" s="390"/>
      <c r="E1064" s="390"/>
      <c r="F1064" s="390"/>
      <c r="G1064" s="390"/>
    </row>
    <row r="1065" spans="1:7">
      <c r="A1065" s="368"/>
      <c r="B1065" s="4"/>
      <c r="C1065" s="547" t="s">
        <v>20</v>
      </c>
      <c r="D1065" s="568"/>
      <c r="E1065" s="290" t="s">
        <v>21</v>
      </c>
      <c r="F1065" s="290" t="s">
        <v>22</v>
      </c>
      <c r="G1065" s="61" t="s">
        <v>23</v>
      </c>
    </row>
    <row r="1066" spans="1:7">
      <c r="A1066" s="368"/>
      <c r="B1066" s="410" t="s">
        <v>19</v>
      </c>
      <c r="C1066" s="549" t="s">
        <v>1626</v>
      </c>
      <c r="D1066" s="550"/>
      <c r="E1066" s="62">
        <f>SUM(E1067:E1081)</f>
        <v>5.75</v>
      </c>
      <c r="F1066" s="62">
        <f>SUM(F1067:F1081)</f>
        <v>8.35</v>
      </c>
      <c r="G1066" s="569" t="s">
        <v>1627</v>
      </c>
    </row>
    <row r="1067" spans="1:7">
      <c r="A1067" s="368"/>
      <c r="B1067" s="411">
        <v>1</v>
      </c>
      <c r="C1067" s="566" t="s">
        <v>1618</v>
      </c>
      <c r="D1067" s="554"/>
      <c r="E1067" s="49">
        <v>0.5</v>
      </c>
      <c r="F1067" s="49">
        <v>0.5</v>
      </c>
      <c r="G1067" s="570"/>
    </row>
    <row r="1068" spans="1:7">
      <c r="A1068" s="368"/>
      <c r="B1068" s="411">
        <v>2</v>
      </c>
      <c r="C1068" s="566" t="s">
        <v>1599</v>
      </c>
      <c r="D1068" s="554"/>
      <c r="E1068" s="49">
        <v>0.15</v>
      </c>
      <c r="F1068" s="49">
        <v>0.3</v>
      </c>
      <c r="G1068" s="570"/>
    </row>
    <row r="1069" spans="1:7">
      <c r="A1069" s="368"/>
      <c r="B1069" s="411">
        <v>3</v>
      </c>
      <c r="C1069" s="566" t="s">
        <v>1619</v>
      </c>
      <c r="D1069" s="554"/>
      <c r="E1069" s="49">
        <v>0.15</v>
      </c>
      <c r="F1069" s="49">
        <v>0.25</v>
      </c>
      <c r="G1069" s="570"/>
    </row>
    <row r="1070" spans="1:7">
      <c r="A1070" s="368"/>
      <c r="B1070" s="412">
        <v>4</v>
      </c>
      <c r="C1070" s="566" t="s">
        <v>1544</v>
      </c>
      <c r="D1070" s="554"/>
      <c r="E1070" s="50">
        <v>0.1</v>
      </c>
      <c r="F1070" s="50">
        <v>0.2</v>
      </c>
      <c r="G1070" s="570"/>
    </row>
    <row r="1071" spans="1:7">
      <c r="A1071" s="368"/>
      <c r="B1071" s="411">
        <v>5</v>
      </c>
      <c r="C1071" s="566" t="s">
        <v>1612</v>
      </c>
      <c r="D1071" s="554"/>
      <c r="E1071" s="49">
        <v>0.5</v>
      </c>
      <c r="F1071" s="49">
        <v>0.75</v>
      </c>
      <c r="G1071" s="570"/>
    </row>
    <row r="1072" spans="1:7">
      <c r="A1072" s="368"/>
      <c r="B1072" s="411">
        <v>6</v>
      </c>
      <c r="C1072" s="566" t="s">
        <v>1628</v>
      </c>
      <c r="D1072" s="554"/>
      <c r="E1072" s="49">
        <v>2</v>
      </c>
      <c r="F1072" s="49">
        <v>3</v>
      </c>
      <c r="G1072" s="570"/>
    </row>
    <row r="1073" spans="1:7">
      <c r="A1073" s="368"/>
      <c r="B1073" s="411">
        <v>7</v>
      </c>
      <c r="C1073" s="566" t="s">
        <v>1620</v>
      </c>
      <c r="D1073" s="554"/>
      <c r="E1073" s="49">
        <v>0.5</v>
      </c>
      <c r="F1073" s="49">
        <v>0.75</v>
      </c>
      <c r="G1073" s="570"/>
    </row>
    <row r="1074" spans="1:7">
      <c r="A1074" s="368"/>
      <c r="B1074" s="411">
        <v>8</v>
      </c>
      <c r="C1074" s="566" t="s">
        <v>1621</v>
      </c>
      <c r="D1074" s="554"/>
      <c r="E1074" s="49">
        <v>0.1</v>
      </c>
      <c r="F1074" s="49">
        <v>0.1</v>
      </c>
      <c r="G1074" s="570"/>
    </row>
    <row r="1075" spans="1:7">
      <c r="A1075" s="368"/>
      <c r="B1075" s="411">
        <v>9</v>
      </c>
      <c r="C1075" s="566" t="s">
        <v>1622</v>
      </c>
      <c r="D1075" s="554"/>
      <c r="E1075" s="49">
        <v>0.75</v>
      </c>
      <c r="F1075" s="49">
        <v>1</v>
      </c>
      <c r="G1075" s="570"/>
    </row>
    <row r="1076" spans="1:7">
      <c r="A1076" s="368"/>
      <c r="B1076" s="411">
        <v>10</v>
      </c>
      <c r="C1076" s="566" t="s">
        <v>1606</v>
      </c>
      <c r="D1076" s="554"/>
      <c r="E1076" s="49">
        <v>0.3</v>
      </c>
      <c r="F1076" s="49">
        <v>0.5</v>
      </c>
      <c r="G1076" s="570"/>
    </row>
    <row r="1077" spans="1:7">
      <c r="A1077" s="368"/>
      <c r="B1077" s="411">
        <v>11</v>
      </c>
      <c r="C1077" s="566" t="s">
        <v>1607</v>
      </c>
      <c r="D1077" s="554"/>
      <c r="E1077" s="49">
        <v>0.4</v>
      </c>
      <c r="F1077" s="49">
        <v>0.5</v>
      </c>
      <c r="G1077" s="570"/>
    </row>
    <row r="1078" spans="1:7">
      <c r="A1078" s="368"/>
      <c r="B1078" s="411">
        <v>12</v>
      </c>
      <c r="C1078" s="566" t="s">
        <v>1544</v>
      </c>
      <c r="D1078" s="554"/>
      <c r="E1078" s="49">
        <v>0.3</v>
      </c>
      <c r="F1078" s="49">
        <v>0.5</v>
      </c>
      <c r="G1078" s="570"/>
    </row>
    <row r="1079" spans="1:7">
      <c r="A1079" s="368"/>
      <c r="B1079" s="411">
        <v>13</v>
      </c>
      <c r="C1079" s="566"/>
      <c r="D1079" s="554"/>
      <c r="E1079" s="49"/>
      <c r="F1079" s="49"/>
      <c r="G1079" s="570"/>
    </row>
    <row r="1080" spans="1:7">
      <c r="A1080" s="368"/>
      <c r="B1080" s="411">
        <v>14</v>
      </c>
      <c r="C1080" s="566"/>
      <c r="D1080" s="554"/>
      <c r="E1080" s="49"/>
      <c r="F1080" s="49"/>
      <c r="G1080" s="570"/>
    </row>
    <row r="1081" spans="1:7">
      <c r="A1081" s="368"/>
      <c r="B1081" s="413">
        <v>15</v>
      </c>
      <c r="C1081" s="567"/>
      <c r="D1081" s="556"/>
      <c r="E1081" s="51"/>
      <c r="F1081" s="51"/>
      <c r="G1081" s="571"/>
    </row>
    <row r="1082" spans="1:7">
      <c r="A1082" s="368"/>
      <c r="B1082" s="390"/>
      <c r="C1082" s="390"/>
      <c r="D1082" s="390"/>
      <c r="E1082" s="390"/>
      <c r="F1082" s="390"/>
      <c r="G1082" s="390"/>
    </row>
    <row r="1083" spans="1:7">
      <c r="A1083" s="368"/>
      <c r="B1083" s="4"/>
      <c r="C1083" s="547" t="s">
        <v>20</v>
      </c>
      <c r="D1083" s="568"/>
      <c r="E1083" s="290" t="s">
        <v>21</v>
      </c>
      <c r="F1083" s="290" t="s">
        <v>22</v>
      </c>
      <c r="G1083" s="61" t="s">
        <v>23</v>
      </c>
    </row>
    <row r="1084" spans="1:7">
      <c r="A1084" s="368"/>
      <c r="B1084" s="410" t="s">
        <v>19</v>
      </c>
      <c r="C1084" s="549" t="s">
        <v>1629</v>
      </c>
      <c r="D1084" s="550"/>
      <c r="E1084" s="62">
        <f>SUM(E1085:E1099)</f>
        <v>2.2500000000000004</v>
      </c>
      <c r="F1084" s="62">
        <f>SUM(F1085:F1099)</f>
        <v>3.8499999999999996</v>
      </c>
      <c r="G1084" s="569" t="s">
        <v>1630</v>
      </c>
    </row>
    <row r="1085" spans="1:7">
      <c r="A1085" s="368"/>
      <c r="B1085" s="411">
        <v>1</v>
      </c>
      <c r="C1085" s="566" t="s">
        <v>1631</v>
      </c>
      <c r="D1085" s="554"/>
      <c r="E1085" s="49">
        <v>0.5</v>
      </c>
      <c r="F1085" s="49">
        <v>0.75</v>
      </c>
      <c r="G1085" s="570"/>
    </row>
    <row r="1086" spans="1:7">
      <c r="A1086" s="368"/>
      <c r="B1086" s="411">
        <v>2</v>
      </c>
      <c r="C1086" s="566" t="s">
        <v>1632</v>
      </c>
      <c r="D1086" s="554"/>
      <c r="E1086" s="49">
        <v>0.15</v>
      </c>
      <c r="F1086" s="49">
        <v>0.3</v>
      </c>
      <c r="G1086" s="570"/>
    </row>
    <row r="1087" spans="1:7">
      <c r="A1087" s="368"/>
      <c r="B1087" s="411">
        <v>3</v>
      </c>
      <c r="C1087" s="566" t="s">
        <v>1544</v>
      </c>
      <c r="D1087" s="554"/>
      <c r="E1087" s="49">
        <v>0.15</v>
      </c>
      <c r="F1087" s="49">
        <v>0.25</v>
      </c>
      <c r="G1087" s="570"/>
    </row>
    <row r="1088" spans="1:7">
      <c r="A1088" s="368"/>
      <c r="B1088" s="412">
        <v>4</v>
      </c>
      <c r="C1088" s="566" t="s">
        <v>1633</v>
      </c>
      <c r="D1088" s="554"/>
      <c r="E1088" s="50">
        <v>0.25</v>
      </c>
      <c r="F1088" s="50">
        <v>0.5</v>
      </c>
      <c r="G1088" s="570"/>
    </row>
    <row r="1089" spans="1:7">
      <c r="A1089" s="368"/>
      <c r="B1089" s="411">
        <v>5</v>
      </c>
      <c r="C1089" s="566" t="s">
        <v>1634</v>
      </c>
      <c r="D1089" s="554"/>
      <c r="E1089" s="49">
        <v>0.5</v>
      </c>
      <c r="F1089" s="49">
        <v>0.75</v>
      </c>
      <c r="G1089" s="570"/>
    </row>
    <row r="1090" spans="1:7">
      <c r="A1090" s="368"/>
      <c r="B1090" s="411">
        <v>6</v>
      </c>
      <c r="C1090" s="566" t="s">
        <v>1635</v>
      </c>
      <c r="D1090" s="554"/>
      <c r="E1090" s="49">
        <v>0.05</v>
      </c>
      <c r="F1090" s="49">
        <v>0.1</v>
      </c>
      <c r="G1090" s="570"/>
    </row>
    <row r="1091" spans="1:7">
      <c r="A1091" s="368"/>
      <c r="B1091" s="411">
        <v>7</v>
      </c>
      <c r="C1091" s="566" t="s">
        <v>1636</v>
      </c>
      <c r="D1091" s="554"/>
      <c r="E1091" s="49">
        <v>0.1</v>
      </c>
      <c r="F1091" s="49">
        <v>0.2</v>
      </c>
      <c r="G1091" s="570"/>
    </row>
    <row r="1092" spans="1:7">
      <c r="A1092" s="368"/>
      <c r="B1092" s="411">
        <v>8</v>
      </c>
      <c r="C1092" s="566" t="s">
        <v>1637</v>
      </c>
      <c r="D1092" s="554"/>
      <c r="E1092" s="49">
        <v>0</v>
      </c>
      <c r="F1092" s="49">
        <v>0</v>
      </c>
      <c r="G1092" s="570"/>
    </row>
    <row r="1093" spans="1:7">
      <c r="A1093" s="368"/>
      <c r="B1093" s="411">
        <v>9</v>
      </c>
      <c r="C1093" s="566" t="s">
        <v>1638</v>
      </c>
      <c r="D1093" s="554"/>
      <c r="E1093" s="49">
        <v>0</v>
      </c>
      <c r="F1093" s="49">
        <v>0</v>
      </c>
      <c r="G1093" s="570"/>
    </row>
    <row r="1094" spans="1:7">
      <c r="A1094" s="368"/>
      <c r="B1094" s="411">
        <v>10</v>
      </c>
      <c r="C1094" s="566" t="s">
        <v>1606</v>
      </c>
      <c r="D1094" s="554"/>
      <c r="E1094" s="49">
        <v>0.2</v>
      </c>
      <c r="F1094" s="49">
        <v>0.3</v>
      </c>
      <c r="G1094" s="570"/>
    </row>
    <row r="1095" spans="1:7">
      <c r="A1095" s="368"/>
      <c r="B1095" s="411">
        <v>11</v>
      </c>
      <c r="C1095" s="566" t="s">
        <v>1607</v>
      </c>
      <c r="D1095" s="554"/>
      <c r="E1095" s="49">
        <v>0.15</v>
      </c>
      <c r="F1095" s="49">
        <v>0.3</v>
      </c>
      <c r="G1095" s="570"/>
    </row>
    <row r="1096" spans="1:7">
      <c r="A1096" s="368"/>
      <c r="B1096" s="411">
        <v>12</v>
      </c>
      <c r="C1096" s="566" t="s">
        <v>1544</v>
      </c>
      <c r="D1096" s="554"/>
      <c r="E1096" s="49">
        <v>0.2</v>
      </c>
      <c r="F1096" s="49">
        <v>0.4</v>
      </c>
      <c r="G1096" s="570"/>
    </row>
    <row r="1097" spans="1:7">
      <c r="A1097" s="368"/>
      <c r="B1097" s="411">
        <v>13</v>
      </c>
      <c r="C1097" s="566"/>
      <c r="D1097" s="554"/>
      <c r="E1097" s="49"/>
      <c r="F1097" s="49"/>
      <c r="G1097" s="570"/>
    </row>
    <row r="1098" spans="1:7">
      <c r="A1098" s="368"/>
      <c r="B1098" s="411">
        <v>14</v>
      </c>
      <c r="C1098" s="566"/>
      <c r="D1098" s="554"/>
      <c r="E1098" s="49"/>
      <c r="F1098" s="49"/>
      <c r="G1098" s="570"/>
    </row>
    <row r="1099" spans="1:7">
      <c r="A1099" s="368"/>
      <c r="B1099" s="413">
        <v>15</v>
      </c>
      <c r="C1099" s="567"/>
      <c r="D1099" s="556"/>
      <c r="E1099" s="51"/>
      <c r="F1099" s="51"/>
      <c r="G1099" s="571"/>
    </row>
    <row r="1100" spans="1:7">
      <c r="A1100" s="368"/>
      <c r="B1100" s="390"/>
      <c r="C1100" s="390"/>
      <c r="D1100" s="390"/>
      <c r="E1100" s="390"/>
      <c r="F1100" s="390"/>
      <c r="G1100" s="390"/>
    </row>
    <row r="1101" spans="1:7">
      <c r="A1101" s="368"/>
      <c r="B1101" s="4"/>
      <c r="C1101" s="547" t="s">
        <v>20</v>
      </c>
      <c r="D1101" s="568"/>
      <c r="E1101" s="290" t="s">
        <v>21</v>
      </c>
      <c r="F1101" s="290" t="s">
        <v>22</v>
      </c>
      <c r="G1101" s="61" t="s">
        <v>23</v>
      </c>
    </row>
    <row r="1102" spans="1:7">
      <c r="A1102" s="368"/>
      <c r="B1102" s="410" t="s">
        <v>19</v>
      </c>
      <c r="C1102" s="549" t="s">
        <v>1639</v>
      </c>
      <c r="D1102" s="550"/>
      <c r="E1102" s="62">
        <f>SUM(E1103:E1117)</f>
        <v>5.4</v>
      </c>
      <c r="F1102" s="62">
        <f>SUM(F1103:F1117)</f>
        <v>8.1</v>
      </c>
      <c r="G1102" s="569" t="s">
        <v>1640</v>
      </c>
    </row>
    <row r="1103" spans="1:7">
      <c r="A1103" s="368"/>
      <c r="B1103" s="411">
        <v>1</v>
      </c>
      <c r="C1103" s="566" t="s">
        <v>1631</v>
      </c>
      <c r="D1103" s="554"/>
      <c r="E1103" s="49">
        <v>0.25</v>
      </c>
      <c r="F1103" s="49">
        <v>0.5</v>
      </c>
      <c r="G1103" s="570"/>
    </row>
    <row r="1104" spans="1:7">
      <c r="A1104" s="368"/>
      <c r="B1104" s="411">
        <v>2</v>
      </c>
      <c r="C1104" s="566" t="s">
        <v>1632</v>
      </c>
      <c r="D1104" s="554"/>
      <c r="E1104" s="49">
        <v>0.25</v>
      </c>
      <c r="F1104" s="49">
        <v>0.5</v>
      </c>
      <c r="G1104" s="570"/>
    </row>
    <row r="1105" spans="1:7">
      <c r="A1105" s="368"/>
      <c r="B1105" s="411">
        <v>3</v>
      </c>
      <c r="C1105" s="566" t="s">
        <v>1633</v>
      </c>
      <c r="D1105" s="554"/>
      <c r="E1105" s="49">
        <v>0.25</v>
      </c>
      <c r="F1105" s="49">
        <v>0.5</v>
      </c>
      <c r="G1105" s="570"/>
    </row>
    <row r="1106" spans="1:7">
      <c r="A1106" s="368"/>
      <c r="B1106" s="412">
        <v>4</v>
      </c>
      <c r="C1106" s="566" t="s">
        <v>1634</v>
      </c>
      <c r="D1106" s="554"/>
      <c r="E1106" s="50">
        <v>0.5</v>
      </c>
      <c r="F1106" s="50">
        <v>0.5</v>
      </c>
      <c r="G1106" s="570"/>
    </row>
    <row r="1107" spans="1:7">
      <c r="A1107" s="368"/>
      <c r="B1107" s="411">
        <v>5</v>
      </c>
      <c r="C1107" s="566" t="s">
        <v>1635</v>
      </c>
      <c r="D1107" s="554"/>
      <c r="E1107" s="49">
        <v>0.05</v>
      </c>
      <c r="F1107" s="49">
        <v>0.1</v>
      </c>
      <c r="G1107" s="570"/>
    </row>
    <row r="1108" spans="1:7">
      <c r="A1108" s="368"/>
      <c r="B1108" s="411">
        <v>6</v>
      </c>
      <c r="C1108" s="566" t="s">
        <v>1636</v>
      </c>
      <c r="D1108" s="554"/>
      <c r="E1108" s="49">
        <v>0.1</v>
      </c>
      <c r="F1108" s="49">
        <v>0.25</v>
      </c>
      <c r="G1108" s="570"/>
    </row>
    <row r="1109" spans="1:7">
      <c r="A1109" s="368"/>
      <c r="B1109" s="411">
        <v>7</v>
      </c>
      <c r="C1109" s="566" t="s">
        <v>1641</v>
      </c>
      <c r="D1109" s="554"/>
      <c r="E1109" s="49">
        <v>1.5</v>
      </c>
      <c r="F1109" s="49">
        <v>2</v>
      </c>
      <c r="G1109" s="570"/>
    </row>
    <row r="1110" spans="1:7">
      <c r="A1110" s="368"/>
      <c r="B1110" s="411">
        <v>8</v>
      </c>
      <c r="C1110" s="566" t="s">
        <v>1638</v>
      </c>
      <c r="D1110" s="554"/>
      <c r="E1110" s="49">
        <v>0</v>
      </c>
      <c r="F1110" s="49">
        <v>0</v>
      </c>
      <c r="G1110" s="570"/>
    </row>
    <row r="1111" spans="1:7">
      <c r="A1111" s="368"/>
      <c r="B1111" s="411">
        <v>9</v>
      </c>
      <c r="C1111" s="566" t="s">
        <v>1642</v>
      </c>
      <c r="D1111" s="554"/>
      <c r="E1111" s="49">
        <v>1.5</v>
      </c>
      <c r="F1111" s="49">
        <v>2</v>
      </c>
      <c r="G1111" s="570"/>
    </row>
    <row r="1112" spans="1:7">
      <c r="A1112" s="368"/>
      <c r="B1112" s="411">
        <v>10</v>
      </c>
      <c r="C1112" s="566" t="s">
        <v>1606</v>
      </c>
      <c r="D1112" s="554"/>
      <c r="E1112" s="49">
        <v>0.5</v>
      </c>
      <c r="F1112" s="49">
        <v>0.75</v>
      </c>
      <c r="G1112" s="570"/>
    </row>
    <row r="1113" spans="1:7">
      <c r="A1113" s="368"/>
      <c r="B1113" s="411">
        <v>11</v>
      </c>
      <c r="C1113" s="566" t="s">
        <v>1607</v>
      </c>
      <c r="D1113" s="554"/>
      <c r="E1113" s="49">
        <v>0.25</v>
      </c>
      <c r="F1113" s="49">
        <v>0.5</v>
      </c>
      <c r="G1113" s="570"/>
    </row>
    <row r="1114" spans="1:7">
      <c r="A1114" s="368"/>
      <c r="B1114" s="411">
        <v>12</v>
      </c>
      <c r="C1114" s="566" t="s">
        <v>1544</v>
      </c>
      <c r="D1114" s="554"/>
      <c r="E1114" s="49">
        <v>0.25</v>
      </c>
      <c r="F1114" s="49">
        <v>0.5</v>
      </c>
      <c r="G1114" s="570"/>
    </row>
    <row r="1115" spans="1:7">
      <c r="A1115" s="368"/>
      <c r="B1115" s="411">
        <v>13</v>
      </c>
      <c r="C1115" s="566"/>
      <c r="D1115" s="554"/>
      <c r="E1115" s="49"/>
      <c r="F1115" s="49"/>
      <c r="G1115" s="570"/>
    </row>
    <row r="1116" spans="1:7">
      <c r="A1116" s="368"/>
      <c r="B1116" s="411">
        <v>14</v>
      </c>
      <c r="C1116" s="566"/>
      <c r="D1116" s="554"/>
      <c r="E1116" s="49"/>
      <c r="F1116" s="49"/>
      <c r="G1116" s="570"/>
    </row>
    <row r="1117" spans="1:7">
      <c r="A1117" s="368"/>
      <c r="B1117" s="413">
        <v>15</v>
      </c>
      <c r="C1117" s="567"/>
      <c r="D1117" s="556"/>
      <c r="E1117" s="51"/>
      <c r="F1117" s="51"/>
      <c r="G1117" s="571"/>
    </row>
    <row r="1118" spans="1:7">
      <c r="A1118" s="368"/>
      <c r="B1118" s="390"/>
      <c r="C1118" s="390"/>
      <c r="D1118" s="390"/>
      <c r="E1118" s="390"/>
      <c r="F1118" s="390"/>
      <c r="G1118" s="390"/>
    </row>
    <row r="1119" spans="1:7">
      <c r="A1119" s="368"/>
      <c r="B1119" s="4"/>
      <c r="C1119" s="547" t="s">
        <v>20</v>
      </c>
      <c r="D1119" s="568"/>
      <c r="E1119" s="290" t="s">
        <v>21</v>
      </c>
      <c r="F1119" s="290" t="s">
        <v>22</v>
      </c>
      <c r="G1119" s="61" t="s">
        <v>23</v>
      </c>
    </row>
    <row r="1120" spans="1:7">
      <c r="A1120" s="368"/>
      <c r="B1120" s="410" t="s">
        <v>19</v>
      </c>
      <c r="C1120" s="549" t="s">
        <v>1643</v>
      </c>
      <c r="D1120" s="550"/>
      <c r="E1120" s="62">
        <f>SUM(E1121:E1135)</f>
        <v>11.75</v>
      </c>
      <c r="F1120" s="62">
        <f>SUM(F1121:F1135)</f>
        <v>15.75</v>
      </c>
      <c r="G1120" s="569" t="s">
        <v>1644</v>
      </c>
    </row>
    <row r="1121" spans="1:7">
      <c r="A1121" s="368"/>
      <c r="B1121" s="411">
        <v>1</v>
      </c>
      <c r="C1121" s="566" t="s">
        <v>1631</v>
      </c>
      <c r="D1121" s="554"/>
      <c r="E1121" s="49">
        <v>0.5</v>
      </c>
      <c r="F1121" s="49">
        <v>1</v>
      </c>
      <c r="G1121" s="570"/>
    </row>
    <row r="1122" spans="1:7">
      <c r="A1122" s="368"/>
      <c r="B1122" s="411">
        <v>2</v>
      </c>
      <c r="C1122" s="566" t="s">
        <v>1632</v>
      </c>
      <c r="D1122" s="554"/>
      <c r="E1122" s="49">
        <v>0.5</v>
      </c>
      <c r="F1122" s="49">
        <v>1</v>
      </c>
      <c r="G1122" s="570"/>
    </row>
    <row r="1123" spans="1:7">
      <c r="A1123" s="368"/>
      <c r="B1123" s="411">
        <v>3</v>
      </c>
      <c r="C1123" s="566" t="s">
        <v>1633</v>
      </c>
      <c r="D1123" s="554"/>
      <c r="E1123" s="49">
        <v>0.5</v>
      </c>
      <c r="F1123" s="49">
        <v>1</v>
      </c>
      <c r="G1123" s="570"/>
    </row>
    <row r="1124" spans="1:7">
      <c r="A1124" s="368"/>
      <c r="B1124" s="412">
        <v>4</v>
      </c>
      <c r="C1124" s="566" t="s">
        <v>1634</v>
      </c>
      <c r="D1124" s="554"/>
      <c r="E1124" s="50">
        <v>1</v>
      </c>
      <c r="F1124" s="50">
        <v>1.5</v>
      </c>
      <c r="G1124" s="570"/>
    </row>
    <row r="1125" spans="1:7">
      <c r="A1125" s="368"/>
      <c r="B1125" s="411">
        <v>5</v>
      </c>
      <c r="C1125" s="566" t="s">
        <v>1635</v>
      </c>
      <c r="D1125" s="554"/>
      <c r="E1125" s="49">
        <v>0.4</v>
      </c>
      <c r="F1125" s="49">
        <v>0.5</v>
      </c>
      <c r="G1125" s="570"/>
    </row>
    <row r="1126" spans="1:7">
      <c r="A1126" s="368"/>
      <c r="B1126" s="411">
        <v>6</v>
      </c>
      <c r="C1126" s="566" t="s">
        <v>1636</v>
      </c>
      <c r="D1126" s="554"/>
      <c r="E1126" s="49">
        <v>0.1</v>
      </c>
      <c r="F1126" s="49">
        <v>0.25</v>
      </c>
      <c r="G1126" s="570"/>
    </row>
    <row r="1127" spans="1:7">
      <c r="A1127" s="368"/>
      <c r="B1127" s="411">
        <v>7</v>
      </c>
      <c r="C1127" s="566" t="s">
        <v>1637</v>
      </c>
      <c r="D1127" s="554"/>
      <c r="E1127" s="49">
        <v>2.5</v>
      </c>
      <c r="F1127" s="49">
        <v>3</v>
      </c>
      <c r="G1127" s="570"/>
    </row>
    <row r="1128" spans="1:7">
      <c r="A1128" s="368"/>
      <c r="B1128" s="411">
        <v>8</v>
      </c>
      <c r="C1128" s="566" t="s">
        <v>1638</v>
      </c>
      <c r="D1128" s="554"/>
      <c r="E1128" s="49">
        <v>2</v>
      </c>
      <c r="F1128" s="49">
        <v>2.25</v>
      </c>
      <c r="G1128" s="570"/>
    </row>
    <row r="1129" spans="1:7">
      <c r="A1129" s="368"/>
      <c r="B1129" s="411">
        <v>9</v>
      </c>
      <c r="C1129" s="566" t="s">
        <v>1642</v>
      </c>
      <c r="D1129" s="554"/>
      <c r="E1129" s="49">
        <v>2</v>
      </c>
      <c r="F1129" s="49">
        <v>2.25</v>
      </c>
      <c r="G1129" s="570"/>
    </row>
    <row r="1130" spans="1:7">
      <c r="A1130" s="368"/>
      <c r="B1130" s="411">
        <v>10</v>
      </c>
      <c r="C1130" s="566" t="s">
        <v>1606</v>
      </c>
      <c r="D1130" s="554"/>
      <c r="E1130" s="49">
        <v>1.5</v>
      </c>
      <c r="F1130" s="49">
        <v>1.75</v>
      </c>
      <c r="G1130" s="570"/>
    </row>
    <row r="1131" spans="1:7">
      <c r="A1131" s="368"/>
      <c r="B1131" s="411">
        <v>11</v>
      </c>
      <c r="C1131" s="566" t="s">
        <v>1520</v>
      </c>
      <c r="D1131" s="554"/>
      <c r="E1131" s="49">
        <v>0.5</v>
      </c>
      <c r="F1131" s="49">
        <v>0.75</v>
      </c>
      <c r="G1131" s="570"/>
    </row>
    <row r="1132" spans="1:7">
      <c r="A1132" s="368"/>
      <c r="B1132" s="411">
        <v>12</v>
      </c>
      <c r="C1132" s="566" t="s">
        <v>1544</v>
      </c>
      <c r="D1132" s="554"/>
      <c r="E1132" s="49">
        <v>0.25</v>
      </c>
      <c r="F1132" s="49">
        <v>0.5</v>
      </c>
      <c r="G1132" s="570"/>
    </row>
    <row r="1133" spans="1:7">
      <c r="A1133" s="368"/>
      <c r="B1133" s="411">
        <v>13</v>
      </c>
      <c r="C1133" s="566"/>
      <c r="D1133" s="554"/>
      <c r="E1133" s="49"/>
      <c r="F1133" s="49"/>
      <c r="G1133" s="570"/>
    </row>
    <row r="1134" spans="1:7">
      <c r="A1134" s="368"/>
      <c r="B1134" s="411">
        <v>14</v>
      </c>
      <c r="C1134" s="566"/>
      <c r="D1134" s="554"/>
      <c r="E1134" s="49"/>
      <c r="F1134" s="49"/>
      <c r="G1134" s="570"/>
    </row>
    <row r="1135" spans="1:7">
      <c r="A1135" s="368"/>
      <c r="B1135" s="413">
        <v>15</v>
      </c>
      <c r="C1135" s="567"/>
      <c r="D1135" s="556"/>
      <c r="E1135" s="51"/>
      <c r="F1135" s="51"/>
      <c r="G1135" s="571"/>
    </row>
    <row r="1136" spans="1:7">
      <c r="A1136" s="368"/>
      <c r="B1136" s="390"/>
      <c r="C1136" s="390"/>
      <c r="D1136" s="390"/>
      <c r="E1136" s="390"/>
      <c r="F1136" s="390"/>
      <c r="G1136" s="390"/>
    </row>
    <row r="1137" spans="1:7">
      <c r="A1137" s="368"/>
      <c r="B1137" s="4"/>
      <c r="C1137" s="547" t="s">
        <v>20</v>
      </c>
      <c r="D1137" s="568"/>
      <c r="E1137" s="290" t="s">
        <v>21</v>
      </c>
      <c r="F1137" s="290" t="s">
        <v>22</v>
      </c>
      <c r="G1137" s="61" t="s">
        <v>23</v>
      </c>
    </row>
    <row r="1138" spans="1:7">
      <c r="A1138" s="368"/>
      <c r="B1138" s="410" t="s">
        <v>19</v>
      </c>
      <c r="C1138" s="549" t="s">
        <v>1645</v>
      </c>
      <c r="D1138" s="550"/>
      <c r="E1138" s="62">
        <f>SUM(E1139:E1153)</f>
        <v>3.8500000000000005</v>
      </c>
      <c r="F1138" s="62">
        <f>SUM(F1139:F1153)</f>
        <v>5.3999999999999995</v>
      </c>
      <c r="G1138" s="569" t="s">
        <v>1646</v>
      </c>
    </row>
    <row r="1139" spans="1:7">
      <c r="A1139" s="368"/>
      <c r="B1139" s="411">
        <v>1</v>
      </c>
      <c r="C1139" s="566" t="s">
        <v>1647</v>
      </c>
      <c r="D1139" s="554"/>
      <c r="E1139" s="49">
        <v>3</v>
      </c>
      <c r="F1139" s="49">
        <v>4</v>
      </c>
      <c r="G1139" s="570"/>
    </row>
    <row r="1140" spans="1:7">
      <c r="A1140" s="368"/>
      <c r="B1140" s="411">
        <v>2</v>
      </c>
      <c r="C1140" s="566" t="s">
        <v>1599</v>
      </c>
      <c r="D1140" s="554"/>
      <c r="E1140" s="49">
        <v>0.25</v>
      </c>
      <c r="F1140" s="49">
        <v>0.5</v>
      </c>
      <c r="G1140" s="570"/>
    </row>
    <row r="1141" spans="1:7">
      <c r="A1141" s="368"/>
      <c r="B1141" s="411">
        <v>3</v>
      </c>
      <c r="C1141" s="566" t="s">
        <v>1606</v>
      </c>
      <c r="D1141" s="554"/>
      <c r="E1141" s="49">
        <v>0.2</v>
      </c>
      <c r="F1141" s="49">
        <v>0.3</v>
      </c>
      <c r="G1141" s="570"/>
    </row>
    <row r="1142" spans="1:7">
      <c r="A1142" s="368"/>
      <c r="B1142" s="412">
        <v>4</v>
      </c>
      <c r="C1142" s="566" t="s">
        <v>1607</v>
      </c>
      <c r="D1142" s="554"/>
      <c r="E1142" s="50">
        <v>0.2</v>
      </c>
      <c r="F1142" s="50">
        <v>0.3</v>
      </c>
      <c r="G1142" s="570"/>
    </row>
    <row r="1143" spans="1:7">
      <c r="A1143" s="368"/>
      <c r="B1143" s="411">
        <v>5</v>
      </c>
      <c r="C1143" s="566" t="s">
        <v>1544</v>
      </c>
      <c r="D1143" s="554"/>
      <c r="E1143" s="49">
        <v>0.2</v>
      </c>
      <c r="F1143" s="49">
        <v>0.3</v>
      </c>
      <c r="G1143" s="570"/>
    </row>
    <row r="1144" spans="1:7">
      <c r="A1144" s="368"/>
      <c r="B1144" s="411">
        <v>6</v>
      </c>
      <c r="C1144" s="566"/>
      <c r="D1144" s="554"/>
      <c r="E1144" s="49"/>
      <c r="F1144" s="49"/>
      <c r="G1144" s="570"/>
    </row>
    <row r="1145" spans="1:7">
      <c r="A1145" s="368"/>
      <c r="B1145" s="411">
        <v>7</v>
      </c>
      <c r="C1145" s="566"/>
      <c r="D1145" s="554"/>
      <c r="E1145" s="49"/>
      <c r="F1145" s="49"/>
      <c r="G1145" s="570"/>
    </row>
    <row r="1146" spans="1:7">
      <c r="A1146" s="368"/>
      <c r="B1146" s="411">
        <v>8</v>
      </c>
      <c r="C1146" s="566"/>
      <c r="D1146" s="554"/>
      <c r="E1146" s="49"/>
      <c r="F1146" s="49"/>
      <c r="G1146" s="570"/>
    </row>
    <row r="1147" spans="1:7">
      <c r="A1147" s="368"/>
      <c r="B1147" s="411">
        <v>9</v>
      </c>
      <c r="C1147" s="566"/>
      <c r="D1147" s="554"/>
      <c r="E1147" s="49"/>
      <c r="F1147" s="49"/>
      <c r="G1147" s="570"/>
    </row>
    <row r="1148" spans="1:7">
      <c r="A1148" s="368"/>
      <c r="B1148" s="411">
        <v>10</v>
      </c>
      <c r="C1148" s="566"/>
      <c r="D1148" s="554"/>
      <c r="E1148" s="49"/>
      <c r="F1148" s="49"/>
      <c r="G1148" s="570"/>
    </row>
    <row r="1149" spans="1:7">
      <c r="A1149" s="368"/>
      <c r="B1149" s="411">
        <v>11</v>
      </c>
      <c r="C1149" s="566"/>
      <c r="D1149" s="554"/>
      <c r="E1149" s="49"/>
      <c r="F1149" s="49"/>
      <c r="G1149" s="570"/>
    </row>
    <row r="1150" spans="1:7">
      <c r="A1150" s="368"/>
      <c r="B1150" s="411">
        <v>12</v>
      </c>
      <c r="C1150" s="566"/>
      <c r="D1150" s="554"/>
      <c r="E1150" s="49"/>
      <c r="F1150" s="49"/>
      <c r="G1150" s="570"/>
    </row>
    <row r="1151" spans="1:7">
      <c r="A1151" s="368"/>
      <c r="B1151" s="411">
        <v>13</v>
      </c>
      <c r="C1151" s="566"/>
      <c r="D1151" s="554"/>
      <c r="E1151" s="49"/>
      <c r="F1151" s="49"/>
      <c r="G1151" s="570"/>
    </row>
    <row r="1152" spans="1:7">
      <c r="A1152" s="368"/>
      <c r="B1152" s="411">
        <v>14</v>
      </c>
      <c r="C1152" s="566"/>
      <c r="D1152" s="554"/>
      <c r="E1152" s="49"/>
      <c r="F1152" s="49"/>
      <c r="G1152" s="570"/>
    </row>
    <row r="1153" spans="1:7">
      <c r="A1153" s="368"/>
      <c r="B1153" s="413">
        <v>15</v>
      </c>
      <c r="C1153" s="567"/>
      <c r="D1153" s="556"/>
      <c r="E1153" s="51"/>
      <c r="F1153" s="51"/>
      <c r="G1153" s="571"/>
    </row>
    <row r="1154" spans="1:7">
      <c r="A1154" s="368"/>
      <c r="B1154" s="390"/>
      <c r="C1154" s="390"/>
      <c r="D1154" s="390"/>
      <c r="E1154" s="390"/>
      <c r="F1154" s="390"/>
      <c r="G1154" s="390"/>
    </row>
    <row r="1155" spans="1:7">
      <c r="A1155" s="368"/>
      <c r="B1155" s="4"/>
      <c r="C1155" s="547" t="s">
        <v>20</v>
      </c>
      <c r="D1155" s="568"/>
      <c r="E1155" s="290" t="s">
        <v>21</v>
      </c>
      <c r="F1155" s="290" t="s">
        <v>22</v>
      </c>
      <c r="G1155" s="61" t="s">
        <v>23</v>
      </c>
    </row>
    <row r="1156" spans="1:7">
      <c r="A1156" s="368"/>
      <c r="B1156" s="410" t="s">
        <v>19</v>
      </c>
      <c r="C1156" s="549" t="s">
        <v>1648</v>
      </c>
      <c r="D1156" s="550"/>
      <c r="E1156" s="62">
        <f>SUM(E1157:E1171)</f>
        <v>3.15</v>
      </c>
      <c r="F1156" s="62">
        <f>SUM(F1157:F1171)</f>
        <v>4.9999999999999991</v>
      </c>
      <c r="G1156" s="569" t="s">
        <v>1649</v>
      </c>
    </row>
    <row r="1157" spans="1:7">
      <c r="A1157" s="368"/>
      <c r="B1157" s="411">
        <v>1</v>
      </c>
      <c r="C1157" s="566" t="s">
        <v>1650</v>
      </c>
      <c r="D1157" s="554"/>
      <c r="E1157" s="49">
        <v>0.25</v>
      </c>
      <c r="F1157" s="49">
        <v>0.3</v>
      </c>
      <c r="G1157" s="570"/>
    </row>
    <row r="1158" spans="1:7">
      <c r="A1158" s="368"/>
      <c r="B1158" s="411">
        <v>2</v>
      </c>
      <c r="C1158" s="566" t="s">
        <v>1651</v>
      </c>
      <c r="D1158" s="554"/>
      <c r="E1158" s="49">
        <v>0.25</v>
      </c>
      <c r="F1158" s="49">
        <v>0.5</v>
      </c>
      <c r="G1158" s="570"/>
    </row>
    <row r="1159" spans="1:7">
      <c r="A1159" s="368"/>
      <c r="B1159" s="411">
        <v>3</v>
      </c>
      <c r="C1159" s="566" t="s">
        <v>1652</v>
      </c>
      <c r="D1159" s="554"/>
      <c r="E1159" s="49">
        <v>0</v>
      </c>
      <c r="F1159" s="49">
        <v>0</v>
      </c>
      <c r="G1159" s="570"/>
    </row>
    <row r="1160" spans="1:7">
      <c r="A1160" s="368"/>
      <c r="B1160" s="412">
        <v>4</v>
      </c>
      <c r="C1160" s="566" t="s">
        <v>1653</v>
      </c>
      <c r="D1160" s="554"/>
      <c r="E1160" s="50">
        <v>0.35</v>
      </c>
      <c r="F1160" s="50">
        <v>0.5</v>
      </c>
      <c r="G1160" s="570"/>
    </row>
    <row r="1161" spans="1:7">
      <c r="A1161" s="368"/>
      <c r="B1161" s="411">
        <v>5</v>
      </c>
      <c r="C1161" s="566" t="s">
        <v>1654</v>
      </c>
      <c r="D1161" s="554"/>
      <c r="E1161" s="49">
        <v>0.25</v>
      </c>
      <c r="F1161" s="49">
        <v>0.4</v>
      </c>
      <c r="G1161" s="570"/>
    </row>
    <row r="1162" spans="1:7">
      <c r="A1162" s="368"/>
      <c r="B1162" s="411">
        <v>6</v>
      </c>
      <c r="C1162" s="566" t="s">
        <v>1599</v>
      </c>
      <c r="D1162" s="554"/>
      <c r="E1162" s="49">
        <v>0.25</v>
      </c>
      <c r="F1162" s="49">
        <v>0.3</v>
      </c>
      <c r="G1162" s="570"/>
    </row>
    <row r="1163" spans="1:7">
      <c r="A1163" s="368"/>
      <c r="B1163" s="411">
        <v>7</v>
      </c>
      <c r="C1163" s="566" t="s">
        <v>1619</v>
      </c>
      <c r="D1163" s="554"/>
      <c r="E1163" s="49">
        <v>0.25</v>
      </c>
      <c r="F1163" s="49">
        <v>0.3</v>
      </c>
      <c r="G1163" s="570"/>
    </row>
    <row r="1164" spans="1:7">
      <c r="A1164" s="368"/>
      <c r="B1164" s="411">
        <v>8</v>
      </c>
      <c r="C1164" s="566" t="s">
        <v>1544</v>
      </c>
      <c r="D1164" s="554"/>
      <c r="E1164" s="49">
        <v>0.25</v>
      </c>
      <c r="F1164" s="49">
        <v>0.3</v>
      </c>
      <c r="G1164" s="570"/>
    </row>
    <row r="1165" spans="1:7">
      <c r="A1165" s="368"/>
      <c r="B1165" s="411">
        <v>9</v>
      </c>
      <c r="C1165" s="566" t="s">
        <v>1655</v>
      </c>
      <c r="D1165" s="554"/>
      <c r="E1165" s="49">
        <v>0.5</v>
      </c>
      <c r="F1165" s="49">
        <v>1</v>
      </c>
      <c r="G1165" s="570"/>
    </row>
    <row r="1166" spans="1:7">
      <c r="A1166" s="368"/>
      <c r="B1166" s="411">
        <v>10</v>
      </c>
      <c r="C1166" s="566" t="s">
        <v>1656</v>
      </c>
      <c r="D1166" s="554"/>
      <c r="E1166" s="49">
        <v>0.25</v>
      </c>
      <c r="F1166" s="49">
        <v>0.5</v>
      </c>
      <c r="G1166" s="570"/>
    </row>
    <row r="1167" spans="1:7">
      <c r="A1167" s="368"/>
      <c r="B1167" s="411">
        <v>11</v>
      </c>
      <c r="C1167" s="566" t="s">
        <v>1606</v>
      </c>
      <c r="D1167" s="554"/>
      <c r="E1167" s="49">
        <v>0.25</v>
      </c>
      <c r="F1167" s="49">
        <v>0.3</v>
      </c>
      <c r="G1167" s="570"/>
    </row>
    <row r="1168" spans="1:7">
      <c r="A1168" s="368"/>
      <c r="B1168" s="411">
        <v>12</v>
      </c>
      <c r="C1168" s="566" t="s">
        <v>1607</v>
      </c>
      <c r="D1168" s="554"/>
      <c r="E1168" s="49">
        <v>0.15</v>
      </c>
      <c r="F1168" s="49">
        <v>0.3</v>
      </c>
      <c r="G1168" s="570"/>
    </row>
    <row r="1169" spans="1:7">
      <c r="A1169" s="368"/>
      <c r="B1169" s="411">
        <v>13</v>
      </c>
      <c r="C1169" s="566" t="s">
        <v>1544</v>
      </c>
      <c r="D1169" s="554"/>
      <c r="E1169" s="49">
        <v>0.15</v>
      </c>
      <c r="F1169" s="49">
        <v>0.3</v>
      </c>
      <c r="G1169" s="570"/>
    </row>
    <row r="1170" spans="1:7">
      <c r="A1170" s="368"/>
      <c r="B1170" s="411">
        <v>14</v>
      </c>
      <c r="C1170" s="566"/>
      <c r="D1170" s="554"/>
      <c r="E1170" s="49"/>
      <c r="F1170" s="49"/>
      <c r="G1170" s="570"/>
    </row>
    <row r="1171" spans="1:7">
      <c r="A1171" s="368"/>
      <c r="B1171" s="413">
        <v>15</v>
      </c>
      <c r="C1171" s="567"/>
      <c r="D1171" s="556"/>
      <c r="E1171" s="51"/>
      <c r="F1171" s="51"/>
      <c r="G1171" s="571"/>
    </row>
    <row r="1172" spans="1:7">
      <c r="A1172" s="368"/>
      <c r="B1172" s="390"/>
      <c r="C1172" s="390"/>
      <c r="D1172" s="390"/>
      <c r="E1172" s="390"/>
      <c r="F1172" s="390"/>
      <c r="G1172" s="390"/>
    </row>
    <row r="1173" spans="1:7">
      <c r="A1173" s="368"/>
      <c r="B1173" s="4"/>
      <c r="C1173" s="547" t="s">
        <v>20</v>
      </c>
      <c r="D1173" s="568"/>
      <c r="E1173" s="290" t="s">
        <v>21</v>
      </c>
      <c r="F1173" s="290" t="s">
        <v>22</v>
      </c>
      <c r="G1173" s="61" t="s">
        <v>23</v>
      </c>
    </row>
    <row r="1174" spans="1:7">
      <c r="A1174" s="368"/>
      <c r="B1174" s="410" t="s">
        <v>19</v>
      </c>
      <c r="C1174" s="549" t="s">
        <v>1657</v>
      </c>
      <c r="D1174" s="550"/>
      <c r="E1174" s="62">
        <f>SUM(E1175:E1189)</f>
        <v>7.2</v>
      </c>
      <c r="F1174" s="62">
        <f>SUM(F1175:F1189)</f>
        <v>9.25</v>
      </c>
      <c r="G1174" s="569" t="s">
        <v>1658</v>
      </c>
    </row>
    <row r="1175" spans="1:7">
      <c r="A1175" s="368"/>
      <c r="B1175" s="411">
        <v>1</v>
      </c>
      <c r="C1175" s="566" t="s">
        <v>1650</v>
      </c>
      <c r="D1175" s="554"/>
      <c r="E1175" s="49">
        <v>0.35</v>
      </c>
      <c r="F1175" s="49">
        <v>0.5</v>
      </c>
      <c r="G1175" s="570"/>
    </row>
    <row r="1176" spans="1:7">
      <c r="A1176" s="368"/>
      <c r="B1176" s="411">
        <v>2</v>
      </c>
      <c r="C1176" s="566" t="s">
        <v>1651</v>
      </c>
      <c r="D1176" s="554"/>
      <c r="E1176" s="49">
        <v>0.5</v>
      </c>
      <c r="F1176" s="49">
        <v>0.75</v>
      </c>
      <c r="G1176" s="570"/>
    </row>
    <row r="1177" spans="1:7">
      <c r="A1177" s="368"/>
      <c r="B1177" s="411">
        <v>3</v>
      </c>
      <c r="C1177" s="566" t="s">
        <v>1652</v>
      </c>
      <c r="D1177" s="554"/>
      <c r="E1177" s="49">
        <v>0.35</v>
      </c>
      <c r="F1177" s="49">
        <v>0.4</v>
      </c>
      <c r="G1177" s="570"/>
    </row>
    <row r="1178" spans="1:7">
      <c r="A1178" s="368"/>
      <c r="B1178" s="412">
        <v>4</v>
      </c>
      <c r="C1178" s="566" t="s">
        <v>1653</v>
      </c>
      <c r="D1178" s="554"/>
      <c r="E1178" s="50">
        <v>0.7</v>
      </c>
      <c r="F1178" s="50">
        <v>0.7</v>
      </c>
      <c r="G1178" s="570"/>
    </row>
    <row r="1179" spans="1:7">
      <c r="A1179" s="368"/>
      <c r="B1179" s="411">
        <v>5</v>
      </c>
      <c r="C1179" s="566" t="s">
        <v>1654</v>
      </c>
      <c r="D1179" s="554"/>
      <c r="E1179" s="49">
        <v>0.35</v>
      </c>
      <c r="F1179" s="49">
        <v>0.4</v>
      </c>
      <c r="G1179" s="570"/>
    </row>
    <row r="1180" spans="1:7">
      <c r="A1180" s="368"/>
      <c r="B1180" s="411">
        <v>6</v>
      </c>
      <c r="C1180" s="566" t="s">
        <v>1599</v>
      </c>
      <c r="D1180" s="554"/>
      <c r="E1180" s="49">
        <v>0.5</v>
      </c>
      <c r="F1180" s="49">
        <v>0.75</v>
      </c>
      <c r="G1180" s="570"/>
    </row>
    <row r="1181" spans="1:7">
      <c r="A1181" s="368"/>
      <c r="B1181" s="411">
        <v>7</v>
      </c>
      <c r="C1181" s="566" t="s">
        <v>1619</v>
      </c>
      <c r="D1181" s="554"/>
      <c r="E1181" s="49">
        <v>0.25</v>
      </c>
      <c r="F1181" s="49">
        <v>0.5</v>
      </c>
      <c r="G1181" s="570"/>
    </row>
    <row r="1182" spans="1:7">
      <c r="A1182" s="368"/>
      <c r="B1182" s="411">
        <v>8</v>
      </c>
      <c r="C1182" s="566" t="s">
        <v>1544</v>
      </c>
      <c r="D1182" s="554"/>
      <c r="E1182" s="49">
        <v>0.25</v>
      </c>
      <c r="F1182" s="49">
        <v>0.5</v>
      </c>
      <c r="G1182" s="570"/>
    </row>
    <row r="1183" spans="1:7">
      <c r="A1183" s="368"/>
      <c r="B1183" s="411">
        <v>9</v>
      </c>
      <c r="C1183" s="566" t="s">
        <v>1655</v>
      </c>
      <c r="D1183" s="554"/>
      <c r="E1183" s="49">
        <v>1.7</v>
      </c>
      <c r="F1183" s="49">
        <v>1.75</v>
      </c>
      <c r="G1183" s="570"/>
    </row>
    <row r="1184" spans="1:7">
      <c r="A1184" s="368"/>
      <c r="B1184" s="411">
        <v>10</v>
      </c>
      <c r="C1184" s="566" t="s">
        <v>1656</v>
      </c>
      <c r="D1184" s="554"/>
      <c r="E1184" s="49">
        <v>1</v>
      </c>
      <c r="F1184" s="49">
        <v>1</v>
      </c>
      <c r="G1184" s="570"/>
    </row>
    <row r="1185" spans="1:7">
      <c r="A1185" s="368"/>
      <c r="B1185" s="411">
        <v>11</v>
      </c>
      <c r="C1185" s="566" t="s">
        <v>1606</v>
      </c>
      <c r="D1185" s="554"/>
      <c r="E1185" s="49">
        <v>0.75</v>
      </c>
      <c r="F1185" s="49">
        <v>1</v>
      </c>
      <c r="G1185" s="570"/>
    </row>
    <row r="1186" spans="1:7">
      <c r="A1186" s="368"/>
      <c r="B1186" s="411">
        <v>12</v>
      </c>
      <c r="C1186" s="566" t="s">
        <v>1607</v>
      </c>
      <c r="D1186" s="554"/>
      <c r="E1186" s="49">
        <v>0.25</v>
      </c>
      <c r="F1186" s="49">
        <v>0.5</v>
      </c>
      <c r="G1186" s="570"/>
    </row>
    <row r="1187" spans="1:7">
      <c r="A1187" s="368"/>
      <c r="B1187" s="411">
        <v>13</v>
      </c>
      <c r="C1187" s="566" t="s">
        <v>1544</v>
      </c>
      <c r="D1187" s="554"/>
      <c r="E1187" s="49">
        <v>0.25</v>
      </c>
      <c r="F1187" s="49">
        <v>0.5</v>
      </c>
      <c r="G1187" s="570"/>
    </row>
    <row r="1188" spans="1:7">
      <c r="A1188" s="368"/>
      <c r="B1188" s="411">
        <v>14</v>
      </c>
      <c r="C1188" s="566"/>
      <c r="D1188" s="554"/>
      <c r="E1188" s="49"/>
      <c r="F1188" s="49"/>
      <c r="G1188" s="570"/>
    </row>
    <row r="1189" spans="1:7">
      <c r="A1189" s="368"/>
      <c r="B1189" s="413">
        <v>15</v>
      </c>
      <c r="C1189" s="567"/>
      <c r="D1189" s="556"/>
      <c r="E1189" s="51"/>
      <c r="F1189" s="51"/>
      <c r="G1189" s="571"/>
    </row>
    <row r="1190" spans="1:7">
      <c r="A1190" s="368"/>
      <c r="B1190" s="390"/>
      <c r="C1190" s="390"/>
      <c r="D1190" s="390"/>
      <c r="E1190" s="390"/>
      <c r="F1190" s="390"/>
      <c r="G1190" s="390"/>
    </row>
    <row r="1191" spans="1:7">
      <c r="A1191" s="368"/>
      <c r="B1191" s="4"/>
      <c r="C1191" s="547" t="s">
        <v>20</v>
      </c>
      <c r="D1191" s="568"/>
      <c r="E1191" s="290" t="s">
        <v>21</v>
      </c>
      <c r="F1191" s="290" t="s">
        <v>22</v>
      </c>
      <c r="G1191" s="61" t="s">
        <v>23</v>
      </c>
    </row>
    <row r="1192" spans="1:7">
      <c r="A1192" s="368"/>
      <c r="B1192" s="410" t="s">
        <v>19</v>
      </c>
      <c r="C1192" s="549" t="s">
        <v>1659</v>
      </c>
      <c r="D1192" s="550"/>
      <c r="E1192" s="62">
        <f>SUM(E1193:E1207)</f>
        <v>9.35</v>
      </c>
      <c r="F1192" s="62">
        <f>SUM(F1193:F1207)</f>
        <v>11.7</v>
      </c>
      <c r="G1192" s="569" t="s">
        <v>1660</v>
      </c>
    </row>
    <row r="1193" spans="1:7">
      <c r="A1193" s="368"/>
      <c r="B1193" s="411">
        <v>1</v>
      </c>
      <c r="C1193" s="566" t="s">
        <v>1650</v>
      </c>
      <c r="D1193" s="554"/>
      <c r="E1193" s="49">
        <v>0.7</v>
      </c>
      <c r="F1193" s="49">
        <v>0.75</v>
      </c>
      <c r="G1193" s="570"/>
    </row>
    <row r="1194" spans="1:7">
      <c r="A1194" s="368"/>
      <c r="B1194" s="411">
        <v>2</v>
      </c>
      <c r="C1194" s="566" t="s">
        <v>1651</v>
      </c>
      <c r="D1194" s="554"/>
      <c r="E1194" s="49">
        <v>0.7</v>
      </c>
      <c r="F1194" s="49">
        <v>0.75</v>
      </c>
      <c r="G1194" s="570"/>
    </row>
    <row r="1195" spans="1:7">
      <c r="A1195" s="368"/>
      <c r="B1195" s="411">
        <v>3</v>
      </c>
      <c r="C1195" s="566" t="s">
        <v>1652</v>
      </c>
      <c r="D1195" s="554"/>
      <c r="E1195" s="49">
        <v>0.7</v>
      </c>
      <c r="F1195" s="49">
        <v>0.75</v>
      </c>
      <c r="G1195" s="570"/>
    </row>
    <row r="1196" spans="1:7">
      <c r="A1196" s="368"/>
      <c r="B1196" s="412">
        <v>4</v>
      </c>
      <c r="C1196" s="566" t="s">
        <v>1653</v>
      </c>
      <c r="D1196" s="554"/>
      <c r="E1196" s="50">
        <v>0.35</v>
      </c>
      <c r="F1196" s="50">
        <v>0.7</v>
      </c>
      <c r="G1196" s="570"/>
    </row>
    <row r="1197" spans="1:7">
      <c r="A1197" s="368"/>
      <c r="B1197" s="411">
        <v>5</v>
      </c>
      <c r="C1197" s="566" t="s">
        <v>1654</v>
      </c>
      <c r="D1197" s="554"/>
      <c r="E1197" s="49">
        <v>0.35</v>
      </c>
      <c r="F1197" s="49">
        <v>0.5</v>
      </c>
      <c r="G1197" s="570"/>
    </row>
    <row r="1198" spans="1:7">
      <c r="A1198" s="368"/>
      <c r="B1198" s="411">
        <v>6</v>
      </c>
      <c r="C1198" s="566" t="s">
        <v>1599</v>
      </c>
      <c r="D1198" s="554"/>
      <c r="E1198" s="49">
        <v>0.35</v>
      </c>
      <c r="F1198" s="49">
        <v>0.5</v>
      </c>
      <c r="G1198" s="570"/>
    </row>
    <row r="1199" spans="1:7">
      <c r="A1199" s="368"/>
      <c r="B1199" s="411">
        <v>7</v>
      </c>
      <c r="C1199" s="566" t="s">
        <v>1619</v>
      </c>
      <c r="D1199" s="554"/>
      <c r="E1199" s="49">
        <v>0.35</v>
      </c>
      <c r="F1199" s="49">
        <v>0.5</v>
      </c>
      <c r="G1199" s="570"/>
    </row>
    <row r="1200" spans="1:7">
      <c r="A1200" s="368"/>
      <c r="B1200" s="411">
        <v>8</v>
      </c>
      <c r="C1200" s="566" t="s">
        <v>1544</v>
      </c>
      <c r="D1200" s="554"/>
      <c r="E1200" s="49">
        <v>0.35</v>
      </c>
      <c r="F1200" s="49">
        <v>0.5</v>
      </c>
      <c r="G1200" s="570"/>
    </row>
    <row r="1201" spans="1:7">
      <c r="A1201" s="368"/>
      <c r="B1201" s="411">
        <v>9</v>
      </c>
      <c r="C1201" s="566" t="s">
        <v>1655</v>
      </c>
      <c r="D1201" s="554"/>
      <c r="E1201" s="49">
        <v>2</v>
      </c>
      <c r="F1201" s="49">
        <v>2.25</v>
      </c>
      <c r="G1201" s="570"/>
    </row>
    <row r="1202" spans="1:7">
      <c r="A1202" s="368"/>
      <c r="B1202" s="411">
        <v>10</v>
      </c>
      <c r="C1202" s="566" t="s">
        <v>1656</v>
      </c>
      <c r="D1202" s="554"/>
      <c r="E1202" s="49">
        <v>1.5</v>
      </c>
      <c r="F1202" s="49">
        <v>1.75</v>
      </c>
      <c r="G1202" s="570"/>
    </row>
    <row r="1203" spans="1:7">
      <c r="A1203" s="368"/>
      <c r="B1203" s="411">
        <v>11</v>
      </c>
      <c r="C1203" s="566" t="s">
        <v>1606</v>
      </c>
      <c r="D1203" s="554"/>
      <c r="E1203" s="49">
        <v>1</v>
      </c>
      <c r="F1203" s="49">
        <v>1.25</v>
      </c>
      <c r="G1203" s="570"/>
    </row>
    <row r="1204" spans="1:7">
      <c r="A1204" s="368"/>
      <c r="B1204" s="411">
        <v>12</v>
      </c>
      <c r="C1204" s="566" t="s">
        <v>1607</v>
      </c>
      <c r="D1204" s="554"/>
      <c r="E1204" s="49">
        <v>0.5</v>
      </c>
      <c r="F1204" s="49">
        <v>0.75</v>
      </c>
      <c r="G1204" s="570"/>
    </row>
    <row r="1205" spans="1:7">
      <c r="A1205" s="368"/>
      <c r="B1205" s="411">
        <v>13</v>
      </c>
      <c r="C1205" s="566" t="s">
        <v>1544</v>
      </c>
      <c r="D1205" s="554"/>
      <c r="E1205" s="49">
        <v>0.5</v>
      </c>
      <c r="F1205" s="49">
        <v>0.75</v>
      </c>
      <c r="G1205" s="570"/>
    </row>
    <row r="1206" spans="1:7">
      <c r="A1206" s="368"/>
      <c r="B1206" s="411">
        <v>14</v>
      </c>
      <c r="C1206" s="566"/>
      <c r="D1206" s="554"/>
      <c r="E1206" s="49"/>
      <c r="F1206" s="49"/>
      <c r="G1206" s="570"/>
    </row>
    <row r="1207" spans="1:7">
      <c r="A1207" s="368"/>
      <c r="B1207" s="413">
        <v>15</v>
      </c>
      <c r="C1207" s="567"/>
      <c r="D1207" s="556"/>
      <c r="E1207" s="51"/>
      <c r="F1207" s="51"/>
      <c r="G1207" s="571"/>
    </row>
    <row r="1208" spans="1:7">
      <c r="A1208" s="368"/>
      <c r="B1208" s="390"/>
      <c r="C1208" s="390"/>
      <c r="D1208" s="390"/>
      <c r="E1208" s="390"/>
      <c r="F1208" s="390"/>
      <c r="G1208" s="390"/>
    </row>
    <row r="1209" spans="1:7">
      <c r="A1209" s="368"/>
      <c r="B1209" s="4"/>
      <c r="C1209" s="547" t="s">
        <v>20</v>
      </c>
      <c r="D1209" s="568"/>
      <c r="E1209" s="290" t="s">
        <v>21</v>
      </c>
      <c r="F1209" s="290" t="s">
        <v>22</v>
      </c>
      <c r="G1209" s="61" t="s">
        <v>23</v>
      </c>
    </row>
    <row r="1210" spans="1:7">
      <c r="A1210" s="368"/>
      <c r="B1210" s="410" t="s">
        <v>19</v>
      </c>
      <c r="C1210" s="549" t="s">
        <v>1661</v>
      </c>
      <c r="D1210" s="550"/>
      <c r="E1210" s="62">
        <f>SUM(E1211:E1225)</f>
        <v>7.05</v>
      </c>
      <c r="F1210" s="62">
        <f>SUM(F1211:F1225)</f>
        <v>10.45</v>
      </c>
      <c r="G1210" s="569" t="s">
        <v>1662</v>
      </c>
    </row>
    <row r="1211" spans="1:7">
      <c r="A1211" s="368"/>
      <c r="B1211" s="411">
        <v>1</v>
      </c>
      <c r="C1211" s="566" t="s">
        <v>1663</v>
      </c>
      <c r="D1211" s="554"/>
      <c r="E1211" s="49">
        <v>0.3</v>
      </c>
      <c r="F1211" s="49">
        <v>0.3</v>
      </c>
      <c r="G1211" s="570"/>
    </row>
    <row r="1212" spans="1:7">
      <c r="A1212" s="368"/>
      <c r="B1212" s="411">
        <v>2</v>
      </c>
      <c r="C1212" s="566" t="s">
        <v>1664</v>
      </c>
      <c r="D1212" s="554"/>
      <c r="E1212" s="49">
        <v>0.25</v>
      </c>
      <c r="F1212" s="49">
        <v>0.3</v>
      </c>
      <c r="G1212" s="570"/>
    </row>
    <row r="1213" spans="1:7">
      <c r="A1213" s="368"/>
      <c r="B1213" s="411">
        <v>3</v>
      </c>
      <c r="C1213" s="566" t="s">
        <v>1665</v>
      </c>
      <c r="D1213" s="554"/>
      <c r="E1213" s="49">
        <v>1.5</v>
      </c>
      <c r="F1213" s="49">
        <v>2.5</v>
      </c>
      <c r="G1213" s="570"/>
    </row>
    <row r="1214" spans="1:7">
      <c r="A1214" s="368"/>
      <c r="B1214" s="412">
        <v>4</v>
      </c>
      <c r="C1214" s="566" t="s">
        <v>1520</v>
      </c>
      <c r="D1214" s="554"/>
      <c r="E1214" s="50">
        <v>0.25</v>
      </c>
      <c r="F1214" s="50">
        <v>0.5</v>
      </c>
      <c r="G1214" s="570"/>
    </row>
    <row r="1215" spans="1:7">
      <c r="A1215" s="368"/>
      <c r="B1215" s="411">
        <v>5</v>
      </c>
      <c r="C1215" s="566" t="s">
        <v>1544</v>
      </c>
      <c r="D1215" s="554"/>
      <c r="E1215" s="49">
        <v>0.5</v>
      </c>
      <c r="F1215" s="49">
        <v>0.75</v>
      </c>
      <c r="G1215" s="570"/>
    </row>
    <row r="1216" spans="1:7">
      <c r="A1216" s="368"/>
      <c r="B1216" s="411">
        <v>6</v>
      </c>
      <c r="C1216" s="566" t="s">
        <v>1666</v>
      </c>
      <c r="D1216" s="554"/>
      <c r="E1216" s="49">
        <v>3</v>
      </c>
      <c r="F1216" s="49">
        <v>4</v>
      </c>
      <c r="G1216" s="570"/>
    </row>
    <row r="1217" spans="1:7">
      <c r="A1217" s="368"/>
      <c r="B1217" s="411">
        <v>7</v>
      </c>
      <c r="C1217" s="566" t="s">
        <v>1582</v>
      </c>
      <c r="D1217" s="554"/>
      <c r="E1217" s="49">
        <v>0.25</v>
      </c>
      <c r="F1217" s="49">
        <v>0.35</v>
      </c>
      <c r="G1217" s="570"/>
    </row>
    <row r="1218" spans="1:7">
      <c r="A1218" s="368"/>
      <c r="B1218" s="411">
        <v>8</v>
      </c>
      <c r="C1218" s="566" t="s">
        <v>1520</v>
      </c>
      <c r="D1218" s="554"/>
      <c r="E1218" s="49">
        <v>0.5</v>
      </c>
      <c r="F1218" s="49">
        <v>0.75</v>
      </c>
      <c r="G1218" s="570"/>
    </row>
    <row r="1219" spans="1:7">
      <c r="A1219" s="368"/>
      <c r="B1219" s="411">
        <v>9</v>
      </c>
      <c r="C1219" s="566" t="s">
        <v>1544</v>
      </c>
      <c r="D1219" s="554"/>
      <c r="E1219" s="49">
        <v>0.5</v>
      </c>
      <c r="F1219" s="49">
        <v>1</v>
      </c>
      <c r="G1219" s="570"/>
    </row>
    <row r="1220" spans="1:7">
      <c r="A1220" s="368"/>
      <c r="B1220" s="411">
        <v>10</v>
      </c>
      <c r="C1220" s="566"/>
      <c r="D1220" s="554"/>
      <c r="E1220" s="49"/>
      <c r="F1220" s="49"/>
      <c r="G1220" s="570"/>
    </row>
    <row r="1221" spans="1:7">
      <c r="A1221" s="368"/>
      <c r="B1221" s="411">
        <v>11</v>
      </c>
      <c r="C1221" s="566"/>
      <c r="D1221" s="554"/>
      <c r="E1221" s="49"/>
      <c r="F1221" s="49"/>
      <c r="G1221" s="570"/>
    </row>
    <row r="1222" spans="1:7">
      <c r="A1222" s="368"/>
      <c r="B1222" s="411">
        <v>12</v>
      </c>
      <c r="C1222" s="566"/>
      <c r="D1222" s="554"/>
      <c r="E1222" s="49"/>
      <c r="F1222" s="49"/>
      <c r="G1222" s="570"/>
    </row>
    <row r="1223" spans="1:7">
      <c r="A1223" s="368"/>
      <c r="B1223" s="411">
        <v>13</v>
      </c>
      <c r="C1223" s="566"/>
      <c r="D1223" s="554"/>
      <c r="E1223" s="49"/>
      <c r="F1223" s="49"/>
      <c r="G1223" s="570"/>
    </row>
    <row r="1224" spans="1:7">
      <c r="A1224" s="368"/>
      <c r="B1224" s="411">
        <v>14</v>
      </c>
      <c r="C1224" s="566"/>
      <c r="D1224" s="554"/>
      <c r="E1224" s="49"/>
      <c r="F1224" s="49"/>
      <c r="G1224" s="570"/>
    </row>
    <row r="1225" spans="1:7">
      <c r="A1225" s="368"/>
      <c r="B1225" s="413">
        <v>15</v>
      </c>
      <c r="C1225" s="567"/>
      <c r="D1225" s="556"/>
      <c r="E1225" s="51"/>
      <c r="F1225" s="51"/>
      <c r="G1225" s="571"/>
    </row>
    <row r="1226" spans="1:7">
      <c r="A1226" s="368"/>
      <c r="B1226" s="390"/>
      <c r="C1226" s="390"/>
      <c r="D1226" s="390"/>
      <c r="E1226" s="390"/>
      <c r="F1226" s="390"/>
      <c r="G1226" s="390"/>
    </row>
    <row r="1227" spans="1:7">
      <c r="A1227" s="368"/>
      <c r="B1227" s="4"/>
      <c r="C1227" s="547" t="s">
        <v>20</v>
      </c>
      <c r="D1227" s="568"/>
      <c r="E1227" s="290" t="s">
        <v>21</v>
      </c>
      <c r="F1227" s="290" t="s">
        <v>22</v>
      </c>
      <c r="G1227" s="61" t="s">
        <v>23</v>
      </c>
    </row>
    <row r="1228" spans="1:7">
      <c r="A1228" s="368"/>
      <c r="B1228" s="410" t="s">
        <v>19</v>
      </c>
      <c r="C1228" s="549" t="s">
        <v>1667</v>
      </c>
      <c r="D1228" s="550"/>
      <c r="E1228" s="62">
        <f>SUM(E1229:E1243)</f>
        <v>1.8000000000000003</v>
      </c>
      <c r="F1228" s="62">
        <f>SUM(F1229:F1243)</f>
        <v>2.6500000000000004</v>
      </c>
      <c r="G1228" s="569" t="s">
        <v>1668</v>
      </c>
    </row>
    <row r="1229" spans="1:7">
      <c r="A1229" s="368"/>
      <c r="B1229" s="411">
        <v>1</v>
      </c>
      <c r="C1229" s="566" t="s">
        <v>1669</v>
      </c>
      <c r="D1229" s="554"/>
      <c r="E1229" s="49">
        <v>0.25</v>
      </c>
      <c r="F1229" s="49">
        <v>0.5</v>
      </c>
      <c r="G1229" s="570"/>
    </row>
    <row r="1230" spans="1:7">
      <c r="A1230" s="368"/>
      <c r="B1230" s="411">
        <v>2</v>
      </c>
      <c r="C1230" s="566" t="s">
        <v>1670</v>
      </c>
      <c r="D1230" s="554"/>
      <c r="E1230" s="49">
        <v>0</v>
      </c>
      <c r="F1230" s="49">
        <v>0</v>
      </c>
      <c r="G1230" s="570"/>
    </row>
    <row r="1231" spans="1:7">
      <c r="A1231" s="368"/>
      <c r="B1231" s="411">
        <v>3</v>
      </c>
      <c r="C1231" s="566" t="s">
        <v>1671</v>
      </c>
      <c r="D1231" s="554"/>
      <c r="E1231" s="49">
        <v>0</v>
      </c>
      <c r="F1231" s="49">
        <v>0</v>
      </c>
      <c r="G1231" s="570"/>
    </row>
    <row r="1232" spans="1:7">
      <c r="A1232" s="368"/>
      <c r="B1232" s="412">
        <v>4</v>
      </c>
      <c r="C1232" s="566" t="s">
        <v>1599</v>
      </c>
      <c r="D1232" s="554"/>
      <c r="E1232" s="50">
        <v>0.1</v>
      </c>
      <c r="F1232" s="50">
        <v>0.2</v>
      </c>
      <c r="G1232" s="570"/>
    </row>
    <row r="1233" spans="1:7">
      <c r="A1233" s="368"/>
      <c r="B1233" s="411">
        <v>5</v>
      </c>
      <c r="C1233" s="566" t="s">
        <v>1619</v>
      </c>
      <c r="D1233" s="554"/>
      <c r="E1233" s="49">
        <v>0.25</v>
      </c>
      <c r="F1233" s="49">
        <v>0.3</v>
      </c>
      <c r="G1233" s="570"/>
    </row>
    <row r="1234" spans="1:7">
      <c r="A1234" s="368"/>
      <c r="B1234" s="411">
        <v>6</v>
      </c>
      <c r="C1234" s="566" t="s">
        <v>1544</v>
      </c>
      <c r="D1234" s="554"/>
      <c r="E1234" s="49">
        <v>0.25</v>
      </c>
      <c r="F1234" s="49">
        <v>0.3</v>
      </c>
      <c r="G1234" s="570"/>
    </row>
    <row r="1235" spans="1:7">
      <c r="A1235" s="368"/>
      <c r="B1235" s="411">
        <v>7</v>
      </c>
      <c r="C1235" s="566" t="s">
        <v>1672</v>
      </c>
      <c r="D1235" s="554"/>
      <c r="E1235" s="49">
        <v>0.65</v>
      </c>
      <c r="F1235" s="49">
        <v>0.75</v>
      </c>
      <c r="G1235" s="570"/>
    </row>
    <row r="1236" spans="1:7">
      <c r="A1236" s="368"/>
      <c r="B1236" s="411">
        <v>8</v>
      </c>
      <c r="C1236" s="566" t="s">
        <v>1673</v>
      </c>
      <c r="D1236" s="554"/>
      <c r="E1236" s="49">
        <v>0</v>
      </c>
      <c r="F1236" s="49">
        <v>0</v>
      </c>
      <c r="G1236" s="570"/>
    </row>
    <row r="1237" spans="1:7">
      <c r="A1237" s="368"/>
      <c r="B1237" s="411">
        <v>9</v>
      </c>
      <c r="C1237" s="566" t="s">
        <v>1674</v>
      </c>
      <c r="D1237" s="554"/>
      <c r="E1237" s="49">
        <v>0</v>
      </c>
      <c r="F1237" s="49">
        <v>0</v>
      </c>
      <c r="G1237" s="570"/>
    </row>
    <row r="1238" spans="1:7">
      <c r="A1238" s="368"/>
      <c r="B1238" s="411">
        <v>10</v>
      </c>
      <c r="C1238" s="566" t="s">
        <v>1606</v>
      </c>
      <c r="D1238" s="554"/>
      <c r="E1238" s="49">
        <v>0.1</v>
      </c>
      <c r="F1238" s="49">
        <v>0.2</v>
      </c>
      <c r="G1238" s="570"/>
    </row>
    <row r="1239" spans="1:7">
      <c r="A1239" s="368"/>
      <c r="B1239" s="411">
        <v>11</v>
      </c>
      <c r="C1239" s="566" t="s">
        <v>1607</v>
      </c>
      <c r="D1239" s="554"/>
      <c r="E1239" s="49">
        <v>0.1</v>
      </c>
      <c r="F1239" s="49">
        <v>0.2</v>
      </c>
      <c r="G1239" s="570"/>
    </row>
    <row r="1240" spans="1:7">
      <c r="A1240" s="368"/>
      <c r="B1240" s="411">
        <v>12</v>
      </c>
      <c r="C1240" s="566" t="s">
        <v>1544</v>
      </c>
      <c r="D1240" s="554"/>
      <c r="E1240" s="49">
        <v>0.1</v>
      </c>
      <c r="F1240" s="49">
        <v>0.2</v>
      </c>
      <c r="G1240" s="570"/>
    </row>
    <row r="1241" spans="1:7">
      <c r="A1241" s="368"/>
      <c r="B1241" s="411">
        <v>13</v>
      </c>
      <c r="C1241" s="566"/>
      <c r="D1241" s="554"/>
      <c r="E1241" s="49"/>
      <c r="F1241" s="49"/>
      <c r="G1241" s="570"/>
    </row>
    <row r="1242" spans="1:7">
      <c r="A1242" s="368"/>
      <c r="B1242" s="411">
        <v>14</v>
      </c>
      <c r="C1242" s="566"/>
      <c r="D1242" s="554"/>
      <c r="E1242" s="49"/>
      <c r="F1242" s="49"/>
      <c r="G1242" s="570"/>
    </row>
    <row r="1243" spans="1:7">
      <c r="A1243" s="368"/>
      <c r="B1243" s="413">
        <v>15</v>
      </c>
      <c r="C1243" s="567"/>
      <c r="D1243" s="556"/>
      <c r="E1243" s="51"/>
      <c r="F1243" s="51"/>
      <c r="G1243" s="571"/>
    </row>
    <row r="1244" spans="1:7">
      <c r="A1244" s="368"/>
      <c r="B1244" s="390"/>
      <c r="C1244" s="390"/>
      <c r="D1244" s="390"/>
      <c r="E1244" s="390"/>
      <c r="F1244" s="390"/>
      <c r="G1244" s="390"/>
    </row>
    <row r="1245" spans="1:7">
      <c r="A1245" s="368"/>
      <c r="B1245" s="4"/>
      <c r="C1245" s="547" t="s">
        <v>20</v>
      </c>
      <c r="D1245" s="568"/>
      <c r="E1245" s="290" t="s">
        <v>21</v>
      </c>
      <c r="F1245" s="290" t="s">
        <v>22</v>
      </c>
      <c r="G1245" s="61" t="s">
        <v>23</v>
      </c>
    </row>
    <row r="1246" spans="1:7">
      <c r="A1246" s="368"/>
      <c r="B1246" s="410" t="s">
        <v>19</v>
      </c>
      <c r="C1246" s="549" t="s">
        <v>1675</v>
      </c>
      <c r="D1246" s="550"/>
      <c r="E1246" s="62">
        <f>SUM(E1247:E1261)</f>
        <v>2.4</v>
      </c>
      <c r="F1246" s="62">
        <f>SUM(F1247:F1261)</f>
        <v>3.4499999999999993</v>
      </c>
      <c r="G1246" s="569" t="s">
        <v>1676</v>
      </c>
    </row>
    <row r="1247" spans="1:7">
      <c r="A1247" s="368"/>
      <c r="B1247" s="411">
        <v>1</v>
      </c>
      <c r="C1247" s="566" t="s">
        <v>1669</v>
      </c>
      <c r="D1247" s="554"/>
      <c r="E1247" s="49">
        <v>0.5</v>
      </c>
      <c r="F1247" s="49">
        <v>0.75</v>
      </c>
      <c r="G1247" s="570"/>
    </row>
    <row r="1248" spans="1:7">
      <c r="A1248" s="368"/>
      <c r="B1248" s="411">
        <v>2</v>
      </c>
      <c r="C1248" s="566" t="s">
        <v>1670</v>
      </c>
      <c r="D1248" s="554"/>
      <c r="E1248" s="49">
        <v>0</v>
      </c>
      <c r="F1248" s="49">
        <v>0</v>
      </c>
      <c r="G1248" s="570"/>
    </row>
    <row r="1249" spans="1:7">
      <c r="A1249" s="368"/>
      <c r="B1249" s="411">
        <v>3</v>
      </c>
      <c r="C1249" s="566" t="s">
        <v>1671</v>
      </c>
      <c r="D1249" s="554"/>
      <c r="E1249" s="49">
        <v>0</v>
      </c>
      <c r="F1249" s="49">
        <v>0</v>
      </c>
      <c r="G1249" s="570"/>
    </row>
    <row r="1250" spans="1:7">
      <c r="A1250" s="368"/>
      <c r="B1250" s="412">
        <v>4</v>
      </c>
      <c r="C1250" s="566" t="s">
        <v>1599</v>
      </c>
      <c r="D1250" s="554"/>
      <c r="E1250" s="50">
        <v>0.1</v>
      </c>
      <c r="F1250" s="50">
        <v>0.2</v>
      </c>
      <c r="G1250" s="570"/>
    </row>
    <row r="1251" spans="1:7">
      <c r="A1251" s="368"/>
      <c r="B1251" s="411">
        <v>5</v>
      </c>
      <c r="C1251" s="566" t="s">
        <v>1619</v>
      </c>
      <c r="D1251" s="554"/>
      <c r="E1251" s="49">
        <v>0.15</v>
      </c>
      <c r="F1251" s="49">
        <v>0.3</v>
      </c>
      <c r="G1251" s="570"/>
    </row>
    <row r="1252" spans="1:7">
      <c r="A1252" s="368"/>
      <c r="B1252" s="411">
        <v>6</v>
      </c>
      <c r="C1252" s="566" t="s">
        <v>1544</v>
      </c>
      <c r="D1252" s="554"/>
      <c r="E1252" s="49">
        <v>0.15</v>
      </c>
      <c r="F1252" s="49">
        <v>0.3</v>
      </c>
      <c r="G1252" s="570"/>
    </row>
    <row r="1253" spans="1:7">
      <c r="A1253" s="368"/>
      <c r="B1253" s="411">
        <v>7</v>
      </c>
      <c r="C1253" s="566" t="s">
        <v>1672</v>
      </c>
      <c r="D1253" s="554"/>
      <c r="E1253" s="49">
        <v>0.75</v>
      </c>
      <c r="F1253" s="49">
        <v>1</v>
      </c>
      <c r="G1253" s="570"/>
    </row>
    <row r="1254" spans="1:7">
      <c r="A1254" s="368"/>
      <c r="B1254" s="411">
        <v>8</v>
      </c>
      <c r="C1254" s="566" t="s">
        <v>1673</v>
      </c>
      <c r="D1254" s="554"/>
      <c r="E1254" s="49">
        <v>0</v>
      </c>
      <c r="F1254" s="49">
        <v>0</v>
      </c>
      <c r="G1254" s="570"/>
    </row>
    <row r="1255" spans="1:7">
      <c r="A1255" s="368"/>
      <c r="B1255" s="411">
        <v>9</v>
      </c>
      <c r="C1255" s="566" t="s">
        <v>1674</v>
      </c>
      <c r="D1255" s="554"/>
      <c r="E1255" s="49">
        <v>0</v>
      </c>
      <c r="F1255" s="49">
        <v>0</v>
      </c>
      <c r="G1255" s="570"/>
    </row>
    <row r="1256" spans="1:7">
      <c r="A1256" s="368"/>
      <c r="B1256" s="411">
        <v>10</v>
      </c>
      <c r="C1256" s="566" t="s">
        <v>1606</v>
      </c>
      <c r="D1256" s="554"/>
      <c r="E1256" s="49">
        <v>0.25</v>
      </c>
      <c r="F1256" s="49">
        <v>0.3</v>
      </c>
      <c r="G1256" s="570"/>
    </row>
    <row r="1257" spans="1:7">
      <c r="A1257" s="368"/>
      <c r="B1257" s="411">
        <v>11</v>
      </c>
      <c r="C1257" s="566" t="s">
        <v>1607</v>
      </c>
      <c r="D1257" s="554"/>
      <c r="E1257" s="49">
        <v>0.25</v>
      </c>
      <c r="F1257" s="49">
        <v>0.3</v>
      </c>
      <c r="G1257" s="570"/>
    </row>
    <row r="1258" spans="1:7">
      <c r="A1258" s="368"/>
      <c r="B1258" s="411">
        <v>12</v>
      </c>
      <c r="C1258" s="566" t="s">
        <v>1544</v>
      </c>
      <c r="D1258" s="554"/>
      <c r="E1258" s="49">
        <v>0.25</v>
      </c>
      <c r="F1258" s="49">
        <v>0.3</v>
      </c>
      <c r="G1258" s="570"/>
    </row>
    <row r="1259" spans="1:7">
      <c r="A1259" s="368"/>
      <c r="B1259" s="411">
        <v>13</v>
      </c>
      <c r="C1259" s="566"/>
      <c r="D1259" s="554"/>
      <c r="E1259" s="49"/>
      <c r="F1259" s="49"/>
      <c r="G1259" s="570"/>
    </row>
    <row r="1260" spans="1:7">
      <c r="A1260" s="368"/>
      <c r="B1260" s="411">
        <v>14</v>
      </c>
      <c r="C1260" s="566"/>
      <c r="D1260" s="554"/>
      <c r="E1260" s="49"/>
      <c r="F1260" s="49"/>
      <c r="G1260" s="570"/>
    </row>
    <row r="1261" spans="1:7">
      <c r="A1261" s="368"/>
      <c r="B1261" s="413">
        <v>15</v>
      </c>
      <c r="C1261" s="567"/>
      <c r="D1261" s="556"/>
      <c r="E1261" s="51"/>
      <c r="F1261" s="51"/>
      <c r="G1261" s="571"/>
    </row>
    <row r="1262" spans="1:7">
      <c r="A1262" s="368"/>
      <c r="B1262" s="390"/>
      <c r="C1262" s="390"/>
      <c r="D1262" s="390"/>
      <c r="E1262" s="390"/>
      <c r="F1262" s="390"/>
      <c r="G1262" s="390"/>
    </row>
    <row r="1263" spans="1:7">
      <c r="A1263" s="368"/>
      <c r="B1263" s="4"/>
      <c r="C1263" s="547" t="s">
        <v>20</v>
      </c>
      <c r="D1263" s="568"/>
      <c r="E1263" s="290" t="s">
        <v>21</v>
      </c>
      <c r="F1263" s="290" t="s">
        <v>22</v>
      </c>
      <c r="G1263" s="61" t="s">
        <v>23</v>
      </c>
    </row>
    <row r="1264" spans="1:7">
      <c r="A1264" s="368"/>
      <c r="B1264" s="410" t="s">
        <v>19</v>
      </c>
      <c r="C1264" s="549" t="s">
        <v>1677</v>
      </c>
      <c r="D1264" s="550"/>
      <c r="E1264" s="62">
        <f>SUM(E1265:E1279)</f>
        <v>7.7</v>
      </c>
      <c r="F1264" s="62">
        <f>SUM(F1265:F1279)</f>
        <v>11.75</v>
      </c>
      <c r="G1264" s="569" t="s">
        <v>1678</v>
      </c>
    </row>
    <row r="1265" spans="1:7">
      <c r="A1265" s="368"/>
      <c r="B1265" s="411">
        <v>1</v>
      </c>
      <c r="C1265" s="566" t="s">
        <v>1669</v>
      </c>
      <c r="D1265" s="554"/>
      <c r="E1265" s="49">
        <v>0.65</v>
      </c>
      <c r="F1265" s="49">
        <v>0.75</v>
      </c>
      <c r="G1265" s="570"/>
    </row>
    <row r="1266" spans="1:7">
      <c r="A1266" s="368"/>
      <c r="B1266" s="411">
        <v>2</v>
      </c>
      <c r="C1266" s="566" t="s">
        <v>1670</v>
      </c>
      <c r="D1266" s="554"/>
      <c r="E1266" s="49">
        <v>0.5</v>
      </c>
      <c r="F1266" s="49">
        <v>1</v>
      </c>
      <c r="G1266" s="570"/>
    </row>
    <row r="1267" spans="1:7">
      <c r="A1267" s="368"/>
      <c r="B1267" s="411">
        <v>3</v>
      </c>
      <c r="C1267" s="566" t="s">
        <v>1671</v>
      </c>
      <c r="D1267" s="554"/>
      <c r="E1267" s="49">
        <v>0.5</v>
      </c>
      <c r="F1267" s="49">
        <v>1</v>
      </c>
      <c r="G1267" s="570"/>
    </row>
    <row r="1268" spans="1:7">
      <c r="A1268" s="368"/>
      <c r="B1268" s="412">
        <v>4</v>
      </c>
      <c r="C1268" s="566" t="s">
        <v>1599</v>
      </c>
      <c r="D1268" s="554"/>
      <c r="E1268" s="50">
        <v>0.25</v>
      </c>
      <c r="F1268" s="50">
        <v>0.5</v>
      </c>
      <c r="G1268" s="570"/>
    </row>
    <row r="1269" spans="1:7">
      <c r="A1269" s="368"/>
      <c r="B1269" s="411">
        <v>5</v>
      </c>
      <c r="C1269" s="566" t="s">
        <v>1619</v>
      </c>
      <c r="D1269" s="554"/>
      <c r="E1269" s="49">
        <v>0.25</v>
      </c>
      <c r="F1269" s="49">
        <v>0.5</v>
      </c>
      <c r="G1269" s="570"/>
    </row>
    <row r="1270" spans="1:7">
      <c r="A1270" s="368"/>
      <c r="B1270" s="411">
        <v>6</v>
      </c>
      <c r="C1270" s="566" t="s">
        <v>1544</v>
      </c>
      <c r="D1270" s="554"/>
      <c r="E1270" s="49">
        <v>0.35</v>
      </c>
      <c r="F1270" s="49">
        <v>0.5</v>
      </c>
      <c r="G1270" s="570"/>
    </row>
    <row r="1271" spans="1:7">
      <c r="A1271" s="368"/>
      <c r="B1271" s="411">
        <v>7</v>
      </c>
      <c r="C1271" s="566" t="s">
        <v>1672</v>
      </c>
      <c r="D1271" s="554"/>
      <c r="E1271" s="49">
        <v>0.75</v>
      </c>
      <c r="F1271" s="49">
        <v>1</v>
      </c>
      <c r="G1271" s="570"/>
    </row>
    <row r="1272" spans="1:7">
      <c r="A1272" s="368"/>
      <c r="B1272" s="411">
        <v>8</v>
      </c>
      <c r="C1272" s="566" t="s">
        <v>1673</v>
      </c>
      <c r="D1272" s="554"/>
      <c r="E1272" s="49">
        <v>1.5</v>
      </c>
      <c r="F1272" s="49">
        <v>2</v>
      </c>
      <c r="G1272" s="570"/>
    </row>
    <row r="1273" spans="1:7">
      <c r="A1273" s="368"/>
      <c r="B1273" s="411">
        <v>9</v>
      </c>
      <c r="C1273" s="566" t="s">
        <v>1674</v>
      </c>
      <c r="D1273" s="554"/>
      <c r="E1273" s="49">
        <v>1.5</v>
      </c>
      <c r="F1273" s="49">
        <v>2</v>
      </c>
      <c r="G1273" s="570"/>
    </row>
    <row r="1274" spans="1:7">
      <c r="A1274" s="368"/>
      <c r="B1274" s="411">
        <v>10</v>
      </c>
      <c r="C1274" s="566" t="s">
        <v>1606</v>
      </c>
      <c r="D1274" s="554"/>
      <c r="E1274" s="49">
        <v>0.55000000000000004</v>
      </c>
      <c r="F1274" s="49">
        <v>1</v>
      </c>
      <c r="G1274" s="570"/>
    </row>
    <row r="1275" spans="1:7">
      <c r="A1275" s="368"/>
      <c r="B1275" s="411">
        <v>11</v>
      </c>
      <c r="C1275" s="566" t="s">
        <v>1607</v>
      </c>
      <c r="D1275" s="554"/>
      <c r="E1275" s="49">
        <v>0.4</v>
      </c>
      <c r="F1275" s="49">
        <v>0.75</v>
      </c>
      <c r="G1275" s="570"/>
    </row>
    <row r="1276" spans="1:7">
      <c r="A1276" s="368"/>
      <c r="B1276" s="411">
        <v>12</v>
      </c>
      <c r="C1276" s="566" t="s">
        <v>1544</v>
      </c>
      <c r="D1276" s="554"/>
      <c r="E1276" s="49">
        <v>0.5</v>
      </c>
      <c r="F1276" s="49">
        <v>0.75</v>
      </c>
      <c r="G1276" s="570"/>
    </row>
    <row r="1277" spans="1:7">
      <c r="A1277" s="368"/>
      <c r="B1277" s="411">
        <v>13</v>
      </c>
      <c r="C1277" s="566"/>
      <c r="D1277" s="554"/>
      <c r="E1277" s="49"/>
      <c r="F1277" s="49"/>
      <c r="G1277" s="570"/>
    </row>
    <row r="1278" spans="1:7">
      <c r="A1278" s="368"/>
      <c r="B1278" s="411">
        <v>14</v>
      </c>
      <c r="C1278" s="566"/>
      <c r="D1278" s="554"/>
      <c r="E1278" s="49"/>
      <c r="F1278" s="49"/>
      <c r="G1278" s="570"/>
    </row>
    <row r="1279" spans="1:7">
      <c r="A1279" s="368"/>
      <c r="B1279" s="413">
        <v>15</v>
      </c>
      <c r="C1279" s="567"/>
      <c r="D1279" s="556"/>
      <c r="E1279" s="51"/>
      <c r="F1279" s="51"/>
      <c r="G1279" s="571"/>
    </row>
    <row r="1280" spans="1:7">
      <c r="A1280" s="368"/>
      <c r="B1280" s="390"/>
      <c r="C1280" s="390"/>
      <c r="D1280" s="390"/>
      <c r="E1280" s="390"/>
      <c r="F1280" s="390"/>
      <c r="G1280" s="390"/>
    </row>
    <row r="1281" spans="1:7">
      <c r="A1281" s="368"/>
      <c r="B1281" s="4"/>
      <c r="C1281" s="547" t="s">
        <v>20</v>
      </c>
      <c r="D1281" s="568"/>
      <c r="E1281" s="290" t="s">
        <v>21</v>
      </c>
      <c r="F1281" s="290" t="s">
        <v>22</v>
      </c>
      <c r="G1281" s="61" t="s">
        <v>23</v>
      </c>
    </row>
    <row r="1282" spans="1:7">
      <c r="A1282" s="368"/>
      <c r="B1282" s="410" t="s">
        <v>19</v>
      </c>
      <c r="C1282" s="549" t="s">
        <v>1679</v>
      </c>
      <c r="D1282" s="550"/>
      <c r="E1282" s="62">
        <f>SUM(E1283:E1297)</f>
        <v>1.4500000000000002</v>
      </c>
      <c r="F1282" s="62">
        <f>SUM(F1283:F1297)</f>
        <v>2.9000000000000004</v>
      </c>
      <c r="G1282" s="569" t="s">
        <v>1680</v>
      </c>
    </row>
    <row r="1283" spans="1:7">
      <c r="A1283" s="368"/>
      <c r="B1283" s="411">
        <v>1</v>
      </c>
      <c r="C1283" s="566" t="s">
        <v>1681</v>
      </c>
      <c r="D1283" s="554"/>
      <c r="E1283" s="49">
        <v>0.1</v>
      </c>
      <c r="F1283" s="49">
        <v>0.2</v>
      </c>
      <c r="G1283" s="570"/>
    </row>
    <row r="1284" spans="1:7">
      <c r="A1284" s="368"/>
      <c r="B1284" s="411">
        <v>2</v>
      </c>
      <c r="C1284" s="566" t="s">
        <v>1682</v>
      </c>
      <c r="D1284" s="554"/>
      <c r="E1284" s="49">
        <v>0.1</v>
      </c>
      <c r="F1284" s="49">
        <v>0.2</v>
      </c>
      <c r="G1284" s="570"/>
    </row>
    <row r="1285" spans="1:7">
      <c r="A1285" s="368"/>
      <c r="B1285" s="411">
        <v>3</v>
      </c>
      <c r="C1285" s="566" t="s">
        <v>1683</v>
      </c>
      <c r="D1285" s="554"/>
      <c r="E1285" s="49">
        <v>0.1</v>
      </c>
      <c r="F1285" s="49">
        <v>0.2</v>
      </c>
      <c r="G1285" s="570"/>
    </row>
    <row r="1286" spans="1:7">
      <c r="A1286" s="368"/>
      <c r="B1286" s="412">
        <v>4</v>
      </c>
      <c r="C1286" s="566" t="s">
        <v>1684</v>
      </c>
      <c r="D1286" s="554"/>
      <c r="E1286" s="50">
        <v>0</v>
      </c>
      <c r="F1286" s="50">
        <v>0</v>
      </c>
      <c r="G1286" s="570"/>
    </row>
    <row r="1287" spans="1:7">
      <c r="A1287" s="368"/>
      <c r="B1287" s="411">
        <v>5</v>
      </c>
      <c r="C1287" s="566" t="s">
        <v>1685</v>
      </c>
      <c r="D1287" s="554"/>
      <c r="E1287" s="49">
        <v>0</v>
      </c>
      <c r="F1287" s="49">
        <v>0</v>
      </c>
      <c r="G1287" s="570"/>
    </row>
    <row r="1288" spans="1:7">
      <c r="A1288" s="368"/>
      <c r="B1288" s="411">
        <v>6</v>
      </c>
      <c r="C1288" s="566" t="s">
        <v>1686</v>
      </c>
      <c r="D1288" s="554"/>
      <c r="E1288" s="49">
        <v>0.15</v>
      </c>
      <c r="F1288" s="49">
        <v>0.3</v>
      </c>
      <c r="G1288" s="570"/>
    </row>
    <row r="1289" spans="1:7">
      <c r="A1289" s="368"/>
      <c r="B1289" s="411">
        <v>7</v>
      </c>
      <c r="C1289" s="566" t="s">
        <v>1619</v>
      </c>
      <c r="D1289" s="554"/>
      <c r="E1289" s="49">
        <v>0.1</v>
      </c>
      <c r="F1289" s="49">
        <v>0.2</v>
      </c>
      <c r="G1289" s="570"/>
    </row>
    <row r="1290" spans="1:7">
      <c r="A1290" s="368"/>
      <c r="B1290" s="411">
        <v>8</v>
      </c>
      <c r="C1290" s="566" t="s">
        <v>1544</v>
      </c>
      <c r="D1290" s="554"/>
      <c r="E1290" s="49">
        <v>0.1</v>
      </c>
      <c r="F1290" s="49">
        <v>0.2</v>
      </c>
      <c r="G1290" s="570"/>
    </row>
    <row r="1291" spans="1:7">
      <c r="A1291" s="368"/>
      <c r="B1291" s="411">
        <v>9</v>
      </c>
      <c r="C1291" s="566" t="s">
        <v>1687</v>
      </c>
      <c r="D1291" s="554"/>
      <c r="E1291" s="49">
        <v>0.5</v>
      </c>
      <c r="F1291" s="49">
        <v>1</v>
      </c>
      <c r="G1291" s="570"/>
    </row>
    <row r="1292" spans="1:7">
      <c r="A1292" s="368"/>
      <c r="B1292" s="411">
        <v>10</v>
      </c>
      <c r="C1292" s="566" t="s">
        <v>1688</v>
      </c>
      <c r="D1292" s="554"/>
      <c r="E1292" s="49">
        <v>0</v>
      </c>
      <c r="F1292" s="49">
        <v>0</v>
      </c>
      <c r="G1292" s="570"/>
    </row>
    <row r="1293" spans="1:7">
      <c r="A1293" s="368"/>
      <c r="B1293" s="411">
        <v>11</v>
      </c>
      <c r="C1293" s="566" t="s">
        <v>1606</v>
      </c>
      <c r="D1293" s="554"/>
      <c r="E1293" s="49">
        <v>0.1</v>
      </c>
      <c r="F1293" s="49">
        <v>0.2</v>
      </c>
      <c r="G1293" s="570"/>
    </row>
    <row r="1294" spans="1:7">
      <c r="A1294" s="368"/>
      <c r="B1294" s="411">
        <v>12</v>
      </c>
      <c r="C1294" s="566" t="s">
        <v>1607</v>
      </c>
      <c r="D1294" s="554"/>
      <c r="E1294" s="49">
        <v>0.1</v>
      </c>
      <c r="F1294" s="49">
        <v>0.2</v>
      </c>
      <c r="G1294" s="570"/>
    </row>
    <row r="1295" spans="1:7">
      <c r="A1295" s="368"/>
      <c r="B1295" s="411">
        <v>13</v>
      </c>
      <c r="C1295" s="566" t="s">
        <v>1544</v>
      </c>
      <c r="D1295" s="554"/>
      <c r="E1295" s="49">
        <v>0.1</v>
      </c>
      <c r="F1295" s="49">
        <v>0.2</v>
      </c>
      <c r="G1295" s="570"/>
    </row>
    <row r="1296" spans="1:7">
      <c r="A1296" s="368"/>
      <c r="B1296" s="411">
        <v>14</v>
      </c>
      <c r="C1296" s="566"/>
      <c r="D1296" s="554"/>
      <c r="E1296" s="49"/>
      <c r="F1296" s="49"/>
      <c r="G1296" s="570"/>
    </row>
    <row r="1297" spans="1:7">
      <c r="A1297" s="368"/>
      <c r="B1297" s="413">
        <v>15</v>
      </c>
      <c r="C1297" s="567"/>
      <c r="D1297" s="556"/>
      <c r="E1297" s="51"/>
      <c r="F1297" s="51"/>
      <c r="G1297" s="571"/>
    </row>
    <row r="1298" spans="1:7">
      <c r="A1298" s="368"/>
      <c r="B1298" s="390"/>
      <c r="C1298" s="390"/>
      <c r="D1298" s="390"/>
      <c r="E1298" s="390"/>
      <c r="F1298" s="390"/>
      <c r="G1298" s="390"/>
    </row>
    <row r="1299" spans="1:7">
      <c r="A1299" s="368"/>
      <c r="B1299" s="4"/>
      <c r="C1299" s="547" t="s">
        <v>20</v>
      </c>
      <c r="D1299" s="568"/>
      <c r="E1299" s="290" t="s">
        <v>21</v>
      </c>
      <c r="F1299" s="290" t="s">
        <v>22</v>
      </c>
      <c r="G1299" s="61" t="s">
        <v>23</v>
      </c>
    </row>
    <row r="1300" spans="1:7">
      <c r="A1300" s="368"/>
      <c r="B1300" s="410" t="s">
        <v>19</v>
      </c>
      <c r="C1300" s="549" t="s">
        <v>1689</v>
      </c>
      <c r="D1300" s="550"/>
      <c r="E1300" s="62">
        <f>SUM(E1301:E1315)</f>
        <v>3.9000000000000004</v>
      </c>
      <c r="F1300" s="62">
        <f>SUM(F1301:F1315)</f>
        <v>5.6499999999999995</v>
      </c>
      <c r="G1300" s="569" t="s">
        <v>1690</v>
      </c>
    </row>
    <row r="1301" spans="1:7">
      <c r="A1301" s="368"/>
      <c r="B1301" s="411">
        <v>1</v>
      </c>
      <c r="C1301" s="566" t="s">
        <v>1681</v>
      </c>
      <c r="D1301" s="554"/>
      <c r="E1301" s="49">
        <v>0.1</v>
      </c>
      <c r="F1301" s="49">
        <v>0.2</v>
      </c>
      <c r="G1301" s="570"/>
    </row>
    <row r="1302" spans="1:7">
      <c r="A1302" s="368"/>
      <c r="B1302" s="411">
        <v>2</v>
      </c>
      <c r="C1302" s="566" t="s">
        <v>1682</v>
      </c>
      <c r="D1302" s="554"/>
      <c r="E1302" s="49">
        <v>0.1</v>
      </c>
      <c r="F1302" s="49">
        <v>0.2</v>
      </c>
      <c r="G1302" s="570"/>
    </row>
    <row r="1303" spans="1:7">
      <c r="A1303" s="368"/>
      <c r="B1303" s="411">
        <v>3</v>
      </c>
      <c r="C1303" s="566" t="s">
        <v>1683</v>
      </c>
      <c r="D1303" s="554"/>
      <c r="E1303" s="49">
        <v>0.1</v>
      </c>
      <c r="F1303" s="49">
        <v>0.2</v>
      </c>
      <c r="G1303" s="570"/>
    </row>
    <row r="1304" spans="1:7">
      <c r="A1304" s="368"/>
      <c r="B1304" s="412">
        <v>4</v>
      </c>
      <c r="C1304" s="566" t="s">
        <v>1684</v>
      </c>
      <c r="D1304" s="554"/>
      <c r="E1304" s="50">
        <v>0.1</v>
      </c>
      <c r="F1304" s="50">
        <v>0.2</v>
      </c>
      <c r="G1304" s="570"/>
    </row>
    <row r="1305" spans="1:7">
      <c r="A1305" s="368"/>
      <c r="B1305" s="411">
        <v>5</v>
      </c>
      <c r="C1305" s="566" t="s">
        <v>1685</v>
      </c>
      <c r="D1305" s="554"/>
      <c r="E1305" s="49">
        <v>0.5</v>
      </c>
      <c r="F1305" s="49">
        <v>1</v>
      </c>
      <c r="G1305" s="570"/>
    </row>
    <row r="1306" spans="1:7">
      <c r="A1306" s="368"/>
      <c r="B1306" s="411">
        <v>6</v>
      </c>
      <c r="C1306" s="566" t="s">
        <v>1686</v>
      </c>
      <c r="D1306" s="554"/>
      <c r="E1306" s="49">
        <v>0.3</v>
      </c>
      <c r="F1306" s="49">
        <v>0.5</v>
      </c>
      <c r="G1306" s="570"/>
    </row>
    <row r="1307" spans="1:7">
      <c r="A1307" s="368"/>
      <c r="B1307" s="411">
        <v>7</v>
      </c>
      <c r="C1307" s="566" t="s">
        <v>1619</v>
      </c>
      <c r="D1307" s="554"/>
      <c r="E1307" s="49">
        <v>0.25</v>
      </c>
      <c r="F1307" s="49">
        <v>0.3</v>
      </c>
      <c r="G1307" s="570"/>
    </row>
    <row r="1308" spans="1:7">
      <c r="A1308" s="368"/>
      <c r="B1308" s="411">
        <v>8</v>
      </c>
      <c r="C1308" s="566" t="s">
        <v>1544</v>
      </c>
      <c r="D1308" s="554"/>
      <c r="E1308" s="49">
        <v>0.25</v>
      </c>
      <c r="F1308" s="49">
        <v>0.3</v>
      </c>
      <c r="G1308" s="570"/>
    </row>
    <row r="1309" spans="1:7">
      <c r="A1309" s="368"/>
      <c r="B1309" s="411">
        <v>9</v>
      </c>
      <c r="C1309" s="566" t="s">
        <v>1687</v>
      </c>
      <c r="D1309" s="554"/>
      <c r="E1309" s="49">
        <v>0.5</v>
      </c>
      <c r="F1309" s="49">
        <v>0.75</v>
      </c>
      <c r="G1309" s="570"/>
    </row>
    <row r="1310" spans="1:7">
      <c r="A1310" s="368"/>
      <c r="B1310" s="411">
        <v>10</v>
      </c>
      <c r="C1310" s="566" t="s">
        <v>1688</v>
      </c>
      <c r="D1310" s="554"/>
      <c r="E1310" s="49">
        <v>1.25</v>
      </c>
      <c r="F1310" s="49">
        <v>1.3</v>
      </c>
      <c r="G1310" s="570"/>
    </row>
    <row r="1311" spans="1:7">
      <c r="A1311" s="368"/>
      <c r="B1311" s="411">
        <v>11</v>
      </c>
      <c r="C1311" s="566" t="s">
        <v>1606</v>
      </c>
      <c r="D1311" s="554"/>
      <c r="E1311" s="49">
        <v>0.25</v>
      </c>
      <c r="F1311" s="49">
        <v>0.3</v>
      </c>
      <c r="G1311" s="570"/>
    </row>
    <row r="1312" spans="1:7">
      <c r="A1312" s="368"/>
      <c r="B1312" s="411">
        <v>12</v>
      </c>
      <c r="C1312" s="566" t="s">
        <v>1607</v>
      </c>
      <c r="D1312" s="554"/>
      <c r="E1312" s="49">
        <v>0.1</v>
      </c>
      <c r="F1312" s="49">
        <v>0.2</v>
      </c>
      <c r="G1312" s="570"/>
    </row>
    <row r="1313" spans="1:7">
      <c r="A1313" s="368"/>
      <c r="B1313" s="411">
        <v>13</v>
      </c>
      <c r="C1313" s="566" t="s">
        <v>1544</v>
      </c>
      <c r="D1313" s="554"/>
      <c r="E1313" s="49">
        <v>0.1</v>
      </c>
      <c r="F1313" s="49">
        <v>0.2</v>
      </c>
      <c r="G1313" s="570"/>
    </row>
    <row r="1314" spans="1:7">
      <c r="A1314" s="368"/>
      <c r="B1314" s="411">
        <v>14</v>
      </c>
      <c r="C1314" s="566"/>
      <c r="D1314" s="554"/>
      <c r="E1314" s="49"/>
      <c r="F1314" s="49"/>
      <c r="G1314" s="570"/>
    </row>
    <row r="1315" spans="1:7">
      <c r="A1315" s="368"/>
      <c r="B1315" s="413">
        <v>15</v>
      </c>
      <c r="C1315" s="567"/>
      <c r="D1315" s="556"/>
      <c r="E1315" s="51"/>
      <c r="F1315" s="51"/>
      <c r="G1315" s="571"/>
    </row>
    <row r="1316" spans="1:7">
      <c r="A1316" s="368"/>
      <c r="B1316" s="390"/>
      <c r="C1316" s="390"/>
      <c r="D1316" s="390"/>
      <c r="E1316" s="390"/>
      <c r="F1316" s="390"/>
      <c r="G1316" s="390"/>
    </row>
    <row r="1317" spans="1:7">
      <c r="A1317" s="368"/>
      <c r="B1317" s="4"/>
      <c r="C1317" s="547" t="s">
        <v>20</v>
      </c>
      <c r="D1317" s="568"/>
      <c r="E1317" s="290" t="s">
        <v>21</v>
      </c>
      <c r="F1317" s="290" t="s">
        <v>22</v>
      </c>
      <c r="G1317" s="61" t="s">
        <v>23</v>
      </c>
    </row>
    <row r="1318" spans="1:7">
      <c r="A1318" s="368"/>
      <c r="B1318" s="410" t="s">
        <v>19</v>
      </c>
      <c r="C1318" s="549" t="s">
        <v>1691</v>
      </c>
      <c r="D1318" s="550"/>
      <c r="E1318" s="62">
        <f>SUM(E1319:E1333)</f>
        <v>7.1999999999999993</v>
      </c>
      <c r="F1318" s="62">
        <f>SUM(F1319:F1333)</f>
        <v>11.499999999999996</v>
      </c>
      <c r="G1318" s="569" t="s">
        <v>1692</v>
      </c>
    </row>
    <row r="1319" spans="1:7">
      <c r="A1319" s="368"/>
      <c r="B1319" s="411">
        <v>1</v>
      </c>
      <c r="C1319" s="566" t="s">
        <v>1681</v>
      </c>
      <c r="D1319" s="554"/>
      <c r="E1319" s="49">
        <v>0.1</v>
      </c>
      <c r="F1319" s="49">
        <v>0.2</v>
      </c>
      <c r="G1319" s="570"/>
    </row>
    <row r="1320" spans="1:7">
      <c r="A1320" s="368"/>
      <c r="B1320" s="411">
        <v>2</v>
      </c>
      <c r="C1320" s="566" t="s">
        <v>1682</v>
      </c>
      <c r="D1320" s="554"/>
      <c r="E1320" s="49">
        <v>0.1</v>
      </c>
      <c r="F1320" s="49">
        <v>0.2</v>
      </c>
      <c r="G1320" s="570"/>
    </row>
    <row r="1321" spans="1:7">
      <c r="A1321" s="368"/>
      <c r="B1321" s="411">
        <v>3</v>
      </c>
      <c r="C1321" s="566" t="s">
        <v>1683</v>
      </c>
      <c r="D1321" s="554"/>
      <c r="E1321" s="49">
        <v>0.1</v>
      </c>
      <c r="F1321" s="49">
        <v>0.2</v>
      </c>
      <c r="G1321" s="570"/>
    </row>
    <row r="1322" spans="1:7">
      <c r="A1322" s="368"/>
      <c r="B1322" s="412">
        <v>4</v>
      </c>
      <c r="C1322" s="566" t="s">
        <v>1684</v>
      </c>
      <c r="D1322" s="554"/>
      <c r="E1322" s="50">
        <v>0.1</v>
      </c>
      <c r="F1322" s="50">
        <v>0.2</v>
      </c>
      <c r="G1322" s="570"/>
    </row>
    <row r="1323" spans="1:7">
      <c r="A1323" s="368"/>
      <c r="B1323" s="411">
        <v>5</v>
      </c>
      <c r="C1323" s="566" t="s">
        <v>1685</v>
      </c>
      <c r="D1323" s="554"/>
      <c r="E1323" s="49">
        <v>1</v>
      </c>
      <c r="F1323" s="49">
        <v>1.5</v>
      </c>
      <c r="G1323" s="570"/>
    </row>
    <row r="1324" spans="1:7">
      <c r="A1324" s="368"/>
      <c r="B1324" s="411">
        <v>6</v>
      </c>
      <c r="C1324" s="566" t="s">
        <v>1693</v>
      </c>
      <c r="D1324" s="554"/>
      <c r="E1324" s="49">
        <v>2</v>
      </c>
      <c r="F1324" s="49">
        <v>3</v>
      </c>
      <c r="G1324" s="570"/>
    </row>
    <row r="1325" spans="1:7">
      <c r="A1325" s="368"/>
      <c r="B1325" s="411">
        <v>7</v>
      </c>
      <c r="C1325" s="566" t="s">
        <v>1686</v>
      </c>
      <c r="D1325" s="554"/>
      <c r="E1325" s="49">
        <v>0.5</v>
      </c>
      <c r="F1325" s="49">
        <v>0.5</v>
      </c>
      <c r="G1325" s="570"/>
    </row>
    <row r="1326" spans="1:7">
      <c r="A1326" s="368"/>
      <c r="B1326" s="411">
        <v>8</v>
      </c>
      <c r="C1326" s="566" t="s">
        <v>1619</v>
      </c>
      <c r="D1326" s="554"/>
      <c r="E1326" s="49">
        <v>0.25</v>
      </c>
      <c r="F1326" s="49">
        <v>0.3</v>
      </c>
      <c r="G1326" s="570"/>
    </row>
    <row r="1327" spans="1:7">
      <c r="A1327" s="368"/>
      <c r="B1327" s="411">
        <v>9</v>
      </c>
      <c r="C1327" s="566" t="s">
        <v>1544</v>
      </c>
      <c r="D1327" s="554"/>
      <c r="E1327" s="49">
        <v>0.25</v>
      </c>
      <c r="F1327" s="49">
        <v>0.3</v>
      </c>
      <c r="G1327" s="570"/>
    </row>
    <row r="1328" spans="1:7">
      <c r="A1328" s="368"/>
      <c r="B1328" s="411">
        <v>10</v>
      </c>
      <c r="C1328" s="566" t="s">
        <v>1687</v>
      </c>
      <c r="D1328" s="554"/>
      <c r="E1328" s="49">
        <v>1</v>
      </c>
      <c r="F1328" s="49">
        <v>1.5</v>
      </c>
      <c r="G1328" s="570"/>
    </row>
    <row r="1329" spans="1:7">
      <c r="A1329" s="368"/>
      <c r="B1329" s="411">
        <v>11</v>
      </c>
      <c r="C1329" s="566" t="s">
        <v>1688</v>
      </c>
      <c r="D1329" s="554"/>
      <c r="E1329" s="49">
        <v>0.75</v>
      </c>
      <c r="F1329" s="49">
        <v>1.5</v>
      </c>
      <c r="G1329" s="570"/>
    </row>
    <row r="1330" spans="1:7">
      <c r="A1330" s="368"/>
      <c r="B1330" s="411">
        <v>12</v>
      </c>
      <c r="C1330" s="566" t="s">
        <v>1606</v>
      </c>
      <c r="D1330" s="554"/>
      <c r="E1330" s="49">
        <v>0.35</v>
      </c>
      <c r="F1330" s="49">
        <v>0.7</v>
      </c>
      <c r="G1330" s="570"/>
    </row>
    <row r="1331" spans="1:7">
      <c r="A1331" s="368"/>
      <c r="B1331" s="411">
        <v>13</v>
      </c>
      <c r="C1331" s="566" t="s">
        <v>1607</v>
      </c>
      <c r="D1331" s="554"/>
      <c r="E1331" s="49">
        <v>0.35</v>
      </c>
      <c r="F1331" s="49">
        <v>0.7</v>
      </c>
      <c r="G1331" s="570"/>
    </row>
    <row r="1332" spans="1:7">
      <c r="A1332" s="368"/>
      <c r="B1332" s="411">
        <v>14</v>
      </c>
      <c r="C1332" s="566" t="s">
        <v>1544</v>
      </c>
      <c r="D1332" s="554"/>
      <c r="E1332" s="49">
        <v>0.35</v>
      </c>
      <c r="F1332" s="49">
        <v>0.7</v>
      </c>
      <c r="G1332" s="570"/>
    </row>
    <row r="1333" spans="1:7">
      <c r="A1333" s="368"/>
      <c r="B1333" s="413">
        <v>15</v>
      </c>
      <c r="C1333" s="567"/>
      <c r="D1333" s="556"/>
      <c r="E1333" s="51"/>
      <c r="F1333" s="51"/>
      <c r="G1333" s="571"/>
    </row>
    <row r="1334" spans="1:7">
      <c r="A1334" s="368"/>
      <c r="B1334" s="390"/>
      <c r="C1334" s="390"/>
      <c r="D1334" s="390"/>
      <c r="E1334" s="390"/>
      <c r="F1334" s="390"/>
      <c r="G1334" s="390"/>
    </row>
    <row r="1335" spans="1:7">
      <c r="A1335" s="368"/>
      <c r="B1335" s="4"/>
      <c r="C1335" s="547" t="s">
        <v>20</v>
      </c>
      <c r="D1335" s="568"/>
      <c r="E1335" s="290" t="s">
        <v>21</v>
      </c>
      <c r="F1335" s="290" t="s">
        <v>22</v>
      </c>
      <c r="G1335" s="61" t="s">
        <v>23</v>
      </c>
    </row>
    <row r="1336" spans="1:7">
      <c r="A1336" s="368"/>
      <c r="B1336" s="410" t="s">
        <v>19</v>
      </c>
      <c r="C1336" s="549" t="s">
        <v>1694</v>
      </c>
      <c r="D1336" s="550"/>
      <c r="E1336" s="62">
        <f>SUM(E1337:E1351)</f>
        <v>0.35</v>
      </c>
      <c r="F1336" s="62">
        <f>SUM(F1337:F1351)</f>
        <v>0.7</v>
      </c>
      <c r="G1336" s="569" t="s">
        <v>1695</v>
      </c>
    </row>
    <row r="1337" spans="1:7">
      <c r="A1337" s="368"/>
      <c r="B1337" s="411">
        <v>1</v>
      </c>
      <c r="C1337" s="566" t="s">
        <v>1696</v>
      </c>
      <c r="D1337" s="554"/>
      <c r="E1337" s="49">
        <v>0</v>
      </c>
      <c r="F1337" s="49">
        <v>0</v>
      </c>
      <c r="G1337" s="570"/>
    </row>
    <row r="1338" spans="1:7">
      <c r="A1338" s="368"/>
      <c r="B1338" s="411">
        <v>2</v>
      </c>
      <c r="C1338" s="566" t="s">
        <v>1599</v>
      </c>
      <c r="D1338" s="554"/>
      <c r="E1338" s="49">
        <v>0.15</v>
      </c>
      <c r="F1338" s="49">
        <v>0.3</v>
      </c>
      <c r="G1338" s="570"/>
    </row>
    <row r="1339" spans="1:7">
      <c r="A1339" s="368"/>
      <c r="B1339" s="411">
        <v>3</v>
      </c>
      <c r="C1339" s="566" t="s">
        <v>1619</v>
      </c>
      <c r="D1339" s="554"/>
      <c r="E1339" s="49">
        <v>0.1</v>
      </c>
      <c r="F1339" s="49">
        <v>0.2</v>
      </c>
      <c r="G1339" s="570"/>
    </row>
    <row r="1340" spans="1:7">
      <c r="A1340" s="368"/>
      <c r="B1340" s="412">
        <v>4</v>
      </c>
      <c r="C1340" s="566" t="s">
        <v>1544</v>
      </c>
      <c r="D1340" s="554"/>
      <c r="E1340" s="50">
        <v>0.1</v>
      </c>
      <c r="F1340" s="50">
        <v>0.2</v>
      </c>
      <c r="G1340" s="570"/>
    </row>
    <row r="1341" spans="1:7">
      <c r="A1341" s="368"/>
      <c r="B1341" s="411">
        <v>5</v>
      </c>
      <c r="C1341" s="566"/>
      <c r="D1341" s="554"/>
      <c r="E1341" s="49"/>
      <c r="F1341" s="49"/>
      <c r="G1341" s="570"/>
    </row>
    <row r="1342" spans="1:7">
      <c r="A1342" s="368"/>
      <c r="B1342" s="411">
        <v>6</v>
      </c>
      <c r="C1342" s="566"/>
      <c r="D1342" s="554"/>
      <c r="E1342" s="49"/>
      <c r="F1342" s="49"/>
      <c r="G1342" s="570"/>
    </row>
    <row r="1343" spans="1:7">
      <c r="A1343" s="368"/>
      <c r="B1343" s="411">
        <v>7</v>
      </c>
      <c r="C1343" s="566"/>
      <c r="D1343" s="554"/>
      <c r="E1343" s="49"/>
      <c r="F1343" s="49"/>
      <c r="G1343" s="570"/>
    </row>
    <row r="1344" spans="1:7">
      <c r="A1344" s="368"/>
      <c r="B1344" s="411">
        <v>8</v>
      </c>
      <c r="C1344" s="566"/>
      <c r="D1344" s="554"/>
      <c r="E1344" s="49"/>
      <c r="F1344" s="49"/>
      <c r="G1344" s="570"/>
    </row>
    <row r="1345" spans="1:7">
      <c r="A1345" s="368"/>
      <c r="B1345" s="411">
        <v>9</v>
      </c>
      <c r="C1345" s="566"/>
      <c r="D1345" s="554"/>
      <c r="E1345" s="49"/>
      <c r="F1345" s="49"/>
      <c r="G1345" s="570"/>
    </row>
    <row r="1346" spans="1:7">
      <c r="A1346" s="368"/>
      <c r="B1346" s="411">
        <v>10</v>
      </c>
      <c r="C1346" s="566"/>
      <c r="D1346" s="554"/>
      <c r="E1346" s="49"/>
      <c r="F1346" s="49"/>
      <c r="G1346" s="570"/>
    </row>
    <row r="1347" spans="1:7">
      <c r="A1347" s="368"/>
      <c r="B1347" s="411">
        <v>11</v>
      </c>
      <c r="C1347" s="566"/>
      <c r="D1347" s="554"/>
      <c r="E1347" s="49"/>
      <c r="F1347" s="49"/>
      <c r="G1347" s="570"/>
    </row>
    <row r="1348" spans="1:7">
      <c r="A1348" s="368"/>
      <c r="B1348" s="411">
        <v>12</v>
      </c>
      <c r="C1348" s="566"/>
      <c r="D1348" s="554"/>
      <c r="E1348" s="49"/>
      <c r="F1348" s="49"/>
      <c r="G1348" s="570"/>
    </row>
    <row r="1349" spans="1:7">
      <c r="A1349" s="368"/>
      <c r="B1349" s="411">
        <v>13</v>
      </c>
      <c r="C1349" s="566"/>
      <c r="D1349" s="554"/>
      <c r="E1349" s="49"/>
      <c r="F1349" s="49"/>
      <c r="G1349" s="570"/>
    </row>
    <row r="1350" spans="1:7">
      <c r="A1350" s="368"/>
      <c r="B1350" s="411">
        <v>14</v>
      </c>
      <c r="C1350" s="566"/>
      <c r="D1350" s="554"/>
      <c r="E1350" s="49"/>
      <c r="F1350" s="49"/>
      <c r="G1350" s="570"/>
    </row>
    <row r="1351" spans="1:7">
      <c r="A1351" s="368"/>
      <c r="B1351" s="413">
        <v>15</v>
      </c>
      <c r="C1351" s="567"/>
      <c r="D1351" s="556"/>
      <c r="E1351" s="51"/>
      <c r="F1351" s="51"/>
      <c r="G1351" s="571"/>
    </row>
    <row r="1352" spans="1:7">
      <c r="A1352" s="368"/>
      <c r="B1352" s="390"/>
      <c r="C1352" s="390"/>
      <c r="D1352" s="390"/>
      <c r="E1352" s="390"/>
      <c r="F1352" s="390"/>
      <c r="G1352" s="390"/>
    </row>
    <row r="1353" spans="1:7">
      <c r="A1353" s="368"/>
      <c r="B1353" s="4"/>
      <c r="C1353" s="547" t="s">
        <v>20</v>
      </c>
      <c r="D1353" s="568"/>
      <c r="E1353" s="290" t="s">
        <v>21</v>
      </c>
      <c r="F1353" s="290" t="s">
        <v>22</v>
      </c>
      <c r="G1353" s="61" t="s">
        <v>23</v>
      </c>
    </row>
    <row r="1354" spans="1:7">
      <c r="A1354" s="368"/>
      <c r="B1354" s="410" t="s">
        <v>19</v>
      </c>
      <c r="C1354" s="549" t="s">
        <v>1697</v>
      </c>
      <c r="D1354" s="550"/>
      <c r="E1354" s="62">
        <f>SUM(E1355:E1369)</f>
        <v>1.5999999999999996</v>
      </c>
      <c r="F1354" s="62">
        <f>SUM(F1355:F1369)</f>
        <v>2.8</v>
      </c>
      <c r="G1354" s="569" t="s">
        <v>1698</v>
      </c>
    </row>
    <row r="1355" spans="1:7">
      <c r="A1355" s="368"/>
      <c r="B1355" s="411">
        <v>1</v>
      </c>
      <c r="C1355" s="566" t="s">
        <v>1696</v>
      </c>
      <c r="D1355" s="554"/>
      <c r="E1355" s="49">
        <v>0.2</v>
      </c>
      <c r="F1355" s="49">
        <v>0.4</v>
      </c>
      <c r="G1355" s="570"/>
    </row>
    <row r="1356" spans="1:7">
      <c r="A1356" s="368"/>
      <c r="B1356" s="411">
        <v>2</v>
      </c>
      <c r="C1356" s="566" t="s">
        <v>1599</v>
      </c>
      <c r="D1356" s="554"/>
      <c r="E1356" s="49">
        <v>0.15</v>
      </c>
      <c r="F1356" s="49">
        <v>0.3</v>
      </c>
      <c r="G1356" s="570"/>
    </row>
    <row r="1357" spans="1:7">
      <c r="A1357" s="368"/>
      <c r="B1357" s="411">
        <v>3</v>
      </c>
      <c r="C1357" s="566" t="s">
        <v>1619</v>
      </c>
      <c r="D1357" s="554"/>
      <c r="E1357" s="49">
        <v>0.1</v>
      </c>
      <c r="F1357" s="49">
        <v>0.2</v>
      </c>
      <c r="G1357" s="570"/>
    </row>
    <row r="1358" spans="1:7">
      <c r="A1358" s="368"/>
      <c r="B1358" s="412">
        <v>4</v>
      </c>
      <c r="C1358" s="566" t="s">
        <v>1544</v>
      </c>
      <c r="D1358" s="554"/>
      <c r="E1358" s="50">
        <v>0.1</v>
      </c>
      <c r="F1358" s="50">
        <v>0.2</v>
      </c>
      <c r="G1358" s="570"/>
    </row>
    <row r="1359" spans="1:7">
      <c r="A1359" s="368"/>
      <c r="B1359" s="411">
        <v>5</v>
      </c>
      <c r="C1359" s="566" t="s">
        <v>1699</v>
      </c>
      <c r="D1359" s="554"/>
      <c r="E1359" s="49">
        <v>0.5</v>
      </c>
      <c r="F1359" s="49">
        <v>0.75</v>
      </c>
      <c r="G1359" s="570"/>
    </row>
    <row r="1360" spans="1:7">
      <c r="A1360" s="368"/>
      <c r="B1360" s="411">
        <v>6</v>
      </c>
      <c r="C1360" s="566" t="s">
        <v>1606</v>
      </c>
      <c r="D1360" s="554"/>
      <c r="E1360" s="49">
        <v>0.15</v>
      </c>
      <c r="F1360" s="49">
        <v>0.3</v>
      </c>
      <c r="G1360" s="570"/>
    </row>
    <row r="1361" spans="1:7">
      <c r="A1361" s="368"/>
      <c r="B1361" s="411">
        <v>7</v>
      </c>
      <c r="C1361" s="566" t="s">
        <v>1607</v>
      </c>
      <c r="D1361" s="554"/>
      <c r="E1361" s="49">
        <v>0.15</v>
      </c>
      <c r="F1361" s="49">
        <v>0.3</v>
      </c>
      <c r="G1361" s="570"/>
    </row>
    <row r="1362" spans="1:7">
      <c r="A1362" s="368"/>
      <c r="B1362" s="411">
        <v>8</v>
      </c>
      <c r="C1362" s="566" t="s">
        <v>1544</v>
      </c>
      <c r="D1362" s="554"/>
      <c r="E1362" s="49">
        <v>0.25</v>
      </c>
      <c r="F1362" s="49">
        <v>0.35</v>
      </c>
      <c r="G1362" s="570"/>
    </row>
    <row r="1363" spans="1:7">
      <c r="A1363" s="368"/>
      <c r="B1363" s="411">
        <v>9</v>
      </c>
      <c r="C1363" s="566"/>
      <c r="D1363" s="554"/>
      <c r="E1363" s="49"/>
      <c r="F1363" s="49"/>
      <c r="G1363" s="570"/>
    </row>
    <row r="1364" spans="1:7">
      <c r="A1364" s="368"/>
      <c r="B1364" s="411">
        <v>10</v>
      </c>
      <c r="C1364" s="566"/>
      <c r="D1364" s="554"/>
      <c r="E1364" s="49"/>
      <c r="F1364" s="49"/>
      <c r="G1364" s="570"/>
    </row>
    <row r="1365" spans="1:7">
      <c r="A1365" s="368"/>
      <c r="B1365" s="411">
        <v>11</v>
      </c>
      <c r="C1365" s="566"/>
      <c r="D1365" s="554"/>
      <c r="E1365" s="49"/>
      <c r="F1365" s="49"/>
      <c r="G1365" s="570"/>
    </row>
    <row r="1366" spans="1:7">
      <c r="A1366" s="368"/>
      <c r="B1366" s="411">
        <v>12</v>
      </c>
      <c r="C1366" s="566"/>
      <c r="D1366" s="554"/>
      <c r="E1366" s="49"/>
      <c r="F1366" s="49"/>
      <c r="G1366" s="570"/>
    </row>
    <row r="1367" spans="1:7">
      <c r="A1367" s="368"/>
      <c r="B1367" s="411">
        <v>13</v>
      </c>
      <c r="C1367" s="566"/>
      <c r="D1367" s="554"/>
      <c r="E1367" s="49"/>
      <c r="F1367" s="49"/>
      <c r="G1367" s="570"/>
    </row>
    <row r="1368" spans="1:7">
      <c r="A1368" s="368"/>
      <c r="B1368" s="411">
        <v>14</v>
      </c>
      <c r="C1368" s="566"/>
      <c r="D1368" s="554"/>
      <c r="E1368" s="49"/>
      <c r="F1368" s="49"/>
      <c r="G1368" s="570"/>
    </row>
    <row r="1369" spans="1:7">
      <c r="A1369" s="368"/>
      <c r="B1369" s="413">
        <v>15</v>
      </c>
      <c r="C1369" s="567"/>
      <c r="D1369" s="556"/>
      <c r="E1369" s="51"/>
      <c r="F1369" s="51"/>
      <c r="G1369" s="571"/>
    </row>
    <row r="1370" spans="1:7">
      <c r="A1370" s="368"/>
      <c r="B1370" s="390"/>
      <c r="C1370" s="390"/>
      <c r="D1370" s="390"/>
      <c r="E1370" s="390"/>
      <c r="F1370" s="390"/>
      <c r="G1370" s="390"/>
    </row>
    <row r="1371" spans="1:7">
      <c r="A1371" s="368"/>
      <c r="B1371" s="4"/>
      <c r="C1371" s="547" t="s">
        <v>20</v>
      </c>
      <c r="D1371" s="568"/>
      <c r="E1371" s="290" t="s">
        <v>21</v>
      </c>
      <c r="F1371" s="290" t="s">
        <v>22</v>
      </c>
      <c r="G1371" s="61" t="s">
        <v>23</v>
      </c>
    </row>
    <row r="1372" spans="1:7">
      <c r="A1372" s="368"/>
      <c r="B1372" s="410" t="s">
        <v>19</v>
      </c>
      <c r="C1372" s="549" t="s">
        <v>1700</v>
      </c>
      <c r="D1372" s="550"/>
      <c r="E1372" s="62">
        <f>SUM(E1373:E1387)</f>
        <v>2.4500000000000002</v>
      </c>
      <c r="F1372" s="62">
        <f>SUM(F1373:F1387)</f>
        <v>4.1500000000000004</v>
      </c>
      <c r="G1372" s="569" t="s">
        <v>1701</v>
      </c>
    </row>
    <row r="1373" spans="1:7">
      <c r="A1373" s="368"/>
      <c r="B1373" s="411">
        <v>1</v>
      </c>
      <c r="C1373" s="566" t="s">
        <v>1696</v>
      </c>
      <c r="D1373" s="554"/>
      <c r="E1373" s="49">
        <v>1</v>
      </c>
      <c r="F1373" s="49">
        <v>1.5</v>
      </c>
      <c r="G1373" s="570"/>
    </row>
    <row r="1374" spans="1:7">
      <c r="A1374" s="368"/>
      <c r="B1374" s="411">
        <v>2</v>
      </c>
      <c r="C1374" s="566" t="s">
        <v>1599</v>
      </c>
      <c r="D1374" s="554"/>
      <c r="E1374" s="49">
        <v>0.15</v>
      </c>
      <c r="F1374" s="49">
        <v>0.3</v>
      </c>
      <c r="G1374" s="570"/>
    </row>
    <row r="1375" spans="1:7">
      <c r="A1375" s="368"/>
      <c r="B1375" s="411">
        <v>3</v>
      </c>
      <c r="C1375" s="566" t="s">
        <v>1619</v>
      </c>
      <c r="D1375" s="554"/>
      <c r="E1375" s="49">
        <v>0.1</v>
      </c>
      <c r="F1375" s="49">
        <v>0.2</v>
      </c>
      <c r="G1375" s="570"/>
    </row>
    <row r="1376" spans="1:7">
      <c r="A1376" s="368"/>
      <c r="B1376" s="412">
        <v>4</v>
      </c>
      <c r="C1376" s="566" t="s">
        <v>1544</v>
      </c>
      <c r="D1376" s="554"/>
      <c r="E1376" s="50">
        <v>0.1</v>
      </c>
      <c r="F1376" s="50">
        <v>0.2</v>
      </c>
      <c r="G1376" s="570"/>
    </row>
    <row r="1377" spans="1:7">
      <c r="A1377" s="368"/>
      <c r="B1377" s="411">
        <v>5</v>
      </c>
      <c r="C1377" s="566" t="s">
        <v>1699</v>
      </c>
      <c r="D1377" s="554"/>
      <c r="E1377" s="49">
        <v>0.5</v>
      </c>
      <c r="F1377" s="49">
        <v>0.75</v>
      </c>
      <c r="G1377" s="570"/>
    </row>
    <row r="1378" spans="1:7">
      <c r="A1378" s="368"/>
      <c r="B1378" s="411">
        <v>6</v>
      </c>
      <c r="C1378" s="566" t="s">
        <v>1606</v>
      </c>
      <c r="D1378" s="554"/>
      <c r="E1378" s="49">
        <v>0.25</v>
      </c>
      <c r="F1378" s="49">
        <v>0.4</v>
      </c>
      <c r="G1378" s="570"/>
    </row>
    <row r="1379" spans="1:7">
      <c r="A1379" s="368"/>
      <c r="B1379" s="411">
        <v>7</v>
      </c>
      <c r="C1379" s="566" t="s">
        <v>1607</v>
      </c>
      <c r="D1379" s="554"/>
      <c r="E1379" s="49">
        <v>0.25</v>
      </c>
      <c r="F1379" s="49">
        <v>0.4</v>
      </c>
      <c r="G1379" s="570"/>
    </row>
    <row r="1380" spans="1:7">
      <c r="A1380" s="368"/>
      <c r="B1380" s="411">
        <v>8</v>
      </c>
      <c r="C1380" s="566" t="s">
        <v>1544</v>
      </c>
      <c r="D1380" s="554"/>
      <c r="E1380" s="49">
        <v>0.1</v>
      </c>
      <c r="F1380" s="49">
        <v>0.4</v>
      </c>
      <c r="G1380" s="570"/>
    </row>
    <row r="1381" spans="1:7">
      <c r="A1381" s="368"/>
      <c r="B1381" s="411">
        <v>9</v>
      </c>
      <c r="C1381" s="566"/>
      <c r="D1381" s="554"/>
      <c r="E1381" s="49"/>
      <c r="F1381" s="49"/>
      <c r="G1381" s="570"/>
    </row>
    <row r="1382" spans="1:7">
      <c r="A1382" s="368"/>
      <c r="B1382" s="411">
        <v>10</v>
      </c>
      <c r="C1382" s="566"/>
      <c r="D1382" s="554"/>
      <c r="E1382" s="49"/>
      <c r="F1382" s="49"/>
      <c r="G1382" s="570"/>
    </row>
    <row r="1383" spans="1:7">
      <c r="A1383" s="368"/>
      <c r="B1383" s="411">
        <v>11</v>
      </c>
      <c r="C1383" s="566"/>
      <c r="D1383" s="554"/>
      <c r="E1383" s="49"/>
      <c r="F1383" s="49"/>
      <c r="G1383" s="570"/>
    </row>
    <row r="1384" spans="1:7">
      <c r="A1384" s="368"/>
      <c r="B1384" s="411">
        <v>12</v>
      </c>
      <c r="C1384" s="566"/>
      <c r="D1384" s="554"/>
      <c r="E1384" s="49"/>
      <c r="F1384" s="49"/>
      <c r="G1384" s="570"/>
    </row>
    <row r="1385" spans="1:7">
      <c r="A1385" s="368"/>
      <c r="B1385" s="411">
        <v>13</v>
      </c>
      <c r="C1385" s="566"/>
      <c r="D1385" s="554"/>
      <c r="E1385" s="49"/>
      <c r="F1385" s="49"/>
      <c r="G1385" s="570"/>
    </row>
    <row r="1386" spans="1:7">
      <c r="A1386" s="368"/>
      <c r="B1386" s="411">
        <v>14</v>
      </c>
      <c r="C1386" s="566"/>
      <c r="D1386" s="554"/>
      <c r="E1386" s="49"/>
      <c r="F1386" s="49"/>
      <c r="G1386" s="570"/>
    </row>
    <row r="1387" spans="1:7">
      <c r="A1387" s="368"/>
      <c r="B1387" s="413">
        <v>15</v>
      </c>
      <c r="C1387" s="567"/>
      <c r="D1387" s="556"/>
      <c r="E1387" s="51"/>
      <c r="F1387" s="51"/>
      <c r="G1387" s="571"/>
    </row>
    <row r="1388" spans="1:7">
      <c r="A1388" s="368"/>
      <c r="B1388" s="390"/>
      <c r="C1388" s="390"/>
      <c r="D1388" s="390"/>
      <c r="E1388" s="390"/>
      <c r="F1388" s="390"/>
      <c r="G1388" s="390"/>
    </row>
    <row r="1389" spans="1:7">
      <c r="A1389" s="368"/>
      <c r="B1389" s="4"/>
      <c r="C1389" s="547" t="s">
        <v>20</v>
      </c>
      <c r="D1389" s="568"/>
      <c r="E1389" s="290" t="s">
        <v>21</v>
      </c>
      <c r="F1389" s="290" t="s">
        <v>22</v>
      </c>
      <c r="G1389" s="61" t="s">
        <v>23</v>
      </c>
    </row>
    <row r="1390" spans="1:7">
      <c r="A1390" s="368"/>
      <c r="B1390" s="410" t="s">
        <v>19</v>
      </c>
      <c r="C1390" s="549" t="s">
        <v>1702</v>
      </c>
      <c r="D1390" s="550"/>
      <c r="E1390" s="62">
        <f>SUM(E1391:E1405)</f>
        <v>0.65</v>
      </c>
      <c r="F1390" s="62">
        <f>SUM(F1391:F1405)</f>
        <v>1.25</v>
      </c>
      <c r="G1390" s="569" t="s">
        <v>1703</v>
      </c>
    </row>
    <row r="1391" spans="1:7">
      <c r="A1391" s="368"/>
      <c r="B1391" s="411">
        <v>1</v>
      </c>
      <c r="C1391" s="566" t="s">
        <v>1704</v>
      </c>
      <c r="D1391" s="554"/>
      <c r="E1391" s="49">
        <v>0.5</v>
      </c>
      <c r="F1391" s="49">
        <v>1</v>
      </c>
      <c r="G1391" s="570"/>
    </row>
    <row r="1392" spans="1:7">
      <c r="A1392" s="368"/>
      <c r="B1392" s="411">
        <v>2</v>
      </c>
      <c r="C1392" s="566" t="s">
        <v>1705</v>
      </c>
      <c r="D1392" s="554"/>
      <c r="E1392" s="49">
        <v>0.15</v>
      </c>
      <c r="F1392" s="49">
        <v>0.25</v>
      </c>
      <c r="G1392" s="570"/>
    </row>
    <row r="1393" spans="1:7">
      <c r="A1393" s="368"/>
      <c r="B1393" s="411">
        <v>3</v>
      </c>
      <c r="C1393" s="566"/>
      <c r="D1393" s="554"/>
      <c r="E1393" s="49"/>
      <c r="F1393" s="49"/>
      <c r="G1393" s="570"/>
    </row>
    <row r="1394" spans="1:7">
      <c r="A1394" s="368"/>
      <c r="B1394" s="412">
        <v>4</v>
      </c>
      <c r="C1394" s="566"/>
      <c r="D1394" s="554"/>
      <c r="E1394" s="50"/>
      <c r="F1394" s="50"/>
      <c r="G1394" s="570"/>
    </row>
    <row r="1395" spans="1:7">
      <c r="A1395" s="368"/>
      <c r="B1395" s="411">
        <v>5</v>
      </c>
      <c r="C1395" s="566"/>
      <c r="D1395" s="554"/>
      <c r="E1395" s="49"/>
      <c r="F1395" s="49"/>
      <c r="G1395" s="570"/>
    </row>
    <row r="1396" spans="1:7">
      <c r="A1396" s="368"/>
      <c r="B1396" s="411">
        <v>6</v>
      </c>
      <c r="C1396" s="566"/>
      <c r="D1396" s="554"/>
      <c r="E1396" s="49"/>
      <c r="F1396" s="49"/>
      <c r="G1396" s="570"/>
    </row>
    <row r="1397" spans="1:7">
      <c r="A1397" s="368"/>
      <c r="B1397" s="411">
        <v>7</v>
      </c>
      <c r="C1397" s="566"/>
      <c r="D1397" s="554"/>
      <c r="E1397" s="49"/>
      <c r="F1397" s="49"/>
      <c r="G1397" s="570"/>
    </row>
    <row r="1398" spans="1:7">
      <c r="A1398" s="368"/>
      <c r="B1398" s="411">
        <v>8</v>
      </c>
      <c r="C1398" s="566"/>
      <c r="D1398" s="554"/>
      <c r="E1398" s="49"/>
      <c r="F1398" s="49"/>
      <c r="G1398" s="570"/>
    </row>
    <row r="1399" spans="1:7">
      <c r="A1399" s="368"/>
      <c r="B1399" s="411">
        <v>9</v>
      </c>
      <c r="C1399" s="566"/>
      <c r="D1399" s="554"/>
      <c r="E1399" s="49"/>
      <c r="F1399" s="49"/>
      <c r="G1399" s="570"/>
    </row>
    <row r="1400" spans="1:7">
      <c r="A1400" s="368"/>
      <c r="B1400" s="411">
        <v>10</v>
      </c>
      <c r="C1400" s="566"/>
      <c r="D1400" s="554"/>
      <c r="E1400" s="49"/>
      <c r="F1400" s="49"/>
      <c r="G1400" s="570"/>
    </row>
    <row r="1401" spans="1:7">
      <c r="A1401" s="368"/>
      <c r="B1401" s="411">
        <v>11</v>
      </c>
      <c r="C1401" s="566"/>
      <c r="D1401" s="554"/>
      <c r="E1401" s="49"/>
      <c r="F1401" s="49"/>
      <c r="G1401" s="570"/>
    </row>
    <row r="1402" spans="1:7">
      <c r="A1402" s="368"/>
      <c r="B1402" s="411">
        <v>12</v>
      </c>
      <c r="C1402" s="566"/>
      <c r="D1402" s="554"/>
      <c r="E1402" s="49"/>
      <c r="F1402" s="49"/>
      <c r="G1402" s="570"/>
    </row>
    <row r="1403" spans="1:7">
      <c r="A1403" s="368"/>
      <c r="B1403" s="411">
        <v>13</v>
      </c>
      <c r="C1403" s="566"/>
      <c r="D1403" s="554"/>
      <c r="E1403" s="49"/>
      <c r="F1403" s="49"/>
      <c r="G1403" s="570"/>
    </row>
    <row r="1404" spans="1:7">
      <c r="A1404" s="368"/>
      <c r="B1404" s="411">
        <v>14</v>
      </c>
      <c r="C1404" s="566"/>
      <c r="D1404" s="554"/>
      <c r="E1404" s="49"/>
      <c r="F1404" s="49"/>
      <c r="G1404" s="570"/>
    </row>
    <row r="1405" spans="1:7">
      <c r="A1405" s="368"/>
      <c r="B1405" s="413">
        <v>15</v>
      </c>
      <c r="C1405" s="567"/>
      <c r="D1405" s="556"/>
      <c r="E1405" s="51"/>
      <c r="F1405" s="51"/>
      <c r="G1405" s="571"/>
    </row>
    <row r="1406" spans="1:7">
      <c r="A1406" s="368"/>
      <c r="B1406" s="390"/>
      <c r="C1406" s="390"/>
      <c r="D1406" s="390"/>
      <c r="E1406" s="390"/>
      <c r="F1406" s="390"/>
      <c r="G1406" s="390"/>
    </row>
    <row r="1407" spans="1:7">
      <c r="A1407" s="368"/>
      <c r="B1407" s="4"/>
      <c r="C1407" s="547" t="s">
        <v>20</v>
      </c>
      <c r="D1407" s="568"/>
      <c r="E1407" s="290" t="s">
        <v>21</v>
      </c>
      <c r="F1407" s="290" t="s">
        <v>22</v>
      </c>
      <c r="G1407" s="61" t="s">
        <v>23</v>
      </c>
    </row>
    <row r="1408" spans="1:7">
      <c r="A1408" s="368"/>
      <c r="B1408" s="410" t="s">
        <v>19</v>
      </c>
      <c r="C1408" s="549" t="s">
        <v>1706</v>
      </c>
      <c r="D1408" s="550"/>
      <c r="E1408" s="62">
        <f>SUM(E1409:E1423)</f>
        <v>3</v>
      </c>
      <c r="F1408" s="62">
        <f>SUM(F1409:F1423)</f>
        <v>4.5</v>
      </c>
      <c r="G1408" s="569" t="s">
        <v>1703</v>
      </c>
    </row>
    <row r="1409" spans="1:7">
      <c r="A1409" s="368"/>
      <c r="B1409" s="411">
        <v>1</v>
      </c>
      <c r="C1409" s="566" t="s">
        <v>1707</v>
      </c>
      <c r="D1409" s="554"/>
      <c r="E1409" s="49">
        <v>1.5</v>
      </c>
      <c r="F1409" s="49">
        <v>2.5</v>
      </c>
      <c r="G1409" s="570"/>
    </row>
    <row r="1410" spans="1:7">
      <c r="A1410" s="368"/>
      <c r="B1410" s="411">
        <v>2</v>
      </c>
      <c r="C1410" s="566" t="s">
        <v>1708</v>
      </c>
      <c r="D1410" s="554"/>
      <c r="E1410" s="49">
        <v>1</v>
      </c>
      <c r="F1410" s="49">
        <v>1.25</v>
      </c>
      <c r="G1410" s="570"/>
    </row>
    <row r="1411" spans="1:7">
      <c r="A1411" s="368"/>
      <c r="B1411" s="411">
        <v>3</v>
      </c>
      <c r="C1411" s="566" t="s">
        <v>1709</v>
      </c>
      <c r="D1411" s="554"/>
      <c r="E1411" s="49">
        <v>0.5</v>
      </c>
      <c r="F1411" s="49">
        <v>0.75</v>
      </c>
      <c r="G1411" s="570"/>
    </row>
    <row r="1412" spans="1:7">
      <c r="A1412" s="368"/>
      <c r="B1412" s="412">
        <v>4</v>
      </c>
      <c r="C1412" s="566"/>
      <c r="D1412" s="554"/>
      <c r="E1412" s="50"/>
      <c r="F1412" s="50"/>
      <c r="G1412" s="570"/>
    </row>
    <row r="1413" spans="1:7">
      <c r="A1413" s="368"/>
      <c r="B1413" s="411">
        <v>5</v>
      </c>
      <c r="C1413" s="566"/>
      <c r="D1413" s="554"/>
      <c r="E1413" s="49"/>
      <c r="F1413" s="49"/>
      <c r="G1413" s="570"/>
    </row>
    <row r="1414" spans="1:7">
      <c r="A1414" s="368"/>
      <c r="B1414" s="411">
        <v>6</v>
      </c>
      <c r="C1414" s="566"/>
      <c r="D1414" s="554"/>
      <c r="E1414" s="49"/>
      <c r="F1414" s="49"/>
      <c r="G1414" s="570"/>
    </row>
    <row r="1415" spans="1:7">
      <c r="A1415" s="368"/>
      <c r="B1415" s="411">
        <v>7</v>
      </c>
      <c r="C1415" s="566"/>
      <c r="D1415" s="554"/>
      <c r="E1415" s="49"/>
      <c r="F1415" s="49"/>
      <c r="G1415" s="570"/>
    </row>
    <row r="1416" spans="1:7">
      <c r="A1416" s="368"/>
      <c r="B1416" s="411">
        <v>8</v>
      </c>
      <c r="C1416" s="566"/>
      <c r="D1416" s="554"/>
      <c r="E1416" s="49"/>
      <c r="F1416" s="49"/>
      <c r="G1416" s="570"/>
    </row>
    <row r="1417" spans="1:7">
      <c r="A1417" s="368"/>
      <c r="B1417" s="411">
        <v>9</v>
      </c>
      <c r="C1417" s="566"/>
      <c r="D1417" s="554"/>
      <c r="E1417" s="49"/>
      <c r="F1417" s="49"/>
      <c r="G1417" s="570"/>
    </row>
    <row r="1418" spans="1:7">
      <c r="A1418" s="368"/>
      <c r="B1418" s="411">
        <v>10</v>
      </c>
      <c r="C1418" s="566"/>
      <c r="D1418" s="554"/>
      <c r="E1418" s="49"/>
      <c r="F1418" s="49"/>
      <c r="G1418" s="570"/>
    </row>
    <row r="1419" spans="1:7">
      <c r="A1419" s="368"/>
      <c r="B1419" s="411">
        <v>11</v>
      </c>
      <c r="C1419" s="566"/>
      <c r="D1419" s="554"/>
      <c r="E1419" s="49"/>
      <c r="F1419" s="49"/>
      <c r="G1419" s="570"/>
    </row>
    <row r="1420" spans="1:7">
      <c r="A1420" s="368"/>
      <c r="B1420" s="411">
        <v>12</v>
      </c>
      <c r="C1420" s="566"/>
      <c r="D1420" s="554"/>
      <c r="E1420" s="49"/>
      <c r="F1420" s="49"/>
      <c r="G1420" s="570"/>
    </row>
    <row r="1421" spans="1:7">
      <c r="A1421" s="368"/>
      <c r="B1421" s="411">
        <v>13</v>
      </c>
      <c r="C1421" s="566"/>
      <c r="D1421" s="554"/>
      <c r="E1421" s="49"/>
      <c r="F1421" s="49"/>
      <c r="G1421" s="570"/>
    </row>
    <row r="1422" spans="1:7">
      <c r="A1422" s="368"/>
      <c r="B1422" s="411">
        <v>14</v>
      </c>
      <c r="C1422" s="566"/>
      <c r="D1422" s="554"/>
      <c r="E1422" s="49"/>
      <c r="F1422" s="49"/>
      <c r="G1422" s="570"/>
    </row>
    <row r="1423" spans="1:7">
      <c r="A1423" s="368"/>
      <c r="B1423" s="413">
        <v>15</v>
      </c>
      <c r="C1423" s="567"/>
      <c r="D1423" s="556"/>
      <c r="E1423" s="51"/>
      <c r="F1423" s="51"/>
      <c r="G1423" s="571"/>
    </row>
    <row r="1424" spans="1:7">
      <c r="A1424" s="368"/>
      <c r="B1424" s="390"/>
      <c r="C1424" s="390"/>
      <c r="D1424" s="390"/>
      <c r="E1424" s="390"/>
      <c r="F1424" s="390"/>
      <c r="G1424" s="390"/>
    </row>
    <row r="1425" spans="1:7">
      <c r="A1425" s="368"/>
      <c r="B1425" s="4"/>
      <c r="C1425" s="547" t="s">
        <v>20</v>
      </c>
      <c r="D1425" s="568"/>
      <c r="E1425" s="290" t="s">
        <v>21</v>
      </c>
      <c r="F1425" s="290" t="s">
        <v>22</v>
      </c>
      <c r="G1425" s="61" t="s">
        <v>23</v>
      </c>
    </row>
    <row r="1426" spans="1:7">
      <c r="A1426" s="368"/>
      <c r="B1426" s="410" t="s">
        <v>19</v>
      </c>
      <c r="C1426" s="549" t="s">
        <v>1710</v>
      </c>
      <c r="D1426" s="550"/>
      <c r="E1426" s="62">
        <f>SUM(E1427:E1441)</f>
        <v>0.4</v>
      </c>
      <c r="F1426" s="62">
        <f>SUM(F1427:F1441)</f>
        <v>0.7</v>
      </c>
      <c r="G1426" s="569" t="s">
        <v>1711</v>
      </c>
    </row>
    <row r="1427" spans="1:7">
      <c r="A1427" s="368"/>
      <c r="B1427" s="411">
        <v>1</v>
      </c>
      <c r="C1427" s="566" t="s">
        <v>1710</v>
      </c>
      <c r="D1427" s="554"/>
      <c r="E1427" s="49">
        <v>0.25</v>
      </c>
      <c r="F1427" s="49">
        <v>0.5</v>
      </c>
      <c r="G1427" s="570"/>
    </row>
    <row r="1428" spans="1:7">
      <c r="A1428" s="368"/>
      <c r="B1428" s="411">
        <v>2</v>
      </c>
      <c r="C1428" s="566" t="s">
        <v>1705</v>
      </c>
      <c r="D1428" s="554"/>
      <c r="E1428" s="49">
        <v>0.15</v>
      </c>
      <c r="F1428" s="49">
        <v>0.2</v>
      </c>
      <c r="G1428" s="570"/>
    </row>
    <row r="1429" spans="1:7">
      <c r="A1429" s="368"/>
      <c r="B1429" s="411">
        <v>3</v>
      </c>
      <c r="C1429" s="566"/>
      <c r="D1429" s="554"/>
      <c r="E1429" s="49"/>
      <c r="F1429" s="49"/>
      <c r="G1429" s="570"/>
    </row>
    <row r="1430" spans="1:7">
      <c r="A1430" s="368"/>
      <c r="B1430" s="412">
        <v>4</v>
      </c>
      <c r="C1430" s="566"/>
      <c r="D1430" s="554"/>
      <c r="E1430" s="50"/>
      <c r="F1430" s="50"/>
      <c r="G1430" s="570"/>
    </row>
    <row r="1431" spans="1:7">
      <c r="A1431" s="368"/>
      <c r="B1431" s="411">
        <v>5</v>
      </c>
      <c r="C1431" s="566"/>
      <c r="D1431" s="554"/>
      <c r="E1431" s="49"/>
      <c r="F1431" s="49"/>
      <c r="G1431" s="570"/>
    </row>
    <row r="1432" spans="1:7">
      <c r="A1432" s="368"/>
      <c r="B1432" s="411">
        <v>6</v>
      </c>
      <c r="C1432" s="566"/>
      <c r="D1432" s="554"/>
      <c r="E1432" s="49"/>
      <c r="F1432" s="49"/>
      <c r="G1432" s="570"/>
    </row>
    <row r="1433" spans="1:7">
      <c r="A1433" s="368"/>
      <c r="B1433" s="411">
        <v>7</v>
      </c>
      <c r="C1433" s="566"/>
      <c r="D1433" s="554"/>
      <c r="E1433" s="49"/>
      <c r="F1433" s="49"/>
      <c r="G1433" s="570"/>
    </row>
    <row r="1434" spans="1:7">
      <c r="A1434" s="368"/>
      <c r="B1434" s="411">
        <v>8</v>
      </c>
      <c r="C1434" s="566"/>
      <c r="D1434" s="554"/>
      <c r="E1434" s="49"/>
      <c r="F1434" s="49"/>
      <c r="G1434" s="570"/>
    </row>
    <row r="1435" spans="1:7">
      <c r="A1435" s="368"/>
      <c r="B1435" s="411">
        <v>9</v>
      </c>
      <c r="C1435" s="566"/>
      <c r="D1435" s="554"/>
      <c r="E1435" s="49"/>
      <c r="F1435" s="49"/>
      <c r="G1435" s="570"/>
    </row>
    <row r="1436" spans="1:7">
      <c r="A1436" s="368"/>
      <c r="B1436" s="411">
        <v>10</v>
      </c>
      <c r="C1436" s="566"/>
      <c r="D1436" s="554"/>
      <c r="E1436" s="49"/>
      <c r="F1436" s="49"/>
      <c r="G1436" s="570"/>
    </row>
    <row r="1437" spans="1:7">
      <c r="A1437" s="368"/>
      <c r="B1437" s="411">
        <v>11</v>
      </c>
      <c r="C1437" s="566"/>
      <c r="D1437" s="554"/>
      <c r="E1437" s="49"/>
      <c r="F1437" s="49"/>
      <c r="G1437" s="570"/>
    </row>
    <row r="1438" spans="1:7">
      <c r="A1438" s="368"/>
      <c r="B1438" s="411">
        <v>12</v>
      </c>
      <c r="C1438" s="566"/>
      <c r="D1438" s="554"/>
      <c r="E1438" s="49"/>
      <c r="F1438" s="49"/>
      <c r="G1438" s="570"/>
    </row>
    <row r="1439" spans="1:7">
      <c r="A1439" s="368"/>
      <c r="B1439" s="411">
        <v>13</v>
      </c>
      <c r="C1439" s="566"/>
      <c r="D1439" s="554"/>
      <c r="E1439" s="49"/>
      <c r="F1439" s="49"/>
      <c r="G1439" s="570"/>
    </row>
    <row r="1440" spans="1:7">
      <c r="A1440" s="368"/>
      <c r="B1440" s="411">
        <v>14</v>
      </c>
      <c r="C1440" s="566"/>
      <c r="D1440" s="554"/>
      <c r="E1440" s="49"/>
      <c r="F1440" s="49"/>
      <c r="G1440" s="570"/>
    </row>
    <row r="1441" spans="1:7">
      <c r="A1441" s="368"/>
      <c r="B1441" s="413">
        <v>15</v>
      </c>
      <c r="C1441" s="567"/>
      <c r="D1441" s="556"/>
      <c r="E1441" s="51"/>
      <c r="F1441" s="51"/>
      <c r="G1441" s="571"/>
    </row>
    <row r="1442" spans="1:7">
      <c r="A1442" s="368"/>
      <c r="B1442" s="390"/>
      <c r="C1442" s="390"/>
      <c r="D1442" s="390"/>
      <c r="E1442" s="390"/>
      <c r="F1442" s="390"/>
      <c r="G1442" s="390"/>
    </row>
    <row r="1443" spans="1:7">
      <c r="A1443" s="368"/>
      <c r="B1443" s="4"/>
      <c r="C1443" s="547" t="s">
        <v>20</v>
      </c>
      <c r="D1443" s="568"/>
      <c r="E1443" s="290" t="s">
        <v>21</v>
      </c>
      <c r="F1443" s="290" t="s">
        <v>22</v>
      </c>
      <c r="G1443" s="61" t="s">
        <v>23</v>
      </c>
    </row>
    <row r="1444" spans="1:7">
      <c r="A1444" s="368"/>
      <c r="B1444" s="410" t="s">
        <v>19</v>
      </c>
      <c r="C1444" s="549" t="s">
        <v>1712</v>
      </c>
      <c r="D1444" s="550"/>
      <c r="E1444" s="62">
        <f>SUM(E1445:E1459)</f>
        <v>1</v>
      </c>
      <c r="F1444" s="62">
        <f>SUM(F1445:F1459)</f>
        <v>1.75</v>
      </c>
      <c r="G1444" s="569" t="s">
        <v>1711</v>
      </c>
    </row>
    <row r="1445" spans="1:7">
      <c r="A1445" s="368"/>
      <c r="B1445" s="411">
        <v>1</v>
      </c>
      <c r="C1445" s="566" t="s">
        <v>1713</v>
      </c>
      <c r="D1445" s="554"/>
      <c r="E1445" s="49">
        <v>0.25</v>
      </c>
      <c r="F1445" s="49">
        <v>0.5</v>
      </c>
      <c r="G1445" s="570"/>
    </row>
    <row r="1446" spans="1:7">
      <c r="A1446" s="368"/>
      <c r="B1446" s="411">
        <v>2</v>
      </c>
      <c r="C1446" s="566" t="s">
        <v>1714</v>
      </c>
      <c r="D1446" s="554"/>
      <c r="E1446" s="49">
        <v>0.25</v>
      </c>
      <c r="F1446" s="49">
        <v>0.5</v>
      </c>
      <c r="G1446" s="570"/>
    </row>
    <row r="1447" spans="1:7">
      <c r="A1447" s="368"/>
      <c r="B1447" s="411">
        <v>3</v>
      </c>
      <c r="C1447" s="566" t="s">
        <v>1715</v>
      </c>
      <c r="D1447" s="554"/>
      <c r="E1447" s="49">
        <v>0.25</v>
      </c>
      <c r="F1447" s="49">
        <v>0.25</v>
      </c>
      <c r="G1447" s="570"/>
    </row>
    <row r="1448" spans="1:7">
      <c r="A1448" s="368"/>
      <c r="B1448" s="412">
        <v>4</v>
      </c>
      <c r="C1448" s="566" t="s">
        <v>1716</v>
      </c>
      <c r="D1448" s="554"/>
      <c r="E1448" s="50">
        <v>0.25</v>
      </c>
      <c r="F1448" s="50">
        <v>0.5</v>
      </c>
      <c r="G1448" s="570"/>
    </row>
    <row r="1449" spans="1:7">
      <c r="A1449" s="368"/>
      <c r="B1449" s="411">
        <v>5</v>
      </c>
      <c r="C1449" s="566"/>
      <c r="D1449" s="554"/>
      <c r="E1449" s="49"/>
      <c r="F1449" s="49"/>
      <c r="G1449" s="570"/>
    </row>
    <row r="1450" spans="1:7">
      <c r="A1450" s="368"/>
      <c r="B1450" s="411">
        <v>6</v>
      </c>
      <c r="C1450" s="566"/>
      <c r="D1450" s="554"/>
      <c r="E1450" s="49"/>
      <c r="F1450" s="49"/>
      <c r="G1450" s="570"/>
    </row>
    <row r="1451" spans="1:7">
      <c r="A1451" s="368"/>
      <c r="B1451" s="411">
        <v>7</v>
      </c>
      <c r="C1451" s="566"/>
      <c r="D1451" s="554"/>
      <c r="E1451" s="49"/>
      <c r="F1451" s="49"/>
      <c r="G1451" s="570"/>
    </row>
    <row r="1452" spans="1:7">
      <c r="A1452" s="368"/>
      <c r="B1452" s="411">
        <v>8</v>
      </c>
      <c r="C1452" s="566"/>
      <c r="D1452" s="554"/>
      <c r="E1452" s="49"/>
      <c r="F1452" s="49"/>
      <c r="G1452" s="570"/>
    </row>
    <row r="1453" spans="1:7">
      <c r="A1453" s="368"/>
      <c r="B1453" s="411">
        <v>9</v>
      </c>
      <c r="C1453" s="566"/>
      <c r="D1453" s="554"/>
      <c r="E1453" s="49"/>
      <c r="F1453" s="49"/>
      <c r="G1453" s="570"/>
    </row>
    <row r="1454" spans="1:7">
      <c r="A1454" s="368"/>
      <c r="B1454" s="411">
        <v>10</v>
      </c>
      <c r="C1454" s="566"/>
      <c r="D1454" s="554"/>
      <c r="E1454" s="49"/>
      <c r="F1454" s="49"/>
      <c r="G1454" s="570"/>
    </row>
    <row r="1455" spans="1:7">
      <c r="A1455" s="368"/>
      <c r="B1455" s="411">
        <v>11</v>
      </c>
      <c r="C1455" s="566"/>
      <c r="D1455" s="554"/>
      <c r="E1455" s="49"/>
      <c r="F1455" s="49"/>
      <c r="G1455" s="570"/>
    </row>
    <row r="1456" spans="1:7">
      <c r="A1456" s="368"/>
      <c r="B1456" s="411">
        <v>12</v>
      </c>
      <c r="C1456" s="566"/>
      <c r="D1456" s="554"/>
      <c r="E1456" s="49"/>
      <c r="F1456" s="49"/>
      <c r="G1456" s="570"/>
    </row>
    <row r="1457" spans="1:7">
      <c r="A1457" s="368"/>
      <c r="B1457" s="411">
        <v>13</v>
      </c>
      <c r="C1457" s="566"/>
      <c r="D1457" s="554"/>
      <c r="E1457" s="49"/>
      <c r="F1457" s="49"/>
      <c r="G1457" s="570"/>
    </row>
    <row r="1458" spans="1:7">
      <c r="A1458" s="368"/>
      <c r="B1458" s="411">
        <v>14</v>
      </c>
      <c r="C1458" s="566"/>
      <c r="D1458" s="554"/>
      <c r="E1458" s="49"/>
      <c r="F1458" s="49"/>
      <c r="G1458" s="570"/>
    </row>
    <row r="1459" spans="1:7">
      <c r="A1459" s="368"/>
      <c r="B1459" s="413">
        <v>15</v>
      </c>
      <c r="C1459" s="567"/>
      <c r="D1459" s="556"/>
      <c r="E1459" s="51"/>
      <c r="F1459" s="51"/>
      <c r="G1459" s="571"/>
    </row>
    <row r="1460" spans="1:7">
      <c r="A1460" s="368"/>
      <c r="B1460" s="390"/>
      <c r="C1460" s="390"/>
      <c r="D1460" s="390"/>
      <c r="E1460" s="390"/>
      <c r="F1460" s="390"/>
      <c r="G1460" s="390"/>
    </row>
    <row r="1461" spans="1:7">
      <c r="A1461" s="368"/>
      <c r="B1461" s="4"/>
      <c r="C1461" s="547" t="s">
        <v>20</v>
      </c>
      <c r="D1461" s="568"/>
      <c r="E1461" s="290" t="s">
        <v>21</v>
      </c>
      <c r="F1461" s="290" t="s">
        <v>22</v>
      </c>
      <c r="G1461" s="61" t="s">
        <v>23</v>
      </c>
    </row>
    <row r="1462" spans="1:7">
      <c r="A1462" s="368"/>
      <c r="B1462" s="410" t="s">
        <v>19</v>
      </c>
      <c r="C1462" s="549" t="s">
        <v>1717</v>
      </c>
      <c r="D1462" s="550"/>
      <c r="E1462" s="62">
        <f>SUM(E1463:E1477)</f>
        <v>0.7</v>
      </c>
      <c r="F1462" s="62">
        <f>SUM(F1463:F1477)</f>
        <v>1.1499999999999999</v>
      </c>
      <c r="G1462" s="569" t="s">
        <v>1718</v>
      </c>
    </row>
    <row r="1463" spans="1:7">
      <c r="A1463" s="368"/>
      <c r="B1463" s="411">
        <v>1</v>
      </c>
      <c r="C1463" s="566" t="s">
        <v>1719</v>
      </c>
      <c r="D1463" s="554"/>
      <c r="E1463" s="49">
        <v>0.5</v>
      </c>
      <c r="F1463" s="49">
        <v>0.75</v>
      </c>
      <c r="G1463" s="570"/>
    </row>
    <row r="1464" spans="1:7">
      <c r="A1464" s="368"/>
      <c r="B1464" s="411">
        <v>2</v>
      </c>
      <c r="C1464" s="566" t="s">
        <v>1705</v>
      </c>
      <c r="D1464" s="554"/>
      <c r="E1464" s="49">
        <v>0.2</v>
      </c>
      <c r="F1464" s="49">
        <v>0.4</v>
      </c>
      <c r="G1464" s="570"/>
    </row>
    <row r="1465" spans="1:7">
      <c r="A1465" s="368"/>
      <c r="B1465" s="411">
        <v>3</v>
      </c>
      <c r="C1465" s="566"/>
      <c r="D1465" s="554"/>
      <c r="E1465" s="49"/>
      <c r="F1465" s="49"/>
      <c r="G1465" s="570"/>
    </row>
    <row r="1466" spans="1:7">
      <c r="A1466" s="368"/>
      <c r="B1466" s="412">
        <v>4</v>
      </c>
      <c r="C1466" s="566"/>
      <c r="D1466" s="554"/>
      <c r="E1466" s="50"/>
      <c r="F1466" s="50"/>
      <c r="G1466" s="570"/>
    </row>
    <row r="1467" spans="1:7">
      <c r="A1467" s="368"/>
      <c r="B1467" s="411">
        <v>5</v>
      </c>
      <c r="C1467" s="566"/>
      <c r="D1467" s="554"/>
      <c r="E1467" s="49"/>
      <c r="F1467" s="49"/>
      <c r="G1467" s="570"/>
    </row>
    <row r="1468" spans="1:7">
      <c r="A1468" s="368"/>
      <c r="B1468" s="411">
        <v>6</v>
      </c>
      <c r="C1468" s="566"/>
      <c r="D1468" s="554"/>
      <c r="E1468" s="49"/>
      <c r="F1468" s="49"/>
      <c r="G1468" s="570"/>
    </row>
    <row r="1469" spans="1:7">
      <c r="A1469" s="368"/>
      <c r="B1469" s="411">
        <v>7</v>
      </c>
      <c r="C1469" s="566"/>
      <c r="D1469" s="554"/>
      <c r="E1469" s="49"/>
      <c r="F1469" s="49"/>
      <c r="G1469" s="570"/>
    </row>
    <row r="1470" spans="1:7">
      <c r="A1470" s="368"/>
      <c r="B1470" s="411">
        <v>8</v>
      </c>
      <c r="C1470" s="566"/>
      <c r="D1470" s="554"/>
      <c r="E1470" s="49"/>
      <c r="F1470" s="49"/>
      <c r="G1470" s="570"/>
    </row>
    <row r="1471" spans="1:7">
      <c r="A1471" s="368"/>
      <c r="B1471" s="411">
        <v>9</v>
      </c>
      <c r="C1471" s="566"/>
      <c r="D1471" s="554"/>
      <c r="E1471" s="49"/>
      <c r="F1471" s="49"/>
      <c r="G1471" s="570"/>
    </row>
    <row r="1472" spans="1:7">
      <c r="A1472" s="368"/>
      <c r="B1472" s="411">
        <v>10</v>
      </c>
      <c r="C1472" s="566"/>
      <c r="D1472" s="554"/>
      <c r="E1472" s="49"/>
      <c r="F1472" s="49"/>
      <c r="G1472" s="570"/>
    </row>
    <row r="1473" spans="1:7">
      <c r="A1473" s="368"/>
      <c r="B1473" s="411">
        <v>11</v>
      </c>
      <c r="C1473" s="566"/>
      <c r="D1473" s="554"/>
      <c r="E1473" s="49"/>
      <c r="F1473" s="49"/>
      <c r="G1473" s="570"/>
    </row>
    <row r="1474" spans="1:7">
      <c r="A1474" s="368"/>
      <c r="B1474" s="411">
        <v>12</v>
      </c>
      <c r="C1474" s="566"/>
      <c r="D1474" s="554"/>
      <c r="E1474" s="49"/>
      <c r="F1474" s="49"/>
      <c r="G1474" s="570"/>
    </row>
    <row r="1475" spans="1:7">
      <c r="A1475" s="368"/>
      <c r="B1475" s="411">
        <v>13</v>
      </c>
      <c r="C1475" s="566"/>
      <c r="D1475" s="554"/>
      <c r="E1475" s="49"/>
      <c r="F1475" s="49"/>
      <c r="G1475" s="570"/>
    </row>
    <row r="1476" spans="1:7">
      <c r="A1476" s="368"/>
      <c r="B1476" s="411">
        <v>14</v>
      </c>
      <c r="C1476" s="566"/>
      <c r="D1476" s="554"/>
      <c r="E1476" s="49"/>
      <c r="F1476" s="49"/>
      <c r="G1476" s="570"/>
    </row>
    <row r="1477" spans="1:7">
      <c r="A1477" s="368"/>
      <c r="B1477" s="413">
        <v>15</v>
      </c>
      <c r="C1477" s="567"/>
      <c r="D1477" s="556"/>
      <c r="E1477" s="51"/>
      <c r="F1477" s="51"/>
      <c r="G1477" s="571"/>
    </row>
    <row r="1478" spans="1:7">
      <c r="A1478" s="368"/>
      <c r="B1478" s="390"/>
      <c r="C1478" s="390"/>
      <c r="D1478" s="390"/>
      <c r="E1478" s="390"/>
      <c r="F1478" s="390"/>
      <c r="G1478" s="390"/>
    </row>
    <row r="1479" spans="1:7">
      <c r="A1479" s="368"/>
      <c r="B1479" s="4"/>
      <c r="C1479" s="547" t="s">
        <v>20</v>
      </c>
      <c r="D1479" s="568"/>
      <c r="E1479" s="290" t="s">
        <v>21</v>
      </c>
      <c r="F1479" s="290" t="s">
        <v>22</v>
      </c>
      <c r="G1479" s="61" t="s">
        <v>23</v>
      </c>
    </row>
    <row r="1480" spans="1:7">
      <c r="A1480" s="368"/>
      <c r="B1480" s="410" t="s">
        <v>19</v>
      </c>
      <c r="C1480" s="549" t="s">
        <v>1720</v>
      </c>
      <c r="D1480" s="550"/>
      <c r="E1480" s="62">
        <f>SUM(E1481:E1495)</f>
        <v>2.5</v>
      </c>
      <c r="F1480" s="62">
        <f>SUM(F1481:F1495)</f>
        <v>4</v>
      </c>
      <c r="G1480" s="569" t="s">
        <v>1718</v>
      </c>
    </row>
    <row r="1481" spans="1:7">
      <c r="A1481" s="368"/>
      <c r="B1481" s="411">
        <v>1</v>
      </c>
      <c r="C1481" s="566" t="s">
        <v>1713</v>
      </c>
      <c r="D1481" s="554"/>
      <c r="E1481" s="49">
        <v>0.75</v>
      </c>
      <c r="F1481" s="49">
        <v>1</v>
      </c>
      <c r="G1481" s="570"/>
    </row>
    <row r="1482" spans="1:7">
      <c r="A1482" s="368"/>
      <c r="B1482" s="411">
        <v>2</v>
      </c>
      <c r="C1482" s="566" t="s">
        <v>1714</v>
      </c>
      <c r="D1482" s="554"/>
      <c r="E1482" s="49">
        <v>0.75</v>
      </c>
      <c r="F1482" s="49">
        <v>1</v>
      </c>
      <c r="G1482" s="570"/>
    </row>
    <row r="1483" spans="1:7">
      <c r="A1483" s="368"/>
      <c r="B1483" s="411">
        <v>3</v>
      </c>
      <c r="C1483" s="566" t="s">
        <v>1715</v>
      </c>
      <c r="D1483" s="554"/>
      <c r="E1483" s="49">
        <v>0.5</v>
      </c>
      <c r="F1483" s="49">
        <v>1</v>
      </c>
      <c r="G1483" s="570"/>
    </row>
    <row r="1484" spans="1:7">
      <c r="A1484" s="368"/>
      <c r="B1484" s="412">
        <v>4</v>
      </c>
      <c r="C1484" s="566" t="s">
        <v>1716</v>
      </c>
      <c r="D1484" s="554"/>
      <c r="E1484" s="50">
        <v>0.5</v>
      </c>
      <c r="F1484" s="50">
        <v>1</v>
      </c>
      <c r="G1484" s="570"/>
    </row>
    <row r="1485" spans="1:7">
      <c r="A1485" s="368"/>
      <c r="B1485" s="411">
        <v>5</v>
      </c>
      <c r="C1485" s="566"/>
      <c r="D1485" s="554"/>
      <c r="E1485" s="49"/>
      <c r="F1485" s="49"/>
      <c r="G1485" s="570"/>
    </row>
    <row r="1486" spans="1:7">
      <c r="A1486" s="368"/>
      <c r="B1486" s="411">
        <v>6</v>
      </c>
      <c r="C1486" s="566"/>
      <c r="D1486" s="554"/>
      <c r="E1486" s="49"/>
      <c r="F1486" s="49"/>
      <c r="G1486" s="570"/>
    </row>
    <row r="1487" spans="1:7">
      <c r="A1487" s="368"/>
      <c r="B1487" s="411">
        <v>7</v>
      </c>
      <c r="C1487" s="566"/>
      <c r="D1487" s="554"/>
      <c r="E1487" s="49"/>
      <c r="F1487" s="49"/>
      <c r="G1487" s="570"/>
    </row>
    <row r="1488" spans="1:7">
      <c r="A1488" s="368"/>
      <c r="B1488" s="411">
        <v>8</v>
      </c>
      <c r="C1488" s="566"/>
      <c r="D1488" s="554"/>
      <c r="E1488" s="49"/>
      <c r="F1488" s="49"/>
      <c r="G1488" s="570"/>
    </row>
    <row r="1489" spans="1:7">
      <c r="A1489" s="368"/>
      <c r="B1489" s="411">
        <v>9</v>
      </c>
      <c r="C1489" s="566"/>
      <c r="D1489" s="554"/>
      <c r="E1489" s="49"/>
      <c r="F1489" s="49"/>
      <c r="G1489" s="570"/>
    </row>
    <row r="1490" spans="1:7">
      <c r="A1490" s="368"/>
      <c r="B1490" s="411">
        <v>10</v>
      </c>
      <c r="C1490" s="566"/>
      <c r="D1490" s="554"/>
      <c r="E1490" s="49"/>
      <c r="F1490" s="49"/>
      <c r="G1490" s="570"/>
    </row>
    <row r="1491" spans="1:7">
      <c r="A1491" s="368"/>
      <c r="B1491" s="411">
        <v>11</v>
      </c>
      <c r="C1491" s="566"/>
      <c r="D1491" s="554"/>
      <c r="E1491" s="49"/>
      <c r="F1491" s="49"/>
      <c r="G1491" s="570"/>
    </row>
    <row r="1492" spans="1:7">
      <c r="A1492" s="368"/>
      <c r="B1492" s="411">
        <v>12</v>
      </c>
      <c r="C1492" s="566"/>
      <c r="D1492" s="554"/>
      <c r="E1492" s="49"/>
      <c r="F1492" s="49"/>
      <c r="G1492" s="570"/>
    </row>
    <row r="1493" spans="1:7">
      <c r="A1493" s="368"/>
      <c r="B1493" s="411">
        <v>13</v>
      </c>
      <c r="C1493" s="566"/>
      <c r="D1493" s="554"/>
      <c r="E1493" s="49"/>
      <c r="F1493" s="49"/>
      <c r="G1493" s="570"/>
    </row>
    <row r="1494" spans="1:7">
      <c r="A1494" s="368"/>
      <c r="B1494" s="411">
        <v>14</v>
      </c>
      <c r="C1494" s="566"/>
      <c r="D1494" s="554"/>
      <c r="E1494" s="49"/>
      <c r="F1494" s="49"/>
      <c r="G1494" s="570"/>
    </row>
    <row r="1495" spans="1:7">
      <c r="A1495" s="368"/>
      <c r="B1495" s="413">
        <v>15</v>
      </c>
      <c r="C1495" s="567"/>
      <c r="D1495" s="556"/>
      <c r="E1495" s="51"/>
      <c r="F1495" s="51"/>
      <c r="G1495" s="571"/>
    </row>
    <row r="1496" spans="1:7">
      <c r="A1496" s="368"/>
      <c r="B1496" s="390"/>
      <c r="C1496" s="390"/>
      <c r="D1496" s="390"/>
      <c r="E1496" s="390"/>
      <c r="F1496" s="390"/>
      <c r="G1496" s="390"/>
    </row>
    <row r="1497" spans="1:7">
      <c r="A1497" s="368"/>
      <c r="B1497" s="4"/>
      <c r="C1497" s="547" t="s">
        <v>20</v>
      </c>
      <c r="D1497" s="568"/>
      <c r="E1497" s="290" t="s">
        <v>21</v>
      </c>
      <c r="F1497" s="290" t="s">
        <v>22</v>
      </c>
      <c r="G1497" s="61" t="s">
        <v>23</v>
      </c>
    </row>
    <row r="1498" spans="1:7">
      <c r="A1498" s="368"/>
      <c r="B1498" s="410" t="s">
        <v>19</v>
      </c>
      <c r="C1498" s="549" t="s">
        <v>1721</v>
      </c>
      <c r="D1498" s="550"/>
      <c r="E1498" s="62">
        <f>SUM(E1499:E1513)</f>
        <v>1</v>
      </c>
      <c r="F1498" s="62">
        <f>SUM(F1499:F1513)</f>
        <v>1.75</v>
      </c>
      <c r="G1498" s="569" t="s">
        <v>1722</v>
      </c>
    </row>
    <row r="1499" spans="1:7">
      <c r="A1499" s="368"/>
      <c r="B1499" s="411">
        <v>1</v>
      </c>
      <c r="C1499" s="566" t="s">
        <v>1719</v>
      </c>
      <c r="D1499" s="554"/>
      <c r="E1499" s="49">
        <v>0.75</v>
      </c>
      <c r="F1499" s="49">
        <v>1.25</v>
      </c>
      <c r="G1499" s="570"/>
    </row>
    <row r="1500" spans="1:7">
      <c r="A1500" s="368"/>
      <c r="B1500" s="411">
        <v>2</v>
      </c>
      <c r="C1500" s="566" t="s">
        <v>1705</v>
      </c>
      <c r="D1500" s="554"/>
      <c r="E1500" s="49">
        <v>0.25</v>
      </c>
      <c r="F1500" s="49">
        <v>0.5</v>
      </c>
      <c r="G1500" s="570"/>
    </row>
    <row r="1501" spans="1:7">
      <c r="A1501" s="368"/>
      <c r="B1501" s="411">
        <v>3</v>
      </c>
      <c r="C1501" s="566"/>
      <c r="D1501" s="554"/>
      <c r="E1501" s="49"/>
      <c r="F1501" s="49"/>
      <c r="G1501" s="570"/>
    </row>
    <row r="1502" spans="1:7">
      <c r="A1502" s="368"/>
      <c r="B1502" s="412">
        <v>4</v>
      </c>
      <c r="C1502" s="566"/>
      <c r="D1502" s="554"/>
      <c r="E1502" s="50"/>
      <c r="F1502" s="50"/>
      <c r="G1502" s="570"/>
    </row>
    <row r="1503" spans="1:7">
      <c r="A1503" s="368"/>
      <c r="B1503" s="411">
        <v>5</v>
      </c>
      <c r="C1503" s="566"/>
      <c r="D1503" s="554"/>
      <c r="E1503" s="49"/>
      <c r="F1503" s="49"/>
      <c r="G1503" s="570"/>
    </row>
    <row r="1504" spans="1:7">
      <c r="A1504" s="368"/>
      <c r="B1504" s="411">
        <v>6</v>
      </c>
      <c r="C1504" s="566"/>
      <c r="D1504" s="554"/>
      <c r="E1504" s="49"/>
      <c r="F1504" s="49"/>
      <c r="G1504" s="570"/>
    </row>
    <row r="1505" spans="1:7">
      <c r="A1505" s="368"/>
      <c r="B1505" s="411">
        <v>7</v>
      </c>
      <c r="C1505" s="566"/>
      <c r="D1505" s="554"/>
      <c r="E1505" s="49"/>
      <c r="F1505" s="49"/>
      <c r="G1505" s="570"/>
    </row>
    <row r="1506" spans="1:7">
      <c r="A1506" s="368"/>
      <c r="B1506" s="411">
        <v>8</v>
      </c>
      <c r="C1506" s="566"/>
      <c r="D1506" s="554"/>
      <c r="E1506" s="49"/>
      <c r="F1506" s="49"/>
      <c r="G1506" s="570"/>
    </row>
    <row r="1507" spans="1:7">
      <c r="A1507" s="368"/>
      <c r="B1507" s="411">
        <v>9</v>
      </c>
      <c r="C1507" s="566"/>
      <c r="D1507" s="554"/>
      <c r="E1507" s="49"/>
      <c r="F1507" s="49"/>
      <c r="G1507" s="570"/>
    </row>
    <row r="1508" spans="1:7">
      <c r="A1508" s="368"/>
      <c r="B1508" s="411">
        <v>10</v>
      </c>
      <c r="C1508" s="566"/>
      <c r="D1508" s="554"/>
      <c r="E1508" s="49"/>
      <c r="F1508" s="49"/>
      <c r="G1508" s="570"/>
    </row>
    <row r="1509" spans="1:7">
      <c r="A1509" s="368"/>
      <c r="B1509" s="411">
        <v>11</v>
      </c>
      <c r="C1509" s="566"/>
      <c r="D1509" s="554"/>
      <c r="E1509" s="49"/>
      <c r="F1509" s="49"/>
      <c r="G1509" s="570"/>
    </row>
    <row r="1510" spans="1:7">
      <c r="A1510" s="368"/>
      <c r="B1510" s="411">
        <v>12</v>
      </c>
      <c r="C1510" s="566"/>
      <c r="D1510" s="554"/>
      <c r="E1510" s="49"/>
      <c r="F1510" s="49"/>
      <c r="G1510" s="570"/>
    </row>
    <row r="1511" spans="1:7">
      <c r="A1511" s="368"/>
      <c r="B1511" s="411">
        <v>13</v>
      </c>
      <c r="C1511" s="566"/>
      <c r="D1511" s="554"/>
      <c r="E1511" s="49"/>
      <c r="F1511" s="49"/>
      <c r="G1511" s="570"/>
    </row>
    <row r="1512" spans="1:7">
      <c r="A1512" s="368"/>
      <c r="B1512" s="411">
        <v>14</v>
      </c>
      <c r="C1512" s="566"/>
      <c r="D1512" s="554"/>
      <c r="E1512" s="49"/>
      <c r="F1512" s="49"/>
      <c r="G1512" s="570"/>
    </row>
    <row r="1513" spans="1:7">
      <c r="A1513" s="368"/>
      <c r="B1513" s="413">
        <v>15</v>
      </c>
      <c r="C1513" s="567"/>
      <c r="D1513" s="556"/>
      <c r="E1513" s="51"/>
      <c r="F1513" s="51"/>
      <c r="G1513" s="571"/>
    </row>
    <row r="1514" spans="1:7">
      <c r="A1514" s="368"/>
      <c r="B1514" s="390"/>
      <c r="C1514" s="390"/>
      <c r="D1514" s="390"/>
      <c r="E1514" s="390"/>
      <c r="F1514" s="390"/>
      <c r="G1514" s="390"/>
    </row>
    <row r="1515" spans="1:7">
      <c r="A1515" s="368"/>
      <c r="B1515" s="4"/>
      <c r="C1515" s="547" t="s">
        <v>20</v>
      </c>
      <c r="D1515" s="568"/>
      <c r="E1515" s="290" t="s">
        <v>21</v>
      </c>
      <c r="F1515" s="290" t="s">
        <v>22</v>
      </c>
      <c r="G1515" s="61" t="s">
        <v>23</v>
      </c>
    </row>
    <row r="1516" spans="1:7">
      <c r="A1516" s="368"/>
      <c r="B1516" s="410" t="s">
        <v>19</v>
      </c>
      <c r="C1516" s="549" t="s">
        <v>1723</v>
      </c>
      <c r="D1516" s="550"/>
      <c r="E1516" s="62">
        <f>SUM(E1517:E1531)</f>
        <v>8.5</v>
      </c>
      <c r="F1516" s="62">
        <f>SUM(F1517:F1531)</f>
        <v>10.5</v>
      </c>
      <c r="G1516" s="569" t="s">
        <v>1722</v>
      </c>
    </row>
    <row r="1517" spans="1:7">
      <c r="A1517" s="368"/>
      <c r="B1517" s="411">
        <v>1</v>
      </c>
      <c r="C1517" s="566" t="s">
        <v>1713</v>
      </c>
      <c r="D1517" s="554"/>
      <c r="E1517" s="49">
        <v>1</v>
      </c>
      <c r="F1517" s="49">
        <v>1.5</v>
      </c>
      <c r="G1517" s="570"/>
    </row>
    <row r="1518" spans="1:7">
      <c r="A1518" s="368"/>
      <c r="B1518" s="411">
        <v>2</v>
      </c>
      <c r="C1518" s="566" t="s">
        <v>1714</v>
      </c>
      <c r="D1518" s="554"/>
      <c r="E1518" s="49">
        <v>2.75</v>
      </c>
      <c r="F1518" s="49">
        <v>3</v>
      </c>
      <c r="G1518" s="570"/>
    </row>
    <row r="1519" spans="1:7">
      <c r="A1519" s="368"/>
      <c r="B1519" s="411">
        <v>3</v>
      </c>
      <c r="C1519" s="566" t="s">
        <v>1724</v>
      </c>
      <c r="D1519" s="554"/>
      <c r="E1519" s="49">
        <v>2.75</v>
      </c>
      <c r="F1519" s="49">
        <v>3</v>
      </c>
      <c r="G1519" s="570"/>
    </row>
    <row r="1520" spans="1:7">
      <c r="A1520" s="368"/>
      <c r="B1520" s="412">
        <v>4</v>
      </c>
      <c r="C1520" s="566" t="s">
        <v>1715</v>
      </c>
      <c r="D1520" s="554"/>
      <c r="E1520" s="49">
        <v>1</v>
      </c>
      <c r="F1520" s="49">
        <v>1.5</v>
      </c>
      <c r="G1520" s="570"/>
    </row>
    <row r="1521" spans="1:7">
      <c r="A1521" s="368"/>
      <c r="B1521" s="411">
        <v>5</v>
      </c>
      <c r="C1521" s="566" t="s">
        <v>1716</v>
      </c>
      <c r="D1521" s="554"/>
      <c r="E1521" s="49">
        <v>1</v>
      </c>
      <c r="F1521" s="49">
        <v>1.5</v>
      </c>
      <c r="G1521" s="570"/>
    </row>
    <row r="1522" spans="1:7">
      <c r="A1522" s="368"/>
      <c r="B1522" s="411">
        <v>6</v>
      </c>
      <c r="C1522" s="566"/>
      <c r="D1522" s="554"/>
      <c r="E1522" s="49"/>
      <c r="F1522" s="49"/>
      <c r="G1522" s="570"/>
    </row>
    <row r="1523" spans="1:7">
      <c r="A1523" s="368"/>
      <c r="B1523" s="411">
        <v>7</v>
      </c>
      <c r="C1523" s="566"/>
      <c r="D1523" s="554"/>
      <c r="E1523" s="49"/>
      <c r="F1523" s="49"/>
      <c r="G1523" s="570"/>
    </row>
    <row r="1524" spans="1:7">
      <c r="A1524" s="368"/>
      <c r="B1524" s="411">
        <v>8</v>
      </c>
      <c r="C1524" s="566"/>
      <c r="D1524" s="554"/>
      <c r="E1524" s="49"/>
      <c r="F1524" s="49"/>
      <c r="G1524" s="570"/>
    </row>
    <row r="1525" spans="1:7">
      <c r="A1525" s="368"/>
      <c r="B1525" s="411">
        <v>9</v>
      </c>
      <c r="C1525" s="566"/>
      <c r="D1525" s="554"/>
      <c r="E1525" s="49"/>
      <c r="F1525" s="49"/>
      <c r="G1525" s="570"/>
    </row>
    <row r="1526" spans="1:7">
      <c r="A1526" s="368"/>
      <c r="B1526" s="411">
        <v>10</v>
      </c>
      <c r="C1526" s="566"/>
      <c r="D1526" s="554"/>
      <c r="E1526" s="49"/>
      <c r="F1526" s="49"/>
      <c r="G1526" s="570"/>
    </row>
    <row r="1527" spans="1:7">
      <c r="A1527" s="368"/>
      <c r="B1527" s="411">
        <v>11</v>
      </c>
      <c r="C1527" s="566"/>
      <c r="D1527" s="554"/>
      <c r="E1527" s="49"/>
      <c r="F1527" s="49"/>
      <c r="G1527" s="570"/>
    </row>
    <row r="1528" spans="1:7">
      <c r="A1528" s="368"/>
      <c r="B1528" s="411">
        <v>12</v>
      </c>
      <c r="C1528" s="566"/>
      <c r="D1528" s="554"/>
      <c r="E1528" s="49"/>
      <c r="F1528" s="49"/>
      <c r="G1528" s="570"/>
    </row>
    <row r="1529" spans="1:7">
      <c r="A1529" s="368"/>
      <c r="B1529" s="411">
        <v>13</v>
      </c>
      <c r="C1529" s="566"/>
      <c r="D1529" s="554"/>
      <c r="E1529" s="49"/>
      <c r="F1529" s="49"/>
      <c r="G1529" s="570"/>
    </row>
    <row r="1530" spans="1:7">
      <c r="A1530" s="368"/>
      <c r="B1530" s="411">
        <v>14</v>
      </c>
      <c r="C1530" s="566"/>
      <c r="D1530" s="554"/>
      <c r="E1530" s="49"/>
      <c r="F1530" s="49"/>
      <c r="G1530" s="570"/>
    </row>
    <row r="1531" spans="1:7">
      <c r="A1531" s="368"/>
      <c r="B1531" s="413">
        <v>15</v>
      </c>
      <c r="C1531" s="567"/>
      <c r="D1531" s="556"/>
      <c r="E1531" s="51"/>
      <c r="F1531" s="51"/>
      <c r="G1531" s="571"/>
    </row>
    <row r="1532" spans="1:7">
      <c r="A1532" s="368"/>
      <c r="B1532" s="390"/>
      <c r="C1532" s="390"/>
      <c r="D1532" s="390"/>
      <c r="E1532" s="390"/>
      <c r="F1532" s="390"/>
      <c r="G1532" s="390"/>
    </row>
    <row r="1533" spans="1:7">
      <c r="A1533" s="368"/>
      <c r="B1533" s="4"/>
      <c r="C1533" s="547" t="s">
        <v>20</v>
      </c>
      <c r="D1533" s="568"/>
      <c r="E1533" s="290" t="s">
        <v>21</v>
      </c>
      <c r="F1533" s="290" t="s">
        <v>22</v>
      </c>
      <c r="G1533" s="61" t="s">
        <v>23</v>
      </c>
    </row>
    <row r="1534" spans="1:7">
      <c r="A1534" s="368"/>
      <c r="B1534" s="410" t="s">
        <v>19</v>
      </c>
      <c r="C1534" s="549" t="s">
        <v>1725</v>
      </c>
      <c r="D1534" s="550"/>
      <c r="E1534" s="62">
        <f>SUM(E1535:E1549)</f>
        <v>0.4</v>
      </c>
      <c r="F1534" s="62">
        <f>SUM(F1535:F1549)</f>
        <v>0.7</v>
      </c>
      <c r="G1534" s="569" t="s">
        <v>1726</v>
      </c>
    </row>
    <row r="1535" spans="1:7">
      <c r="A1535" s="368"/>
      <c r="B1535" s="411">
        <v>1</v>
      </c>
      <c r="C1535" s="566" t="s">
        <v>1719</v>
      </c>
      <c r="D1535" s="554"/>
      <c r="E1535" s="49">
        <v>0.25</v>
      </c>
      <c r="F1535" s="49">
        <v>0.5</v>
      </c>
      <c r="G1535" s="570"/>
    </row>
    <row r="1536" spans="1:7">
      <c r="A1536" s="368"/>
      <c r="B1536" s="411">
        <v>2</v>
      </c>
      <c r="C1536" s="566" t="s">
        <v>1705</v>
      </c>
      <c r="D1536" s="554"/>
      <c r="E1536" s="49">
        <v>0.15</v>
      </c>
      <c r="F1536" s="49">
        <v>0.2</v>
      </c>
      <c r="G1536" s="570"/>
    </row>
    <row r="1537" spans="1:7">
      <c r="A1537" s="368"/>
      <c r="B1537" s="411">
        <v>3</v>
      </c>
      <c r="C1537" s="566"/>
      <c r="D1537" s="554"/>
      <c r="E1537" s="49"/>
      <c r="F1537" s="49"/>
      <c r="G1537" s="570"/>
    </row>
    <row r="1538" spans="1:7">
      <c r="A1538" s="368"/>
      <c r="B1538" s="412">
        <v>4</v>
      </c>
      <c r="C1538" s="566"/>
      <c r="D1538" s="554"/>
      <c r="E1538" s="50"/>
      <c r="F1538" s="50"/>
      <c r="G1538" s="570"/>
    </row>
    <row r="1539" spans="1:7">
      <c r="A1539" s="368"/>
      <c r="B1539" s="411">
        <v>5</v>
      </c>
      <c r="C1539" s="566"/>
      <c r="D1539" s="554"/>
      <c r="E1539" s="49"/>
      <c r="F1539" s="49"/>
      <c r="G1539" s="570"/>
    </row>
    <row r="1540" spans="1:7">
      <c r="A1540" s="368"/>
      <c r="B1540" s="411">
        <v>6</v>
      </c>
      <c r="C1540" s="566"/>
      <c r="D1540" s="554"/>
      <c r="E1540" s="49"/>
      <c r="F1540" s="49"/>
      <c r="G1540" s="570"/>
    </row>
    <row r="1541" spans="1:7">
      <c r="A1541" s="368"/>
      <c r="B1541" s="411">
        <v>7</v>
      </c>
      <c r="C1541" s="566"/>
      <c r="D1541" s="554"/>
      <c r="E1541" s="49"/>
      <c r="F1541" s="49"/>
      <c r="G1541" s="570"/>
    </row>
    <row r="1542" spans="1:7">
      <c r="A1542" s="368"/>
      <c r="B1542" s="411">
        <v>8</v>
      </c>
      <c r="C1542" s="566"/>
      <c r="D1542" s="554"/>
      <c r="E1542" s="49"/>
      <c r="F1542" s="49"/>
      <c r="G1542" s="570"/>
    </row>
    <row r="1543" spans="1:7">
      <c r="A1543" s="368"/>
      <c r="B1543" s="411">
        <v>9</v>
      </c>
      <c r="C1543" s="566"/>
      <c r="D1543" s="554"/>
      <c r="E1543" s="49"/>
      <c r="F1543" s="49"/>
      <c r="G1543" s="570"/>
    </row>
    <row r="1544" spans="1:7">
      <c r="A1544" s="368"/>
      <c r="B1544" s="411">
        <v>10</v>
      </c>
      <c r="C1544" s="566"/>
      <c r="D1544" s="554"/>
      <c r="E1544" s="49"/>
      <c r="F1544" s="49"/>
      <c r="G1544" s="570"/>
    </row>
    <row r="1545" spans="1:7">
      <c r="A1545" s="368"/>
      <c r="B1545" s="411">
        <v>11</v>
      </c>
      <c r="C1545" s="566"/>
      <c r="D1545" s="554"/>
      <c r="E1545" s="49"/>
      <c r="F1545" s="49"/>
      <c r="G1545" s="570"/>
    </row>
    <row r="1546" spans="1:7">
      <c r="A1546" s="368"/>
      <c r="B1546" s="411">
        <v>12</v>
      </c>
      <c r="C1546" s="566"/>
      <c r="D1546" s="554"/>
      <c r="E1546" s="49"/>
      <c r="F1546" s="49"/>
      <c r="G1546" s="570"/>
    </row>
    <row r="1547" spans="1:7">
      <c r="A1547" s="368"/>
      <c r="B1547" s="411">
        <v>13</v>
      </c>
      <c r="C1547" s="566"/>
      <c r="D1547" s="554"/>
      <c r="E1547" s="49"/>
      <c r="F1547" s="49"/>
      <c r="G1547" s="570"/>
    </row>
    <row r="1548" spans="1:7">
      <c r="A1548" s="368"/>
      <c r="B1548" s="411">
        <v>14</v>
      </c>
      <c r="C1548" s="566"/>
      <c r="D1548" s="554"/>
      <c r="E1548" s="49"/>
      <c r="F1548" s="49"/>
      <c r="G1548" s="570"/>
    </row>
    <row r="1549" spans="1:7">
      <c r="A1549" s="368"/>
      <c r="B1549" s="413">
        <v>15</v>
      </c>
      <c r="C1549" s="567"/>
      <c r="D1549" s="556"/>
      <c r="E1549" s="51"/>
      <c r="F1549" s="51"/>
      <c r="G1549" s="571"/>
    </row>
    <row r="1550" spans="1:7">
      <c r="A1550" s="368"/>
      <c r="B1550" s="390"/>
      <c r="C1550" s="390"/>
      <c r="D1550" s="390"/>
      <c r="E1550" s="390"/>
      <c r="F1550" s="390"/>
      <c r="G1550" s="390"/>
    </row>
    <row r="1551" spans="1:7">
      <c r="A1551" s="368"/>
      <c r="B1551" s="4"/>
      <c r="C1551" s="547" t="s">
        <v>20</v>
      </c>
      <c r="D1551" s="568"/>
      <c r="E1551" s="290" t="s">
        <v>21</v>
      </c>
      <c r="F1551" s="290" t="s">
        <v>22</v>
      </c>
      <c r="G1551" s="61" t="s">
        <v>23</v>
      </c>
    </row>
    <row r="1552" spans="1:7">
      <c r="A1552" s="368"/>
      <c r="B1552" s="410" t="s">
        <v>19</v>
      </c>
      <c r="C1552" s="549" t="s">
        <v>1727</v>
      </c>
      <c r="D1552" s="550"/>
      <c r="E1552" s="62">
        <f>SUM(E1553:E1567)</f>
        <v>1.75</v>
      </c>
      <c r="F1552" s="62">
        <f>SUM(F1553:F1567)</f>
        <v>2.75</v>
      </c>
      <c r="G1552" s="569" t="s">
        <v>1726</v>
      </c>
    </row>
    <row r="1553" spans="1:7">
      <c r="A1553" s="368"/>
      <c r="B1553" s="411">
        <v>1</v>
      </c>
      <c r="C1553" s="566" t="s">
        <v>1713</v>
      </c>
      <c r="D1553" s="554"/>
      <c r="E1553" s="49">
        <v>0.5</v>
      </c>
      <c r="F1553" s="49">
        <v>0.75</v>
      </c>
      <c r="G1553" s="570"/>
    </row>
    <row r="1554" spans="1:7">
      <c r="A1554" s="368"/>
      <c r="B1554" s="411">
        <v>2</v>
      </c>
      <c r="C1554" s="566" t="s">
        <v>1714</v>
      </c>
      <c r="D1554" s="554"/>
      <c r="E1554" s="49">
        <v>0.25</v>
      </c>
      <c r="F1554" s="49">
        <v>0.5</v>
      </c>
      <c r="G1554" s="570"/>
    </row>
    <row r="1555" spans="1:7">
      <c r="A1555" s="368"/>
      <c r="B1555" s="411">
        <v>3</v>
      </c>
      <c r="C1555" s="566" t="s">
        <v>1728</v>
      </c>
      <c r="D1555" s="554"/>
      <c r="E1555" s="49">
        <v>0.25</v>
      </c>
      <c r="F1555" s="49">
        <v>0.25</v>
      </c>
      <c r="G1555" s="570"/>
    </row>
    <row r="1556" spans="1:7">
      <c r="A1556" s="368"/>
      <c r="B1556" s="412">
        <v>4</v>
      </c>
      <c r="C1556" s="566" t="s">
        <v>1729</v>
      </c>
      <c r="D1556" s="554"/>
      <c r="E1556" s="50">
        <v>0.25</v>
      </c>
      <c r="F1556" s="50">
        <v>0.25</v>
      </c>
      <c r="G1556" s="570"/>
    </row>
    <row r="1557" spans="1:7">
      <c r="A1557" s="368"/>
      <c r="B1557" s="411">
        <v>5</v>
      </c>
      <c r="C1557" s="566" t="s">
        <v>1730</v>
      </c>
      <c r="D1557" s="554"/>
      <c r="E1557" s="49">
        <v>0.25</v>
      </c>
      <c r="F1557" s="49">
        <v>0.5</v>
      </c>
      <c r="G1557" s="570"/>
    </row>
    <row r="1558" spans="1:7">
      <c r="A1558" s="368"/>
      <c r="B1558" s="411">
        <v>6</v>
      </c>
      <c r="C1558" s="566" t="s">
        <v>1716</v>
      </c>
      <c r="D1558" s="554"/>
      <c r="E1558" s="49">
        <v>0.25</v>
      </c>
      <c r="F1558" s="49">
        <v>0.5</v>
      </c>
      <c r="G1558" s="570"/>
    </row>
    <row r="1559" spans="1:7">
      <c r="A1559" s="368"/>
      <c r="B1559" s="411">
        <v>7</v>
      </c>
      <c r="C1559" s="566"/>
      <c r="D1559" s="554"/>
      <c r="E1559" s="49"/>
      <c r="F1559" s="49"/>
      <c r="G1559" s="570"/>
    </row>
    <row r="1560" spans="1:7">
      <c r="A1560" s="368"/>
      <c r="B1560" s="411">
        <v>8</v>
      </c>
      <c r="C1560" s="566"/>
      <c r="D1560" s="554"/>
      <c r="E1560" s="49"/>
      <c r="F1560" s="49"/>
      <c r="G1560" s="570"/>
    </row>
    <row r="1561" spans="1:7">
      <c r="A1561" s="368"/>
      <c r="B1561" s="411">
        <v>9</v>
      </c>
      <c r="C1561" s="566"/>
      <c r="D1561" s="554"/>
      <c r="E1561" s="49"/>
      <c r="F1561" s="49"/>
      <c r="G1561" s="570"/>
    </row>
    <row r="1562" spans="1:7">
      <c r="A1562" s="368"/>
      <c r="B1562" s="411">
        <v>10</v>
      </c>
      <c r="C1562" s="566"/>
      <c r="D1562" s="554"/>
      <c r="E1562" s="49"/>
      <c r="F1562" s="49"/>
      <c r="G1562" s="570"/>
    </row>
    <row r="1563" spans="1:7">
      <c r="A1563" s="368"/>
      <c r="B1563" s="411">
        <v>11</v>
      </c>
      <c r="C1563" s="566"/>
      <c r="D1563" s="554"/>
      <c r="E1563" s="49"/>
      <c r="F1563" s="49"/>
      <c r="G1563" s="570"/>
    </row>
    <row r="1564" spans="1:7">
      <c r="A1564" s="368"/>
      <c r="B1564" s="411">
        <v>12</v>
      </c>
      <c r="C1564" s="566"/>
      <c r="D1564" s="554"/>
      <c r="E1564" s="49"/>
      <c r="F1564" s="49"/>
      <c r="G1564" s="570"/>
    </row>
    <row r="1565" spans="1:7">
      <c r="A1565" s="368"/>
      <c r="B1565" s="411">
        <v>13</v>
      </c>
      <c r="C1565" s="566"/>
      <c r="D1565" s="554"/>
      <c r="E1565" s="49"/>
      <c r="F1565" s="49"/>
      <c r="G1565" s="570"/>
    </row>
    <row r="1566" spans="1:7">
      <c r="A1566" s="368"/>
      <c r="B1566" s="411">
        <v>14</v>
      </c>
      <c r="C1566" s="566"/>
      <c r="D1566" s="554"/>
      <c r="E1566" s="49"/>
      <c r="F1566" s="49"/>
      <c r="G1566" s="570"/>
    </row>
    <row r="1567" spans="1:7">
      <c r="A1567" s="368"/>
      <c r="B1567" s="413">
        <v>15</v>
      </c>
      <c r="C1567" s="567"/>
      <c r="D1567" s="556"/>
      <c r="E1567" s="51"/>
      <c r="F1567" s="51"/>
      <c r="G1567" s="571"/>
    </row>
    <row r="1568" spans="1:7">
      <c r="A1568" s="368"/>
      <c r="B1568" s="390"/>
      <c r="C1568" s="390"/>
      <c r="D1568" s="390"/>
      <c r="E1568" s="390"/>
      <c r="F1568" s="390"/>
      <c r="G1568" s="390"/>
    </row>
    <row r="1569" spans="1:7">
      <c r="A1569" s="368"/>
      <c r="B1569" s="4"/>
      <c r="C1569" s="547" t="s">
        <v>20</v>
      </c>
      <c r="D1569" s="568"/>
      <c r="E1569" s="290" t="s">
        <v>21</v>
      </c>
      <c r="F1569" s="290" t="s">
        <v>22</v>
      </c>
      <c r="G1569" s="61" t="s">
        <v>23</v>
      </c>
    </row>
    <row r="1570" spans="1:7">
      <c r="A1570" s="368"/>
      <c r="B1570" s="410" t="s">
        <v>19</v>
      </c>
      <c r="C1570" s="549" t="s">
        <v>1731</v>
      </c>
      <c r="D1570" s="550"/>
      <c r="E1570" s="62">
        <f>SUM(E1571:E1585)</f>
        <v>0.7</v>
      </c>
      <c r="F1570" s="62">
        <f>SUM(F1571:F1585)</f>
        <v>1.1499999999999999</v>
      </c>
      <c r="G1570" s="569" t="s">
        <v>1732</v>
      </c>
    </row>
    <row r="1571" spans="1:7">
      <c r="A1571" s="368"/>
      <c r="B1571" s="411">
        <v>1</v>
      </c>
      <c r="C1571" s="566" t="s">
        <v>1719</v>
      </c>
      <c r="D1571" s="554"/>
      <c r="E1571" s="49">
        <v>0.5</v>
      </c>
      <c r="F1571" s="49">
        <v>0.75</v>
      </c>
      <c r="G1571" s="570"/>
    </row>
    <row r="1572" spans="1:7">
      <c r="A1572" s="368"/>
      <c r="B1572" s="411">
        <v>2</v>
      </c>
      <c r="C1572" s="566" t="s">
        <v>1705</v>
      </c>
      <c r="D1572" s="554"/>
      <c r="E1572" s="49">
        <v>0.2</v>
      </c>
      <c r="F1572" s="49">
        <v>0.4</v>
      </c>
      <c r="G1572" s="570"/>
    </row>
    <row r="1573" spans="1:7">
      <c r="A1573" s="368"/>
      <c r="B1573" s="411">
        <v>3</v>
      </c>
      <c r="C1573" s="566"/>
      <c r="D1573" s="554"/>
      <c r="E1573" s="49"/>
      <c r="F1573" s="49"/>
      <c r="G1573" s="570"/>
    </row>
    <row r="1574" spans="1:7">
      <c r="A1574" s="368"/>
      <c r="B1574" s="412">
        <v>4</v>
      </c>
      <c r="C1574" s="566"/>
      <c r="D1574" s="554"/>
      <c r="E1574" s="50"/>
      <c r="F1574" s="50"/>
      <c r="G1574" s="570"/>
    </row>
    <row r="1575" spans="1:7">
      <c r="A1575" s="368"/>
      <c r="B1575" s="411">
        <v>5</v>
      </c>
      <c r="C1575" s="566"/>
      <c r="D1575" s="554"/>
      <c r="E1575" s="49"/>
      <c r="F1575" s="49"/>
      <c r="G1575" s="570"/>
    </row>
    <row r="1576" spans="1:7">
      <c r="A1576" s="368"/>
      <c r="B1576" s="411">
        <v>6</v>
      </c>
      <c r="C1576" s="566"/>
      <c r="D1576" s="554"/>
      <c r="E1576" s="49"/>
      <c r="F1576" s="49"/>
      <c r="G1576" s="570"/>
    </row>
    <row r="1577" spans="1:7">
      <c r="A1577" s="368"/>
      <c r="B1577" s="411">
        <v>7</v>
      </c>
      <c r="C1577" s="566"/>
      <c r="D1577" s="554"/>
      <c r="E1577" s="49"/>
      <c r="F1577" s="49"/>
      <c r="G1577" s="570"/>
    </row>
    <row r="1578" spans="1:7">
      <c r="A1578" s="368"/>
      <c r="B1578" s="411">
        <v>8</v>
      </c>
      <c r="C1578" s="566"/>
      <c r="D1578" s="554"/>
      <c r="E1578" s="49"/>
      <c r="F1578" s="49"/>
      <c r="G1578" s="570"/>
    </row>
    <row r="1579" spans="1:7">
      <c r="A1579" s="368"/>
      <c r="B1579" s="411">
        <v>9</v>
      </c>
      <c r="C1579" s="566"/>
      <c r="D1579" s="554"/>
      <c r="E1579" s="49"/>
      <c r="F1579" s="49"/>
      <c r="G1579" s="570"/>
    </row>
    <row r="1580" spans="1:7">
      <c r="A1580" s="368"/>
      <c r="B1580" s="411">
        <v>10</v>
      </c>
      <c r="C1580" s="566"/>
      <c r="D1580" s="554"/>
      <c r="E1580" s="49"/>
      <c r="F1580" s="49"/>
      <c r="G1580" s="570"/>
    </row>
    <row r="1581" spans="1:7">
      <c r="A1581" s="368"/>
      <c r="B1581" s="411">
        <v>11</v>
      </c>
      <c r="C1581" s="566"/>
      <c r="D1581" s="554"/>
      <c r="E1581" s="49"/>
      <c r="F1581" s="49"/>
      <c r="G1581" s="570"/>
    </row>
    <row r="1582" spans="1:7">
      <c r="A1582" s="368"/>
      <c r="B1582" s="411">
        <v>12</v>
      </c>
      <c r="C1582" s="566"/>
      <c r="D1582" s="554"/>
      <c r="E1582" s="49"/>
      <c r="F1582" s="49"/>
      <c r="G1582" s="570"/>
    </row>
    <row r="1583" spans="1:7">
      <c r="A1583" s="368"/>
      <c r="B1583" s="411">
        <v>13</v>
      </c>
      <c r="C1583" s="566"/>
      <c r="D1583" s="554"/>
      <c r="E1583" s="49"/>
      <c r="F1583" s="49"/>
      <c r="G1583" s="570"/>
    </row>
    <row r="1584" spans="1:7">
      <c r="A1584" s="368"/>
      <c r="B1584" s="411">
        <v>14</v>
      </c>
      <c r="C1584" s="566"/>
      <c r="D1584" s="554"/>
      <c r="E1584" s="49"/>
      <c r="F1584" s="49"/>
      <c r="G1584" s="570"/>
    </row>
    <row r="1585" spans="1:7">
      <c r="A1585" s="368"/>
      <c r="B1585" s="413">
        <v>15</v>
      </c>
      <c r="C1585" s="567"/>
      <c r="D1585" s="556"/>
      <c r="E1585" s="51"/>
      <c r="F1585" s="51"/>
      <c r="G1585" s="571"/>
    </row>
    <row r="1586" spans="1:7">
      <c r="A1586" s="368"/>
      <c r="B1586" s="390"/>
      <c r="C1586" s="390"/>
      <c r="D1586" s="390"/>
      <c r="E1586" s="390"/>
      <c r="F1586" s="390"/>
      <c r="G1586" s="390"/>
    </row>
    <row r="1587" spans="1:7">
      <c r="A1587" s="368"/>
      <c r="B1587" s="4"/>
      <c r="C1587" s="547" t="s">
        <v>20</v>
      </c>
      <c r="D1587" s="568"/>
      <c r="E1587" s="290" t="s">
        <v>21</v>
      </c>
      <c r="F1587" s="290" t="s">
        <v>22</v>
      </c>
      <c r="G1587" s="61" t="s">
        <v>23</v>
      </c>
    </row>
    <row r="1588" spans="1:7">
      <c r="A1588" s="368"/>
      <c r="B1588" s="410" t="s">
        <v>19</v>
      </c>
      <c r="C1588" s="549" t="s">
        <v>1733</v>
      </c>
      <c r="D1588" s="550"/>
      <c r="E1588" s="62">
        <f>SUM(E1589:E1603)</f>
        <v>6.5</v>
      </c>
      <c r="F1588" s="62">
        <f>SUM(F1589:F1603)</f>
        <v>8</v>
      </c>
      <c r="G1588" s="569" t="s">
        <v>1732</v>
      </c>
    </row>
    <row r="1589" spans="1:7">
      <c r="A1589" s="368"/>
      <c r="B1589" s="411">
        <v>1</v>
      </c>
      <c r="C1589" s="566" t="s">
        <v>1713</v>
      </c>
      <c r="D1589" s="554"/>
      <c r="E1589" s="49">
        <v>0.75</v>
      </c>
      <c r="F1589" s="49">
        <v>1</v>
      </c>
      <c r="G1589" s="570"/>
    </row>
    <row r="1590" spans="1:7">
      <c r="A1590" s="368"/>
      <c r="B1590" s="411">
        <v>2</v>
      </c>
      <c r="C1590" s="566" t="s">
        <v>1714</v>
      </c>
      <c r="D1590" s="554"/>
      <c r="E1590" s="49">
        <v>0.75</v>
      </c>
      <c r="F1590" s="49">
        <v>1</v>
      </c>
      <c r="G1590" s="570"/>
    </row>
    <row r="1591" spans="1:7">
      <c r="A1591" s="368"/>
      <c r="B1591" s="411">
        <v>3</v>
      </c>
      <c r="C1591" s="566" t="s">
        <v>1728</v>
      </c>
      <c r="D1591" s="554"/>
      <c r="E1591" s="49">
        <v>0.75</v>
      </c>
      <c r="F1591" s="49">
        <v>1</v>
      </c>
      <c r="G1591" s="570"/>
    </row>
    <row r="1592" spans="1:7">
      <c r="A1592" s="368"/>
      <c r="B1592" s="412">
        <v>4</v>
      </c>
      <c r="C1592" s="566" t="s">
        <v>1729</v>
      </c>
      <c r="D1592" s="554"/>
      <c r="E1592" s="50">
        <v>0.75</v>
      </c>
      <c r="F1592" s="50">
        <v>1</v>
      </c>
      <c r="G1592" s="570"/>
    </row>
    <row r="1593" spans="1:7">
      <c r="A1593" s="368"/>
      <c r="B1593" s="411">
        <v>5</v>
      </c>
      <c r="C1593" s="566" t="s">
        <v>1730</v>
      </c>
      <c r="D1593" s="554"/>
      <c r="E1593" s="49">
        <v>2.75</v>
      </c>
      <c r="F1593" s="49">
        <v>3</v>
      </c>
      <c r="G1593" s="570"/>
    </row>
    <row r="1594" spans="1:7">
      <c r="A1594" s="368"/>
      <c r="B1594" s="411">
        <v>6</v>
      </c>
      <c r="C1594" s="566" t="s">
        <v>1716</v>
      </c>
      <c r="D1594" s="554"/>
      <c r="E1594" s="49">
        <v>0.75</v>
      </c>
      <c r="F1594" s="49">
        <v>1</v>
      </c>
      <c r="G1594" s="570"/>
    </row>
    <row r="1595" spans="1:7">
      <c r="A1595" s="368"/>
      <c r="B1595" s="411">
        <v>7</v>
      </c>
      <c r="C1595" s="566"/>
      <c r="D1595" s="554"/>
      <c r="E1595" s="49"/>
      <c r="F1595" s="49"/>
      <c r="G1595" s="570"/>
    </row>
    <row r="1596" spans="1:7">
      <c r="A1596" s="368"/>
      <c r="B1596" s="411">
        <v>8</v>
      </c>
      <c r="C1596" s="566"/>
      <c r="D1596" s="554"/>
      <c r="E1596" s="49"/>
      <c r="F1596" s="49"/>
      <c r="G1596" s="570"/>
    </row>
    <row r="1597" spans="1:7">
      <c r="A1597" s="368"/>
      <c r="B1597" s="411">
        <v>9</v>
      </c>
      <c r="C1597" s="566"/>
      <c r="D1597" s="554"/>
      <c r="E1597" s="49"/>
      <c r="F1597" s="49"/>
      <c r="G1597" s="570"/>
    </row>
    <row r="1598" spans="1:7">
      <c r="A1598" s="368"/>
      <c r="B1598" s="411">
        <v>10</v>
      </c>
      <c r="C1598" s="566"/>
      <c r="D1598" s="554"/>
      <c r="E1598" s="49"/>
      <c r="F1598" s="49"/>
      <c r="G1598" s="570"/>
    </row>
    <row r="1599" spans="1:7">
      <c r="A1599" s="368"/>
      <c r="B1599" s="411">
        <v>11</v>
      </c>
      <c r="C1599" s="566"/>
      <c r="D1599" s="554"/>
      <c r="E1599" s="49"/>
      <c r="F1599" s="49"/>
      <c r="G1599" s="570"/>
    </row>
    <row r="1600" spans="1:7">
      <c r="A1600" s="368"/>
      <c r="B1600" s="411">
        <v>12</v>
      </c>
      <c r="C1600" s="566"/>
      <c r="D1600" s="554"/>
      <c r="E1600" s="49"/>
      <c r="F1600" s="49"/>
      <c r="G1600" s="570"/>
    </row>
    <row r="1601" spans="1:7">
      <c r="A1601" s="368"/>
      <c r="B1601" s="411">
        <v>13</v>
      </c>
      <c r="C1601" s="566"/>
      <c r="D1601" s="554"/>
      <c r="E1601" s="49"/>
      <c r="F1601" s="49"/>
      <c r="G1601" s="570"/>
    </row>
    <row r="1602" spans="1:7">
      <c r="A1602" s="368"/>
      <c r="B1602" s="411">
        <v>14</v>
      </c>
      <c r="C1602" s="566"/>
      <c r="D1602" s="554"/>
      <c r="E1602" s="49"/>
      <c r="F1602" s="49"/>
      <c r="G1602" s="570"/>
    </row>
    <row r="1603" spans="1:7">
      <c r="A1603" s="368"/>
      <c r="B1603" s="413">
        <v>15</v>
      </c>
      <c r="C1603" s="567"/>
      <c r="D1603" s="556"/>
      <c r="E1603" s="51"/>
      <c r="F1603" s="51"/>
      <c r="G1603" s="571"/>
    </row>
    <row r="1604" spans="1:7">
      <c r="A1604" s="368"/>
      <c r="B1604" s="390"/>
      <c r="C1604" s="390"/>
      <c r="D1604" s="390"/>
      <c r="E1604" s="390"/>
      <c r="F1604" s="390"/>
      <c r="G1604" s="390"/>
    </row>
    <row r="1605" spans="1:7">
      <c r="A1605" s="368"/>
      <c r="B1605" s="4"/>
      <c r="C1605" s="547" t="s">
        <v>20</v>
      </c>
      <c r="D1605" s="568"/>
      <c r="E1605" s="290" t="s">
        <v>21</v>
      </c>
      <c r="F1605" s="290" t="s">
        <v>22</v>
      </c>
      <c r="G1605" s="61" t="s">
        <v>23</v>
      </c>
    </row>
    <row r="1606" spans="1:7">
      <c r="A1606" s="368"/>
      <c r="B1606" s="410" t="s">
        <v>19</v>
      </c>
      <c r="C1606" s="549" t="s">
        <v>1734</v>
      </c>
      <c r="D1606" s="550"/>
      <c r="E1606" s="62">
        <f>SUM(E1607:E1621)</f>
        <v>1.1499999999999999</v>
      </c>
      <c r="F1606" s="62">
        <f>SUM(F1607:F1621)</f>
        <v>1.85</v>
      </c>
      <c r="G1606" s="569" t="s">
        <v>1735</v>
      </c>
    </row>
    <row r="1607" spans="1:7">
      <c r="A1607" s="368"/>
      <c r="B1607" s="411">
        <v>1</v>
      </c>
      <c r="C1607" s="566" t="s">
        <v>1719</v>
      </c>
      <c r="D1607" s="554"/>
      <c r="E1607" s="49">
        <v>0.75</v>
      </c>
      <c r="F1607" s="49">
        <v>1.25</v>
      </c>
      <c r="G1607" s="570"/>
    </row>
    <row r="1608" spans="1:7">
      <c r="A1608" s="368"/>
      <c r="B1608" s="411">
        <v>2</v>
      </c>
      <c r="C1608" s="566" t="s">
        <v>1705</v>
      </c>
      <c r="D1608" s="554"/>
      <c r="E1608" s="49">
        <v>0.4</v>
      </c>
      <c r="F1608" s="49">
        <v>0.6</v>
      </c>
      <c r="G1608" s="570"/>
    </row>
    <row r="1609" spans="1:7">
      <c r="A1609" s="368"/>
      <c r="B1609" s="411">
        <v>3</v>
      </c>
      <c r="C1609" s="566"/>
      <c r="D1609" s="554"/>
      <c r="E1609" s="49"/>
      <c r="F1609" s="49"/>
      <c r="G1609" s="570"/>
    </row>
    <row r="1610" spans="1:7">
      <c r="A1610" s="368"/>
      <c r="B1610" s="412">
        <v>4</v>
      </c>
      <c r="C1610" s="566"/>
      <c r="D1610" s="554"/>
      <c r="E1610" s="50"/>
      <c r="F1610" s="50"/>
      <c r="G1610" s="570"/>
    </row>
    <row r="1611" spans="1:7">
      <c r="A1611" s="368"/>
      <c r="B1611" s="411">
        <v>5</v>
      </c>
      <c r="C1611" s="566"/>
      <c r="D1611" s="554"/>
      <c r="E1611" s="49"/>
      <c r="F1611" s="49"/>
      <c r="G1611" s="570"/>
    </row>
    <row r="1612" spans="1:7">
      <c r="A1612" s="368"/>
      <c r="B1612" s="411">
        <v>6</v>
      </c>
      <c r="C1612" s="566"/>
      <c r="D1612" s="554"/>
      <c r="E1612" s="49"/>
      <c r="F1612" s="49"/>
      <c r="G1612" s="570"/>
    </row>
    <row r="1613" spans="1:7">
      <c r="A1613" s="368"/>
      <c r="B1613" s="411">
        <v>7</v>
      </c>
      <c r="C1613" s="566"/>
      <c r="D1613" s="554"/>
      <c r="E1613" s="49"/>
      <c r="F1613" s="49"/>
      <c r="G1613" s="570"/>
    </row>
    <row r="1614" spans="1:7">
      <c r="A1614" s="368"/>
      <c r="B1614" s="411">
        <v>8</v>
      </c>
      <c r="C1614" s="566"/>
      <c r="D1614" s="554"/>
      <c r="E1614" s="49"/>
      <c r="F1614" s="49"/>
      <c r="G1614" s="570"/>
    </row>
    <row r="1615" spans="1:7">
      <c r="A1615" s="368"/>
      <c r="B1615" s="411">
        <v>9</v>
      </c>
      <c r="C1615" s="566"/>
      <c r="D1615" s="554"/>
      <c r="E1615" s="49"/>
      <c r="F1615" s="49"/>
      <c r="G1615" s="570"/>
    </row>
    <row r="1616" spans="1:7">
      <c r="A1616" s="368"/>
      <c r="B1616" s="411">
        <v>10</v>
      </c>
      <c r="C1616" s="566"/>
      <c r="D1616" s="554"/>
      <c r="E1616" s="49"/>
      <c r="F1616" s="49"/>
      <c r="G1616" s="570"/>
    </row>
    <row r="1617" spans="1:7">
      <c r="A1617" s="368"/>
      <c r="B1617" s="411">
        <v>11</v>
      </c>
      <c r="C1617" s="566"/>
      <c r="D1617" s="554"/>
      <c r="E1617" s="49"/>
      <c r="F1617" s="49"/>
      <c r="G1617" s="570"/>
    </row>
    <row r="1618" spans="1:7">
      <c r="A1618" s="368"/>
      <c r="B1618" s="411">
        <v>12</v>
      </c>
      <c r="C1618" s="566"/>
      <c r="D1618" s="554"/>
      <c r="E1618" s="49"/>
      <c r="F1618" s="49"/>
      <c r="G1618" s="570"/>
    </row>
    <row r="1619" spans="1:7">
      <c r="A1619" s="368"/>
      <c r="B1619" s="411">
        <v>13</v>
      </c>
      <c r="C1619" s="566"/>
      <c r="D1619" s="554"/>
      <c r="E1619" s="49"/>
      <c r="F1619" s="49"/>
      <c r="G1619" s="570"/>
    </row>
    <row r="1620" spans="1:7">
      <c r="A1620" s="368"/>
      <c r="B1620" s="411">
        <v>14</v>
      </c>
      <c r="C1620" s="566"/>
      <c r="D1620" s="554"/>
      <c r="E1620" s="49"/>
      <c r="F1620" s="49"/>
      <c r="G1620" s="570"/>
    </row>
    <row r="1621" spans="1:7">
      <c r="A1621" s="368"/>
      <c r="B1621" s="413">
        <v>15</v>
      </c>
      <c r="C1621" s="567"/>
      <c r="D1621" s="556"/>
      <c r="E1621" s="51"/>
      <c r="F1621" s="51"/>
      <c r="G1621" s="571"/>
    </row>
    <row r="1622" spans="1:7">
      <c r="A1622" s="368"/>
      <c r="B1622" s="390"/>
      <c r="C1622" s="390"/>
      <c r="D1622" s="390"/>
      <c r="E1622" s="390"/>
      <c r="F1622" s="390"/>
      <c r="G1622" s="390"/>
    </row>
    <row r="1623" spans="1:7">
      <c r="A1623" s="368"/>
      <c r="B1623" s="4"/>
      <c r="C1623" s="547" t="s">
        <v>20</v>
      </c>
      <c r="D1623" s="568"/>
      <c r="E1623" s="290" t="s">
        <v>21</v>
      </c>
      <c r="F1623" s="290" t="s">
        <v>22</v>
      </c>
      <c r="G1623" s="61" t="s">
        <v>23</v>
      </c>
    </row>
    <row r="1624" spans="1:7">
      <c r="A1624" s="368"/>
      <c r="B1624" s="410" t="s">
        <v>19</v>
      </c>
      <c r="C1624" s="549" t="s">
        <v>1736</v>
      </c>
      <c r="D1624" s="550"/>
      <c r="E1624" s="62">
        <f>SUM(E1625:E1639)</f>
        <v>12</v>
      </c>
      <c r="F1624" s="62">
        <f>SUM(F1625:F1639)</f>
        <v>14</v>
      </c>
      <c r="G1624" s="569" t="s">
        <v>1735</v>
      </c>
    </row>
    <row r="1625" spans="1:7">
      <c r="A1625" s="368"/>
      <c r="B1625" s="411">
        <v>1</v>
      </c>
      <c r="C1625" s="566" t="s">
        <v>1713</v>
      </c>
      <c r="D1625" s="554"/>
      <c r="E1625" s="49">
        <v>1.25</v>
      </c>
      <c r="F1625" s="49">
        <v>1.5</v>
      </c>
      <c r="G1625" s="570"/>
    </row>
    <row r="1626" spans="1:7">
      <c r="A1626" s="368"/>
      <c r="B1626" s="411">
        <v>2</v>
      </c>
      <c r="C1626" s="566" t="s">
        <v>1714</v>
      </c>
      <c r="D1626" s="554"/>
      <c r="E1626" s="49">
        <v>1.75</v>
      </c>
      <c r="F1626" s="49">
        <v>2</v>
      </c>
      <c r="G1626" s="570"/>
    </row>
    <row r="1627" spans="1:7">
      <c r="A1627" s="368"/>
      <c r="B1627" s="411">
        <v>3</v>
      </c>
      <c r="C1627" s="566" t="s">
        <v>1728</v>
      </c>
      <c r="D1627" s="554"/>
      <c r="E1627" s="49">
        <v>1.75</v>
      </c>
      <c r="F1627" s="49">
        <v>2</v>
      </c>
      <c r="G1627" s="570"/>
    </row>
    <row r="1628" spans="1:7">
      <c r="A1628" s="368"/>
      <c r="B1628" s="412">
        <v>4</v>
      </c>
      <c r="C1628" s="566" t="s">
        <v>1729</v>
      </c>
      <c r="D1628" s="554"/>
      <c r="E1628" s="50">
        <v>1.25</v>
      </c>
      <c r="F1628" s="50">
        <v>1.5</v>
      </c>
      <c r="G1628" s="570"/>
    </row>
    <row r="1629" spans="1:7">
      <c r="A1629" s="368"/>
      <c r="B1629" s="411">
        <v>5</v>
      </c>
      <c r="C1629" s="566" t="s">
        <v>1730</v>
      </c>
      <c r="D1629" s="554"/>
      <c r="E1629" s="49">
        <v>4.5</v>
      </c>
      <c r="F1629" s="49">
        <v>5</v>
      </c>
      <c r="G1629" s="570"/>
    </row>
    <row r="1630" spans="1:7">
      <c r="A1630" s="368"/>
      <c r="B1630" s="411">
        <v>6</v>
      </c>
      <c r="C1630" s="566" t="s">
        <v>1716</v>
      </c>
      <c r="D1630" s="554"/>
      <c r="E1630" s="49">
        <v>1.5</v>
      </c>
      <c r="F1630" s="49">
        <v>2</v>
      </c>
      <c r="G1630" s="570"/>
    </row>
    <row r="1631" spans="1:7">
      <c r="A1631" s="368"/>
      <c r="B1631" s="411">
        <v>7</v>
      </c>
      <c r="C1631" s="566"/>
      <c r="D1631" s="554"/>
      <c r="E1631" s="49"/>
      <c r="F1631" s="49"/>
      <c r="G1631" s="570"/>
    </row>
    <row r="1632" spans="1:7">
      <c r="A1632" s="368"/>
      <c r="B1632" s="411">
        <v>8</v>
      </c>
      <c r="C1632" s="566"/>
      <c r="D1632" s="554"/>
      <c r="E1632" s="49"/>
      <c r="F1632" s="49"/>
      <c r="G1632" s="570"/>
    </row>
    <row r="1633" spans="1:7">
      <c r="A1633" s="368"/>
      <c r="B1633" s="411">
        <v>9</v>
      </c>
      <c r="C1633" s="566"/>
      <c r="D1633" s="554"/>
      <c r="E1633" s="49"/>
      <c r="F1633" s="49"/>
      <c r="G1633" s="570"/>
    </row>
    <row r="1634" spans="1:7">
      <c r="A1634" s="368"/>
      <c r="B1634" s="411">
        <v>10</v>
      </c>
      <c r="C1634" s="566"/>
      <c r="D1634" s="554"/>
      <c r="E1634" s="49"/>
      <c r="F1634" s="49"/>
      <c r="G1634" s="570"/>
    </row>
    <row r="1635" spans="1:7">
      <c r="A1635" s="368"/>
      <c r="B1635" s="411">
        <v>11</v>
      </c>
      <c r="C1635" s="566"/>
      <c r="D1635" s="554"/>
      <c r="E1635" s="49"/>
      <c r="F1635" s="49"/>
      <c r="G1635" s="570"/>
    </row>
    <row r="1636" spans="1:7">
      <c r="A1636" s="368"/>
      <c r="B1636" s="411">
        <v>12</v>
      </c>
      <c r="C1636" s="566"/>
      <c r="D1636" s="554"/>
      <c r="E1636" s="49"/>
      <c r="F1636" s="49"/>
      <c r="G1636" s="570"/>
    </row>
    <row r="1637" spans="1:7">
      <c r="A1637" s="368"/>
      <c r="B1637" s="411">
        <v>13</v>
      </c>
      <c r="C1637" s="566"/>
      <c r="D1637" s="554"/>
      <c r="E1637" s="49"/>
      <c r="F1637" s="49"/>
      <c r="G1637" s="570"/>
    </row>
    <row r="1638" spans="1:7">
      <c r="A1638" s="368"/>
      <c r="B1638" s="411">
        <v>14</v>
      </c>
      <c r="C1638" s="566"/>
      <c r="D1638" s="554"/>
      <c r="E1638" s="49"/>
      <c r="F1638" s="49"/>
      <c r="G1638" s="570"/>
    </row>
    <row r="1639" spans="1:7">
      <c r="A1639" s="368"/>
      <c r="B1639" s="413">
        <v>15</v>
      </c>
      <c r="C1639" s="567"/>
      <c r="D1639" s="556"/>
      <c r="E1639" s="51"/>
      <c r="F1639" s="51"/>
      <c r="G1639" s="571"/>
    </row>
    <row r="1640" spans="1:7">
      <c r="A1640" s="368"/>
      <c r="B1640" s="390"/>
      <c r="C1640" s="390"/>
      <c r="D1640" s="390"/>
      <c r="E1640" s="390"/>
      <c r="F1640" s="390"/>
      <c r="G1640" s="390"/>
    </row>
    <row r="1641" spans="1:7">
      <c r="A1641" s="368"/>
      <c r="B1641" s="4"/>
      <c r="C1641" s="547" t="s">
        <v>20</v>
      </c>
      <c r="D1641" s="568"/>
      <c r="E1641" s="290" t="s">
        <v>21</v>
      </c>
      <c r="F1641" s="290" t="s">
        <v>22</v>
      </c>
      <c r="G1641" s="61" t="s">
        <v>23</v>
      </c>
    </row>
    <row r="1642" spans="1:7">
      <c r="A1642" s="368"/>
      <c r="B1642" s="410" t="s">
        <v>19</v>
      </c>
      <c r="C1642" s="549" t="s">
        <v>1737</v>
      </c>
      <c r="D1642" s="550"/>
      <c r="E1642" s="62">
        <f>SUM(E1643:E1657)</f>
        <v>0.4</v>
      </c>
      <c r="F1642" s="62">
        <f>SUM(F1643:F1657)</f>
        <v>1</v>
      </c>
      <c r="G1642" s="569" t="s">
        <v>1738</v>
      </c>
    </row>
    <row r="1643" spans="1:7">
      <c r="A1643" s="368"/>
      <c r="B1643" s="411">
        <v>1</v>
      </c>
      <c r="C1643" s="566" t="s">
        <v>1739</v>
      </c>
      <c r="D1643" s="554"/>
      <c r="E1643" s="49">
        <v>0.1</v>
      </c>
      <c r="F1643" s="49">
        <v>0.25</v>
      </c>
      <c r="G1643" s="570"/>
    </row>
    <row r="1644" spans="1:7">
      <c r="A1644" s="368"/>
      <c r="B1644" s="411">
        <v>2</v>
      </c>
      <c r="C1644" s="566" t="s">
        <v>1740</v>
      </c>
      <c r="D1644" s="554"/>
      <c r="E1644" s="49">
        <v>0.1</v>
      </c>
      <c r="F1644" s="49">
        <v>0.25</v>
      </c>
      <c r="G1644" s="570"/>
    </row>
    <row r="1645" spans="1:7">
      <c r="A1645" s="368"/>
      <c r="B1645" s="411">
        <v>3</v>
      </c>
      <c r="C1645" s="566" t="s">
        <v>1741</v>
      </c>
      <c r="D1645" s="554"/>
      <c r="E1645" s="49">
        <v>0.1</v>
      </c>
      <c r="F1645" s="49">
        <v>0.25</v>
      </c>
      <c r="G1645" s="570"/>
    </row>
    <row r="1646" spans="1:7">
      <c r="A1646" s="368"/>
      <c r="B1646" s="412">
        <v>4</v>
      </c>
      <c r="C1646" s="566" t="s">
        <v>1742</v>
      </c>
      <c r="D1646" s="554"/>
      <c r="E1646" s="50">
        <v>0.1</v>
      </c>
      <c r="F1646" s="50">
        <v>0.25</v>
      </c>
      <c r="G1646" s="570"/>
    </row>
    <row r="1647" spans="1:7">
      <c r="A1647" s="368"/>
      <c r="B1647" s="411">
        <v>5</v>
      </c>
      <c r="C1647" s="566"/>
      <c r="D1647" s="554"/>
      <c r="E1647" s="49"/>
      <c r="F1647" s="49"/>
      <c r="G1647" s="570"/>
    </row>
    <row r="1648" spans="1:7">
      <c r="A1648" s="368"/>
      <c r="B1648" s="411">
        <v>6</v>
      </c>
      <c r="C1648" s="566"/>
      <c r="D1648" s="554"/>
      <c r="E1648" s="49"/>
      <c r="F1648" s="49"/>
      <c r="G1648" s="570"/>
    </row>
    <row r="1649" spans="1:7">
      <c r="A1649" s="368"/>
      <c r="B1649" s="411">
        <v>7</v>
      </c>
      <c r="C1649" s="566"/>
      <c r="D1649" s="554"/>
      <c r="E1649" s="49"/>
      <c r="F1649" s="49"/>
      <c r="G1649" s="570"/>
    </row>
    <row r="1650" spans="1:7">
      <c r="A1650" s="368"/>
      <c r="B1650" s="411">
        <v>8</v>
      </c>
      <c r="C1650" s="566"/>
      <c r="D1650" s="554"/>
      <c r="E1650" s="49"/>
      <c r="F1650" s="49"/>
      <c r="G1650" s="570"/>
    </row>
    <row r="1651" spans="1:7">
      <c r="A1651" s="368"/>
      <c r="B1651" s="411">
        <v>9</v>
      </c>
      <c r="C1651" s="566"/>
      <c r="D1651" s="554"/>
      <c r="E1651" s="49"/>
      <c r="F1651" s="49"/>
      <c r="G1651" s="570"/>
    </row>
    <row r="1652" spans="1:7">
      <c r="A1652" s="368"/>
      <c r="B1652" s="411">
        <v>10</v>
      </c>
      <c r="C1652" s="566"/>
      <c r="D1652" s="554"/>
      <c r="E1652" s="49"/>
      <c r="F1652" s="49"/>
      <c r="G1652" s="570"/>
    </row>
    <row r="1653" spans="1:7">
      <c r="A1653" s="368"/>
      <c r="B1653" s="411">
        <v>11</v>
      </c>
      <c r="C1653" s="566"/>
      <c r="D1653" s="554"/>
      <c r="E1653" s="49"/>
      <c r="F1653" s="49"/>
      <c r="G1653" s="570"/>
    </row>
    <row r="1654" spans="1:7">
      <c r="A1654" s="368"/>
      <c r="B1654" s="411">
        <v>12</v>
      </c>
      <c r="C1654" s="566"/>
      <c r="D1654" s="554"/>
      <c r="E1654" s="49"/>
      <c r="F1654" s="49"/>
      <c r="G1654" s="570"/>
    </row>
    <row r="1655" spans="1:7">
      <c r="A1655" s="368"/>
      <c r="B1655" s="411">
        <v>13</v>
      </c>
      <c r="C1655" s="566"/>
      <c r="D1655" s="554"/>
      <c r="E1655" s="49"/>
      <c r="F1655" s="49"/>
      <c r="G1655" s="570"/>
    </row>
    <row r="1656" spans="1:7">
      <c r="A1656" s="368"/>
      <c r="B1656" s="411">
        <v>14</v>
      </c>
      <c r="C1656" s="566"/>
      <c r="D1656" s="554"/>
      <c r="E1656" s="49"/>
      <c r="F1656" s="49"/>
      <c r="G1656" s="570"/>
    </row>
    <row r="1657" spans="1:7">
      <c r="A1657" s="368"/>
      <c r="B1657" s="413">
        <v>15</v>
      </c>
      <c r="C1657" s="567"/>
      <c r="D1657" s="556"/>
      <c r="E1657" s="51"/>
      <c r="F1657" s="51"/>
      <c r="G1657" s="571"/>
    </row>
    <row r="1658" spans="1:7">
      <c r="A1658" s="368"/>
      <c r="B1658" s="390"/>
      <c r="C1658" s="390"/>
      <c r="D1658" s="390"/>
      <c r="E1658" s="390"/>
      <c r="F1658" s="390"/>
      <c r="G1658" s="390"/>
    </row>
    <row r="1659" spans="1:7">
      <c r="A1659" s="368"/>
      <c r="B1659" s="4"/>
      <c r="C1659" s="547" t="s">
        <v>20</v>
      </c>
      <c r="D1659" s="568"/>
      <c r="E1659" s="290" t="s">
        <v>21</v>
      </c>
      <c r="F1659" s="290" t="s">
        <v>22</v>
      </c>
      <c r="G1659" s="61" t="s">
        <v>23</v>
      </c>
    </row>
    <row r="1660" spans="1:7">
      <c r="A1660" s="368"/>
      <c r="B1660" s="410" t="s">
        <v>19</v>
      </c>
      <c r="C1660" s="549" t="s">
        <v>1743</v>
      </c>
      <c r="D1660" s="550"/>
      <c r="E1660" s="62">
        <f>SUM(E1661:E1675)</f>
        <v>1.25</v>
      </c>
      <c r="F1660" s="62">
        <f>SUM(F1661:F1675)</f>
        <v>2.5</v>
      </c>
      <c r="G1660" s="569" t="s">
        <v>1744</v>
      </c>
    </row>
    <row r="1661" spans="1:7">
      <c r="A1661" s="368"/>
      <c r="B1661" s="411">
        <v>1</v>
      </c>
      <c r="C1661" s="566" t="s">
        <v>1745</v>
      </c>
      <c r="D1661" s="554"/>
      <c r="E1661" s="49">
        <v>0.125</v>
      </c>
      <c r="F1661" s="49">
        <v>0.25</v>
      </c>
      <c r="G1661" s="570"/>
    </row>
    <row r="1662" spans="1:7">
      <c r="A1662" s="368"/>
      <c r="B1662" s="411">
        <v>2</v>
      </c>
      <c r="C1662" s="566" t="s">
        <v>1746</v>
      </c>
      <c r="D1662" s="554"/>
      <c r="E1662" s="49">
        <v>0.5</v>
      </c>
      <c r="F1662" s="49">
        <v>1</v>
      </c>
      <c r="G1662" s="570"/>
    </row>
    <row r="1663" spans="1:7">
      <c r="A1663" s="368"/>
      <c r="B1663" s="411">
        <v>3</v>
      </c>
      <c r="C1663" s="566" t="s">
        <v>1747</v>
      </c>
      <c r="D1663" s="554"/>
      <c r="E1663" s="49">
        <v>0.5</v>
      </c>
      <c r="F1663" s="49">
        <v>1</v>
      </c>
      <c r="G1663" s="570"/>
    </row>
    <row r="1664" spans="1:7">
      <c r="A1664" s="368"/>
      <c r="B1664" s="412">
        <v>4</v>
      </c>
      <c r="C1664" s="566" t="s">
        <v>1742</v>
      </c>
      <c r="D1664" s="554"/>
      <c r="E1664" s="50">
        <v>0.125</v>
      </c>
      <c r="F1664" s="50">
        <v>0.25</v>
      </c>
      <c r="G1664" s="570"/>
    </row>
    <row r="1665" spans="1:7">
      <c r="A1665" s="368"/>
      <c r="B1665" s="411">
        <v>5</v>
      </c>
      <c r="C1665" s="566"/>
      <c r="D1665" s="554"/>
      <c r="E1665" s="49"/>
      <c r="F1665" s="49"/>
      <c r="G1665" s="570"/>
    </row>
    <row r="1666" spans="1:7">
      <c r="A1666" s="368"/>
      <c r="B1666" s="411">
        <v>6</v>
      </c>
      <c r="C1666" s="566"/>
      <c r="D1666" s="554"/>
      <c r="E1666" s="49"/>
      <c r="F1666" s="49"/>
      <c r="G1666" s="570"/>
    </row>
    <row r="1667" spans="1:7">
      <c r="A1667" s="368"/>
      <c r="B1667" s="411">
        <v>7</v>
      </c>
      <c r="C1667" s="566"/>
      <c r="D1667" s="554"/>
      <c r="E1667" s="49"/>
      <c r="F1667" s="49"/>
      <c r="G1667" s="570"/>
    </row>
    <row r="1668" spans="1:7">
      <c r="A1668" s="368"/>
      <c r="B1668" s="411">
        <v>8</v>
      </c>
      <c r="C1668" s="566"/>
      <c r="D1668" s="554"/>
      <c r="E1668" s="49"/>
      <c r="F1668" s="49"/>
      <c r="G1668" s="570"/>
    </row>
    <row r="1669" spans="1:7">
      <c r="A1669" s="368"/>
      <c r="B1669" s="411">
        <v>9</v>
      </c>
      <c r="C1669" s="566"/>
      <c r="D1669" s="554"/>
      <c r="E1669" s="49"/>
      <c r="F1669" s="49"/>
      <c r="G1669" s="570"/>
    </row>
    <row r="1670" spans="1:7">
      <c r="A1670" s="368"/>
      <c r="B1670" s="411">
        <v>10</v>
      </c>
      <c r="C1670" s="566"/>
      <c r="D1670" s="554"/>
      <c r="E1670" s="49"/>
      <c r="F1670" s="49"/>
      <c r="G1670" s="570"/>
    </row>
    <row r="1671" spans="1:7">
      <c r="A1671" s="368"/>
      <c r="B1671" s="411">
        <v>11</v>
      </c>
      <c r="C1671" s="566"/>
      <c r="D1671" s="554"/>
      <c r="E1671" s="49"/>
      <c r="F1671" s="49"/>
      <c r="G1671" s="570"/>
    </row>
    <row r="1672" spans="1:7">
      <c r="A1672" s="368"/>
      <c r="B1672" s="411">
        <v>12</v>
      </c>
      <c r="C1672" s="566"/>
      <c r="D1672" s="554"/>
      <c r="E1672" s="49"/>
      <c r="F1672" s="49"/>
      <c r="G1672" s="570"/>
    </row>
    <row r="1673" spans="1:7">
      <c r="A1673" s="368"/>
      <c r="B1673" s="411">
        <v>13</v>
      </c>
      <c r="C1673" s="566"/>
      <c r="D1673" s="554"/>
      <c r="E1673" s="49"/>
      <c r="F1673" s="49"/>
      <c r="G1673" s="570"/>
    </row>
    <row r="1674" spans="1:7">
      <c r="A1674" s="368"/>
      <c r="B1674" s="411">
        <v>14</v>
      </c>
      <c r="C1674" s="566"/>
      <c r="D1674" s="554"/>
      <c r="E1674" s="49"/>
      <c r="F1674" s="49"/>
      <c r="G1674" s="570"/>
    </row>
    <row r="1675" spans="1:7">
      <c r="A1675" s="368"/>
      <c r="B1675" s="413">
        <v>15</v>
      </c>
      <c r="C1675" s="567"/>
      <c r="D1675" s="556"/>
      <c r="E1675" s="51"/>
      <c r="F1675" s="51"/>
      <c r="G1675" s="571"/>
    </row>
    <row r="1676" spans="1:7">
      <c r="A1676" s="368"/>
      <c r="B1676" s="390"/>
      <c r="C1676" s="390"/>
      <c r="D1676" s="390"/>
      <c r="E1676" s="390"/>
      <c r="F1676" s="390"/>
      <c r="G1676" s="390"/>
    </row>
    <row r="1677" spans="1:7">
      <c r="A1677" s="368"/>
      <c r="B1677" s="4"/>
      <c r="C1677" s="547" t="s">
        <v>20</v>
      </c>
      <c r="D1677" s="568"/>
      <c r="E1677" s="290" t="s">
        <v>21</v>
      </c>
      <c r="F1677" s="290" t="s">
        <v>22</v>
      </c>
      <c r="G1677" s="61" t="s">
        <v>23</v>
      </c>
    </row>
    <row r="1678" spans="1:7">
      <c r="A1678" s="368"/>
      <c r="B1678" s="410" t="s">
        <v>19</v>
      </c>
      <c r="C1678" s="549" t="s">
        <v>1748</v>
      </c>
      <c r="D1678" s="550"/>
      <c r="E1678" s="62">
        <f>SUM(E1679:E1693)</f>
        <v>3.1</v>
      </c>
      <c r="F1678" s="62">
        <f>SUM(F1679:F1693)</f>
        <v>4.25</v>
      </c>
      <c r="G1678" s="569" t="s">
        <v>1749</v>
      </c>
    </row>
    <row r="1679" spans="1:7">
      <c r="A1679" s="368"/>
      <c r="B1679" s="411">
        <v>1</v>
      </c>
      <c r="C1679" s="566" t="s">
        <v>1750</v>
      </c>
      <c r="D1679" s="554"/>
      <c r="E1679" s="49">
        <v>0.75</v>
      </c>
      <c r="F1679" s="49">
        <v>1</v>
      </c>
      <c r="G1679" s="570"/>
    </row>
    <row r="1680" spans="1:7">
      <c r="A1680" s="368"/>
      <c r="B1680" s="411">
        <v>2</v>
      </c>
      <c r="C1680" s="566" t="s">
        <v>1751</v>
      </c>
      <c r="D1680" s="554"/>
      <c r="E1680" s="49">
        <v>0.75</v>
      </c>
      <c r="F1680" s="49">
        <v>1</v>
      </c>
      <c r="G1680" s="570"/>
    </row>
    <row r="1681" spans="1:7">
      <c r="A1681" s="368"/>
      <c r="B1681" s="411">
        <v>3</v>
      </c>
      <c r="C1681" s="566" t="s">
        <v>1752</v>
      </c>
      <c r="D1681" s="554"/>
      <c r="E1681" s="49">
        <v>0.75</v>
      </c>
      <c r="F1681" s="49">
        <v>1</v>
      </c>
      <c r="G1681" s="570"/>
    </row>
    <row r="1682" spans="1:7">
      <c r="A1682" s="368"/>
      <c r="B1682" s="412">
        <v>4</v>
      </c>
      <c r="C1682" s="566" t="s">
        <v>1753</v>
      </c>
      <c r="D1682" s="554"/>
      <c r="E1682" s="50">
        <v>0.75</v>
      </c>
      <c r="F1682" s="50">
        <v>1</v>
      </c>
      <c r="G1682" s="570"/>
    </row>
    <row r="1683" spans="1:7">
      <c r="A1683" s="368"/>
      <c r="B1683" s="411">
        <v>5</v>
      </c>
      <c r="C1683" s="566" t="s">
        <v>1742</v>
      </c>
      <c r="D1683" s="554"/>
      <c r="E1683" s="49">
        <v>0.1</v>
      </c>
      <c r="F1683" s="49">
        <v>0.25</v>
      </c>
      <c r="G1683" s="570"/>
    </row>
    <row r="1684" spans="1:7">
      <c r="A1684" s="368"/>
      <c r="B1684" s="411">
        <v>6</v>
      </c>
      <c r="C1684" s="566"/>
      <c r="D1684" s="554"/>
      <c r="E1684" s="49"/>
      <c r="F1684" s="49"/>
      <c r="G1684" s="570"/>
    </row>
    <row r="1685" spans="1:7">
      <c r="A1685" s="368"/>
      <c r="B1685" s="411">
        <v>7</v>
      </c>
      <c r="C1685" s="566"/>
      <c r="D1685" s="554"/>
      <c r="E1685" s="49"/>
      <c r="F1685" s="49"/>
      <c r="G1685" s="570"/>
    </row>
    <row r="1686" spans="1:7">
      <c r="A1686" s="368"/>
      <c r="B1686" s="411">
        <v>8</v>
      </c>
      <c r="C1686" s="566"/>
      <c r="D1686" s="554"/>
      <c r="E1686" s="49"/>
      <c r="F1686" s="49"/>
      <c r="G1686" s="570"/>
    </row>
    <row r="1687" spans="1:7">
      <c r="A1687" s="368"/>
      <c r="B1687" s="411">
        <v>9</v>
      </c>
      <c r="C1687" s="566"/>
      <c r="D1687" s="554"/>
      <c r="E1687" s="49"/>
      <c r="F1687" s="49"/>
      <c r="G1687" s="570"/>
    </row>
    <row r="1688" spans="1:7">
      <c r="A1688" s="368"/>
      <c r="B1688" s="411">
        <v>10</v>
      </c>
      <c r="C1688" s="566"/>
      <c r="D1688" s="554"/>
      <c r="E1688" s="49"/>
      <c r="F1688" s="49"/>
      <c r="G1688" s="570"/>
    </row>
    <row r="1689" spans="1:7">
      <c r="A1689" s="368"/>
      <c r="B1689" s="411">
        <v>11</v>
      </c>
      <c r="C1689" s="566"/>
      <c r="D1689" s="554"/>
      <c r="E1689" s="49"/>
      <c r="F1689" s="49"/>
      <c r="G1689" s="570"/>
    </row>
    <row r="1690" spans="1:7">
      <c r="A1690" s="368"/>
      <c r="B1690" s="411">
        <v>12</v>
      </c>
      <c r="C1690" s="566"/>
      <c r="D1690" s="554"/>
      <c r="E1690" s="49"/>
      <c r="F1690" s="49"/>
      <c r="G1690" s="570"/>
    </row>
    <row r="1691" spans="1:7">
      <c r="A1691" s="368"/>
      <c r="B1691" s="411">
        <v>13</v>
      </c>
      <c r="C1691" s="566"/>
      <c r="D1691" s="554"/>
      <c r="E1691" s="49"/>
      <c r="F1691" s="49"/>
      <c r="G1691" s="570"/>
    </row>
    <row r="1692" spans="1:7">
      <c r="A1692" s="368"/>
      <c r="B1692" s="411">
        <v>14</v>
      </c>
      <c r="C1692" s="566"/>
      <c r="D1692" s="554"/>
      <c r="E1692" s="49"/>
      <c r="F1692" s="49"/>
      <c r="G1692" s="570"/>
    </row>
    <row r="1693" spans="1:7">
      <c r="A1693" s="368"/>
      <c r="B1693" s="413">
        <v>15</v>
      </c>
      <c r="C1693" s="567"/>
      <c r="D1693" s="556"/>
      <c r="E1693" s="51"/>
      <c r="F1693" s="51"/>
      <c r="G1693" s="571"/>
    </row>
    <row r="1694" spans="1:7">
      <c r="A1694" s="368"/>
      <c r="B1694" s="390"/>
      <c r="C1694" s="390"/>
      <c r="D1694" s="390"/>
      <c r="E1694" s="390"/>
      <c r="F1694" s="390"/>
      <c r="G1694" s="390"/>
    </row>
    <row r="1695" spans="1:7">
      <c r="A1695" s="368"/>
      <c r="B1695" s="4"/>
      <c r="C1695" s="547" t="s">
        <v>20</v>
      </c>
      <c r="D1695" s="568"/>
      <c r="E1695" s="290" t="s">
        <v>21</v>
      </c>
      <c r="F1695" s="290" t="s">
        <v>22</v>
      </c>
      <c r="G1695" s="61" t="s">
        <v>23</v>
      </c>
    </row>
    <row r="1696" spans="1:7">
      <c r="A1696" s="368"/>
      <c r="B1696" s="410" t="s">
        <v>19</v>
      </c>
      <c r="C1696" s="549" t="s">
        <v>1754</v>
      </c>
      <c r="D1696" s="550"/>
      <c r="E1696" s="62">
        <f>SUM(E1697:E1711)</f>
        <v>1.5</v>
      </c>
      <c r="F1696" s="62">
        <f>SUM(F1697:F1711)</f>
        <v>3</v>
      </c>
      <c r="G1696" s="569" t="s">
        <v>1755</v>
      </c>
    </row>
    <row r="1697" spans="1:7">
      <c r="A1697" s="368"/>
      <c r="B1697" s="411">
        <v>1</v>
      </c>
      <c r="C1697" s="566" t="s">
        <v>1756</v>
      </c>
      <c r="D1697" s="554"/>
      <c r="E1697" s="49">
        <v>0.5</v>
      </c>
      <c r="F1697" s="49">
        <v>1</v>
      </c>
      <c r="G1697" s="570"/>
    </row>
    <row r="1698" spans="1:7">
      <c r="A1698" s="368"/>
      <c r="B1698" s="411">
        <v>2</v>
      </c>
      <c r="C1698" s="566" t="s">
        <v>1757</v>
      </c>
      <c r="D1698" s="554"/>
      <c r="E1698" s="49">
        <v>0.5</v>
      </c>
      <c r="F1698" s="49">
        <v>1</v>
      </c>
      <c r="G1698" s="570"/>
    </row>
    <row r="1699" spans="1:7">
      <c r="A1699" s="368"/>
      <c r="B1699" s="411">
        <v>3</v>
      </c>
      <c r="C1699" s="566" t="s">
        <v>1758</v>
      </c>
      <c r="D1699" s="554"/>
      <c r="E1699" s="49">
        <v>0.5</v>
      </c>
      <c r="F1699" s="49">
        <v>1</v>
      </c>
      <c r="G1699" s="570"/>
    </row>
    <row r="1700" spans="1:7">
      <c r="A1700" s="368"/>
      <c r="B1700" s="412">
        <v>4</v>
      </c>
      <c r="C1700" s="566"/>
      <c r="D1700" s="554"/>
      <c r="E1700" s="50"/>
      <c r="F1700" s="50"/>
      <c r="G1700" s="570"/>
    </row>
    <row r="1701" spans="1:7">
      <c r="A1701" s="368"/>
      <c r="B1701" s="411">
        <v>5</v>
      </c>
      <c r="C1701" s="566"/>
      <c r="D1701" s="554"/>
      <c r="E1701" s="49"/>
      <c r="F1701" s="49"/>
      <c r="G1701" s="570"/>
    </row>
    <row r="1702" spans="1:7">
      <c r="A1702" s="368"/>
      <c r="B1702" s="411">
        <v>6</v>
      </c>
      <c r="C1702" s="566"/>
      <c r="D1702" s="554"/>
      <c r="E1702" s="49"/>
      <c r="F1702" s="49"/>
      <c r="G1702" s="570"/>
    </row>
    <row r="1703" spans="1:7">
      <c r="A1703" s="368"/>
      <c r="B1703" s="411">
        <v>7</v>
      </c>
      <c r="C1703" s="566"/>
      <c r="D1703" s="554"/>
      <c r="E1703" s="49"/>
      <c r="F1703" s="49"/>
      <c r="G1703" s="570"/>
    </row>
    <row r="1704" spans="1:7">
      <c r="A1704" s="368"/>
      <c r="B1704" s="411">
        <v>8</v>
      </c>
      <c r="C1704" s="566"/>
      <c r="D1704" s="554"/>
      <c r="E1704" s="49"/>
      <c r="F1704" s="49"/>
      <c r="G1704" s="570"/>
    </row>
    <row r="1705" spans="1:7">
      <c r="A1705" s="368"/>
      <c r="B1705" s="411">
        <v>9</v>
      </c>
      <c r="C1705" s="566"/>
      <c r="D1705" s="554"/>
      <c r="E1705" s="49"/>
      <c r="F1705" s="49"/>
      <c r="G1705" s="570"/>
    </row>
    <row r="1706" spans="1:7">
      <c r="A1706" s="368"/>
      <c r="B1706" s="411">
        <v>10</v>
      </c>
      <c r="C1706" s="566"/>
      <c r="D1706" s="554"/>
      <c r="E1706" s="49"/>
      <c r="F1706" s="49"/>
      <c r="G1706" s="570"/>
    </row>
    <row r="1707" spans="1:7">
      <c r="A1707" s="368"/>
      <c r="B1707" s="411">
        <v>11</v>
      </c>
      <c r="C1707" s="566"/>
      <c r="D1707" s="554"/>
      <c r="E1707" s="49"/>
      <c r="F1707" s="49"/>
      <c r="G1707" s="570"/>
    </row>
    <row r="1708" spans="1:7">
      <c r="A1708" s="368"/>
      <c r="B1708" s="411">
        <v>12</v>
      </c>
      <c r="C1708" s="566"/>
      <c r="D1708" s="554"/>
      <c r="E1708" s="49"/>
      <c r="F1708" s="49"/>
      <c r="G1708" s="570"/>
    </row>
    <row r="1709" spans="1:7">
      <c r="A1709" s="368"/>
      <c r="B1709" s="411">
        <v>13</v>
      </c>
      <c r="C1709" s="566"/>
      <c r="D1709" s="554"/>
      <c r="E1709" s="49"/>
      <c r="F1709" s="49"/>
      <c r="G1709" s="570"/>
    </row>
    <row r="1710" spans="1:7">
      <c r="A1710" s="368"/>
      <c r="B1710" s="411">
        <v>14</v>
      </c>
      <c r="C1710" s="566"/>
      <c r="D1710" s="554"/>
      <c r="E1710" s="49"/>
      <c r="F1710" s="49"/>
      <c r="G1710" s="570"/>
    </row>
    <row r="1711" spans="1:7">
      <c r="A1711" s="368"/>
      <c r="B1711" s="413">
        <v>15</v>
      </c>
      <c r="C1711" s="567"/>
      <c r="D1711" s="556"/>
      <c r="E1711" s="51"/>
      <c r="F1711" s="51"/>
      <c r="G1711" s="571"/>
    </row>
    <row r="1712" spans="1:7">
      <c r="A1712" s="368"/>
      <c r="B1712" s="390"/>
      <c r="C1712" s="390"/>
      <c r="D1712" s="390"/>
      <c r="E1712" s="390"/>
      <c r="F1712" s="390"/>
      <c r="G1712" s="390"/>
    </row>
    <row r="1713" spans="1:7">
      <c r="A1713" s="368"/>
      <c r="B1713" s="4"/>
      <c r="C1713" s="547" t="s">
        <v>20</v>
      </c>
      <c r="D1713" s="568"/>
      <c r="E1713" s="290" t="s">
        <v>21</v>
      </c>
      <c r="F1713" s="290" t="s">
        <v>22</v>
      </c>
      <c r="G1713" s="61" t="s">
        <v>23</v>
      </c>
    </row>
    <row r="1714" spans="1:7">
      <c r="A1714" s="368"/>
      <c r="B1714" s="410" t="s">
        <v>19</v>
      </c>
      <c r="C1714" s="549" t="s">
        <v>1759</v>
      </c>
      <c r="D1714" s="550"/>
      <c r="E1714" s="62">
        <f>SUM(E1715:E1729)</f>
        <v>4</v>
      </c>
      <c r="F1714" s="62">
        <f>SUM(F1715:F1729)</f>
        <v>6</v>
      </c>
      <c r="G1714" s="569" t="s">
        <v>1760</v>
      </c>
    </row>
    <row r="1715" spans="1:7">
      <c r="A1715" s="368"/>
      <c r="B1715" s="411">
        <v>1</v>
      </c>
      <c r="C1715" s="566" t="s">
        <v>1761</v>
      </c>
      <c r="D1715" s="554"/>
      <c r="E1715" s="49">
        <v>1</v>
      </c>
      <c r="F1715" s="49">
        <v>1.5</v>
      </c>
      <c r="G1715" s="570"/>
    </row>
    <row r="1716" spans="1:7">
      <c r="A1716" s="368"/>
      <c r="B1716" s="411">
        <v>2</v>
      </c>
      <c r="C1716" s="566" t="s">
        <v>1762</v>
      </c>
      <c r="D1716" s="554"/>
      <c r="E1716" s="49">
        <v>1.5</v>
      </c>
      <c r="F1716" s="49">
        <v>2</v>
      </c>
      <c r="G1716" s="570"/>
    </row>
    <row r="1717" spans="1:7">
      <c r="A1717" s="368"/>
      <c r="B1717" s="411">
        <v>3</v>
      </c>
      <c r="C1717" s="566" t="s">
        <v>1763</v>
      </c>
      <c r="D1717" s="554"/>
      <c r="E1717" s="49">
        <v>1</v>
      </c>
      <c r="F1717" s="49">
        <v>1.5</v>
      </c>
      <c r="G1717" s="570"/>
    </row>
    <row r="1718" spans="1:7">
      <c r="A1718" s="368"/>
      <c r="B1718" s="412">
        <v>4</v>
      </c>
      <c r="C1718" s="566" t="s">
        <v>1606</v>
      </c>
      <c r="D1718" s="554"/>
      <c r="E1718" s="50">
        <v>0.5</v>
      </c>
      <c r="F1718" s="50">
        <v>1</v>
      </c>
      <c r="G1718" s="570"/>
    </row>
    <row r="1719" spans="1:7">
      <c r="A1719" s="368"/>
      <c r="B1719" s="411">
        <v>5</v>
      </c>
      <c r="C1719" s="566"/>
      <c r="D1719" s="554"/>
      <c r="E1719" s="49"/>
      <c r="F1719" s="49"/>
      <c r="G1719" s="570"/>
    </row>
    <row r="1720" spans="1:7">
      <c r="A1720" s="368"/>
      <c r="B1720" s="411">
        <v>6</v>
      </c>
      <c r="C1720" s="566"/>
      <c r="D1720" s="554"/>
      <c r="E1720" s="49"/>
      <c r="F1720" s="49"/>
      <c r="G1720" s="570"/>
    </row>
    <row r="1721" spans="1:7">
      <c r="A1721" s="368"/>
      <c r="B1721" s="411">
        <v>7</v>
      </c>
      <c r="C1721" s="566"/>
      <c r="D1721" s="554"/>
      <c r="E1721" s="49"/>
      <c r="F1721" s="49"/>
      <c r="G1721" s="570"/>
    </row>
    <row r="1722" spans="1:7">
      <c r="A1722" s="368"/>
      <c r="B1722" s="411">
        <v>8</v>
      </c>
      <c r="C1722" s="566"/>
      <c r="D1722" s="554"/>
      <c r="E1722" s="49"/>
      <c r="F1722" s="49"/>
      <c r="G1722" s="570"/>
    </row>
    <row r="1723" spans="1:7">
      <c r="A1723" s="368"/>
      <c r="B1723" s="411">
        <v>9</v>
      </c>
      <c r="C1723" s="566"/>
      <c r="D1723" s="554"/>
      <c r="E1723" s="49"/>
      <c r="F1723" s="49"/>
      <c r="G1723" s="570"/>
    </row>
    <row r="1724" spans="1:7">
      <c r="A1724" s="368"/>
      <c r="B1724" s="411">
        <v>10</v>
      </c>
      <c r="C1724" s="566"/>
      <c r="D1724" s="554"/>
      <c r="E1724" s="49"/>
      <c r="F1724" s="49"/>
      <c r="G1724" s="570"/>
    </row>
    <row r="1725" spans="1:7">
      <c r="A1725" s="368"/>
      <c r="B1725" s="411">
        <v>11</v>
      </c>
      <c r="C1725" s="566"/>
      <c r="D1725" s="554"/>
      <c r="E1725" s="49"/>
      <c r="F1725" s="49"/>
      <c r="G1725" s="570"/>
    </row>
    <row r="1726" spans="1:7">
      <c r="A1726" s="368"/>
      <c r="B1726" s="411">
        <v>12</v>
      </c>
      <c r="C1726" s="566"/>
      <c r="D1726" s="554"/>
      <c r="E1726" s="49"/>
      <c r="F1726" s="49"/>
      <c r="G1726" s="570"/>
    </row>
    <row r="1727" spans="1:7">
      <c r="A1727" s="368"/>
      <c r="B1727" s="411">
        <v>13</v>
      </c>
      <c r="C1727" s="566"/>
      <c r="D1727" s="554"/>
      <c r="E1727" s="49"/>
      <c r="F1727" s="49"/>
      <c r="G1727" s="570"/>
    </row>
    <row r="1728" spans="1:7">
      <c r="A1728" s="368"/>
      <c r="B1728" s="411">
        <v>14</v>
      </c>
      <c r="C1728" s="566"/>
      <c r="D1728" s="554"/>
      <c r="E1728" s="49"/>
      <c r="F1728" s="49"/>
      <c r="G1728" s="570"/>
    </row>
    <row r="1729" spans="1:7">
      <c r="A1729" s="368"/>
      <c r="B1729" s="413">
        <v>15</v>
      </c>
      <c r="C1729" s="567"/>
      <c r="D1729" s="556"/>
      <c r="E1729" s="51"/>
      <c r="F1729" s="51"/>
      <c r="G1729" s="571"/>
    </row>
    <row r="1730" spans="1:7">
      <c r="A1730" s="368"/>
      <c r="B1730" s="390"/>
      <c r="C1730" s="390"/>
      <c r="D1730" s="390"/>
      <c r="E1730" s="390"/>
      <c r="F1730" s="390"/>
      <c r="G1730" s="390"/>
    </row>
    <row r="1731" spans="1:7">
      <c r="A1731" s="368"/>
      <c r="B1731" s="4"/>
      <c r="C1731" s="547" t="s">
        <v>20</v>
      </c>
      <c r="D1731" s="568"/>
      <c r="E1731" s="290" t="s">
        <v>21</v>
      </c>
      <c r="F1731" s="290" t="s">
        <v>22</v>
      </c>
      <c r="G1731" s="61" t="s">
        <v>23</v>
      </c>
    </row>
    <row r="1732" spans="1:7">
      <c r="A1732" s="368"/>
      <c r="B1732" s="410" t="s">
        <v>19</v>
      </c>
      <c r="C1732" s="549" t="s">
        <v>1764</v>
      </c>
      <c r="D1732" s="550"/>
      <c r="E1732" s="62">
        <f>SUM(E1733:E1747)</f>
        <v>2</v>
      </c>
      <c r="F1732" s="62">
        <f>SUM(F1733:F1747)</f>
        <v>3.75</v>
      </c>
      <c r="G1732" s="569" t="s">
        <v>1765</v>
      </c>
    </row>
    <row r="1733" spans="1:7">
      <c r="A1733" s="368"/>
      <c r="B1733" s="411">
        <v>1</v>
      </c>
      <c r="C1733" s="566" t="s">
        <v>1766</v>
      </c>
      <c r="D1733" s="554"/>
      <c r="E1733" s="49">
        <v>0.5</v>
      </c>
      <c r="F1733" s="49">
        <v>1</v>
      </c>
      <c r="G1733" s="570"/>
    </row>
    <row r="1734" spans="1:7">
      <c r="A1734" s="368"/>
      <c r="B1734" s="411">
        <v>2</v>
      </c>
      <c r="C1734" s="566" t="s">
        <v>1767</v>
      </c>
      <c r="D1734" s="554"/>
      <c r="E1734" s="49">
        <v>0.5</v>
      </c>
      <c r="F1734" s="49">
        <v>1</v>
      </c>
      <c r="G1734" s="570"/>
    </row>
    <row r="1735" spans="1:7">
      <c r="A1735" s="368"/>
      <c r="B1735" s="411">
        <v>3</v>
      </c>
      <c r="C1735" s="566" t="s">
        <v>1768</v>
      </c>
      <c r="D1735" s="554"/>
      <c r="E1735" s="49">
        <v>0.5</v>
      </c>
      <c r="F1735" s="49">
        <v>0.75</v>
      </c>
      <c r="G1735" s="570"/>
    </row>
    <row r="1736" spans="1:7">
      <c r="A1736" s="368"/>
      <c r="B1736" s="412">
        <v>4</v>
      </c>
      <c r="C1736" s="566" t="s">
        <v>1758</v>
      </c>
      <c r="D1736" s="554"/>
      <c r="E1736" s="50">
        <v>0.5</v>
      </c>
      <c r="F1736" s="50">
        <v>1</v>
      </c>
      <c r="G1736" s="570"/>
    </row>
    <row r="1737" spans="1:7">
      <c r="A1737" s="368"/>
      <c r="B1737" s="411">
        <v>5</v>
      </c>
      <c r="C1737" s="566"/>
      <c r="D1737" s="554"/>
      <c r="E1737" s="49"/>
      <c r="F1737" s="49"/>
      <c r="G1737" s="570"/>
    </row>
    <row r="1738" spans="1:7">
      <c r="A1738" s="368"/>
      <c r="B1738" s="411">
        <v>6</v>
      </c>
      <c r="C1738" s="566"/>
      <c r="D1738" s="554"/>
      <c r="E1738" s="49"/>
      <c r="F1738" s="49"/>
      <c r="G1738" s="570"/>
    </row>
    <row r="1739" spans="1:7">
      <c r="A1739" s="368"/>
      <c r="B1739" s="411">
        <v>7</v>
      </c>
      <c r="C1739" s="566"/>
      <c r="D1739" s="554"/>
      <c r="E1739" s="49"/>
      <c r="F1739" s="49"/>
      <c r="G1739" s="570"/>
    </row>
    <row r="1740" spans="1:7">
      <c r="A1740" s="368"/>
      <c r="B1740" s="411">
        <v>8</v>
      </c>
      <c r="C1740" s="566"/>
      <c r="D1740" s="554"/>
      <c r="E1740" s="49"/>
      <c r="F1740" s="49"/>
      <c r="G1740" s="570"/>
    </row>
    <row r="1741" spans="1:7">
      <c r="A1741" s="368"/>
      <c r="B1741" s="411">
        <v>9</v>
      </c>
      <c r="C1741" s="566"/>
      <c r="D1741" s="554"/>
      <c r="E1741" s="49"/>
      <c r="F1741" s="49"/>
      <c r="G1741" s="570"/>
    </row>
    <row r="1742" spans="1:7">
      <c r="A1742" s="368"/>
      <c r="B1742" s="411">
        <v>10</v>
      </c>
      <c r="C1742" s="566"/>
      <c r="D1742" s="554"/>
      <c r="E1742" s="49"/>
      <c r="F1742" s="49"/>
      <c r="G1742" s="570"/>
    </row>
    <row r="1743" spans="1:7">
      <c r="A1743" s="368"/>
      <c r="B1743" s="411">
        <v>11</v>
      </c>
      <c r="C1743" s="566"/>
      <c r="D1743" s="554"/>
      <c r="E1743" s="49"/>
      <c r="F1743" s="49"/>
      <c r="G1743" s="570"/>
    </row>
    <row r="1744" spans="1:7">
      <c r="A1744" s="368"/>
      <c r="B1744" s="411">
        <v>12</v>
      </c>
      <c r="C1744" s="566"/>
      <c r="D1744" s="554"/>
      <c r="E1744" s="49"/>
      <c r="F1744" s="49"/>
      <c r="G1744" s="570"/>
    </row>
    <row r="1745" spans="1:7">
      <c r="A1745" s="368"/>
      <c r="B1745" s="411">
        <v>13</v>
      </c>
      <c r="C1745" s="566"/>
      <c r="D1745" s="554"/>
      <c r="E1745" s="49"/>
      <c r="F1745" s="49"/>
      <c r="G1745" s="570"/>
    </row>
    <row r="1746" spans="1:7">
      <c r="A1746" s="368"/>
      <c r="B1746" s="411">
        <v>14</v>
      </c>
      <c r="C1746" s="566"/>
      <c r="D1746" s="554"/>
      <c r="E1746" s="49"/>
      <c r="F1746" s="49"/>
      <c r="G1746" s="570"/>
    </row>
    <row r="1747" spans="1:7">
      <c r="A1747" s="368"/>
      <c r="B1747" s="413">
        <v>15</v>
      </c>
      <c r="C1747" s="567"/>
      <c r="D1747" s="556"/>
      <c r="E1747" s="51"/>
      <c r="F1747" s="51"/>
      <c r="G1747" s="571"/>
    </row>
    <row r="1748" spans="1:7">
      <c r="A1748" s="368"/>
      <c r="B1748" s="390"/>
      <c r="C1748" s="390"/>
      <c r="D1748" s="390"/>
      <c r="E1748" s="390"/>
      <c r="F1748" s="390"/>
      <c r="G1748" s="390"/>
    </row>
    <row r="1749" spans="1:7">
      <c r="A1749" s="368"/>
      <c r="B1749" s="4"/>
      <c r="C1749" s="547" t="s">
        <v>20</v>
      </c>
      <c r="D1749" s="568"/>
      <c r="E1749" s="290" t="s">
        <v>21</v>
      </c>
      <c r="F1749" s="290" t="s">
        <v>22</v>
      </c>
      <c r="G1749" s="61" t="s">
        <v>23</v>
      </c>
    </row>
    <row r="1750" spans="1:7">
      <c r="A1750" s="368"/>
      <c r="B1750" s="410" t="s">
        <v>19</v>
      </c>
      <c r="C1750" s="549" t="s">
        <v>1769</v>
      </c>
      <c r="D1750" s="550"/>
      <c r="E1750" s="62">
        <f>SUM(E1751:E1765)</f>
        <v>3.5</v>
      </c>
      <c r="F1750" s="62">
        <f>SUM(F1751:F1765)</f>
        <v>5</v>
      </c>
      <c r="G1750" s="569" t="s">
        <v>1770</v>
      </c>
    </row>
    <row r="1751" spans="1:7">
      <c r="A1751" s="368"/>
      <c r="B1751" s="411">
        <v>1</v>
      </c>
      <c r="C1751" s="566" t="s">
        <v>1756</v>
      </c>
      <c r="D1751" s="554"/>
      <c r="E1751" s="49">
        <v>0.75</v>
      </c>
      <c r="F1751" s="49">
        <v>1</v>
      </c>
      <c r="G1751" s="570"/>
    </row>
    <row r="1752" spans="1:7">
      <c r="A1752" s="368"/>
      <c r="B1752" s="411">
        <v>2</v>
      </c>
      <c r="C1752" s="566" t="s">
        <v>1757</v>
      </c>
      <c r="D1752" s="554"/>
      <c r="E1752" s="49">
        <v>0.75</v>
      </c>
      <c r="F1752" s="49">
        <v>1</v>
      </c>
      <c r="G1752" s="570"/>
    </row>
    <row r="1753" spans="1:7">
      <c r="A1753" s="368"/>
      <c r="B1753" s="411">
        <v>3</v>
      </c>
      <c r="C1753" s="566" t="s">
        <v>1771</v>
      </c>
      <c r="D1753" s="554"/>
      <c r="E1753" s="49">
        <v>1.25</v>
      </c>
      <c r="F1753" s="49">
        <v>2</v>
      </c>
      <c r="G1753" s="570"/>
    </row>
    <row r="1754" spans="1:7">
      <c r="A1754" s="368"/>
      <c r="B1754" s="412">
        <v>4</v>
      </c>
      <c r="C1754" s="566" t="s">
        <v>1758</v>
      </c>
      <c r="D1754" s="554"/>
      <c r="E1754" s="50">
        <v>0.75</v>
      </c>
      <c r="F1754" s="50">
        <v>1</v>
      </c>
      <c r="G1754" s="570"/>
    </row>
    <row r="1755" spans="1:7">
      <c r="A1755" s="368"/>
      <c r="B1755" s="411">
        <v>5</v>
      </c>
      <c r="C1755" s="566"/>
      <c r="D1755" s="554"/>
      <c r="E1755" s="49"/>
      <c r="F1755" s="49"/>
      <c r="G1755" s="570"/>
    </row>
    <row r="1756" spans="1:7">
      <c r="A1756" s="368"/>
      <c r="B1756" s="411">
        <v>6</v>
      </c>
      <c r="C1756" s="566"/>
      <c r="D1756" s="554"/>
      <c r="E1756" s="49"/>
      <c r="F1756" s="49"/>
      <c r="G1756" s="570"/>
    </row>
    <row r="1757" spans="1:7">
      <c r="A1757" s="368"/>
      <c r="B1757" s="411">
        <v>7</v>
      </c>
      <c r="C1757" s="566"/>
      <c r="D1757" s="554"/>
      <c r="E1757" s="49"/>
      <c r="F1757" s="49"/>
      <c r="G1757" s="570"/>
    </row>
    <row r="1758" spans="1:7">
      <c r="A1758" s="368"/>
      <c r="B1758" s="411">
        <v>8</v>
      </c>
      <c r="C1758" s="566"/>
      <c r="D1758" s="554"/>
      <c r="E1758" s="49"/>
      <c r="F1758" s="49"/>
      <c r="G1758" s="570"/>
    </row>
    <row r="1759" spans="1:7">
      <c r="A1759" s="368"/>
      <c r="B1759" s="411">
        <v>9</v>
      </c>
      <c r="C1759" s="566"/>
      <c r="D1759" s="554"/>
      <c r="E1759" s="49"/>
      <c r="F1759" s="49"/>
      <c r="G1759" s="570"/>
    </row>
    <row r="1760" spans="1:7">
      <c r="A1760" s="368"/>
      <c r="B1760" s="411">
        <v>10</v>
      </c>
      <c r="C1760" s="566"/>
      <c r="D1760" s="554"/>
      <c r="E1760" s="49"/>
      <c r="F1760" s="49"/>
      <c r="G1760" s="570"/>
    </row>
    <row r="1761" spans="1:7">
      <c r="A1761" s="368"/>
      <c r="B1761" s="411">
        <v>11</v>
      </c>
      <c r="C1761" s="566"/>
      <c r="D1761" s="554"/>
      <c r="E1761" s="49"/>
      <c r="F1761" s="49"/>
      <c r="G1761" s="570"/>
    </row>
    <row r="1762" spans="1:7">
      <c r="A1762" s="368"/>
      <c r="B1762" s="411">
        <v>12</v>
      </c>
      <c r="C1762" s="566"/>
      <c r="D1762" s="554"/>
      <c r="E1762" s="49"/>
      <c r="F1762" s="49"/>
      <c r="G1762" s="570"/>
    </row>
    <row r="1763" spans="1:7">
      <c r="A1763" s="368"/>
      <c r="B1763" s="411">
        <v>13</v>
      </c>
      <c r="C1763" s="566"/>
      <c r="D1763" s="554"/>
      <c r="E1763" s="49"/>
      <c r="F1763" s="49"/>
      <c r="G1763" s="570"/>
    </row>
    <row r="1764" spans="1:7">
      <c r="A1764" s="368"/>
      <c r="B1764" s="411">
        <v>14</v>
      </c>
      <c r="C1764" s="566"/>
      <c r="D1764" s="554"/>
      <c r="E1764" s="49"/>
      <c r="F1764" s="49"/>
      <c r="G1764" s="570"/>
    </row>
    <row r="1765" spans="1:7">
      <c r="A1765" s="368"/>
      <c r="B1765" s="413">
        <v>15</v>
      </c>
      <c r="C1765" s="567"/>
      <c r="D1765" s="556"/>
      <c r="E1765" s="51"/>
      <c r="F1765" s="51"/>
      <c r="G1765" s="571"/>
    </row>
    <row r="1766" spans="1:7">
      <c r="A1766" s="368"/>
      <c r="B1766" s="390"/>
      <c r="C1766" s="390"/>
      <c r="D1766" s="390"/>
      <c r="E1766" s="390"/>
      <c r="F1766" s="390"/>
      <c r="G1766" s="390"/>
    </row>
    <row r="1767" spans="1:7">
      <c r="A1767" s="368"/>
      <c r="B1767" s="4"/>
      <c r="C1767" s="547" t="s">
        <v>20</v>
      </c>
      <c r="D1767" s="568"/>
      <c r="E1767" s="290" t="s">
        <v>21</v>
      </c>
      <c r="F1767" s="290" t="s">
        <v>22</v>
      </c>
      <c r="G1767" s="61" t="s">
        <v>23</v>
      </c>
    </row>
    <row r="1768" spans="1:7">
      <c r="A1768" s="368"/>
      <c r="B1768" s="410" t="s">
        <v>19</v>
      </c>
      <c r="C1768" s="549" t="s">
        <v>1772</v>
      </c>
      <c r="D1768" s="550"/>
      <c r="E1768" s="62">
        <f>SUM(E1769:E1783)</f>
        <v>6</v>
      </c>
      <c r="F1768" s="62">
        <f>SUM(F1769:F1783)</f>
        <v>7.75</v>
      </c>
      <c r="G1768" s="569" t="s">
        <v>1773</v>
      </c>
    </row>
    <row r="1769" spans="1:7">
      <c r="A1769" s="368"/>
      <c r="B1769" s="411">
        <v>1</v>
      </c>
      <c r="C1769" s="566" t="s">
        <v>1756</v>
      </c>
      <c r="D1769" s="554"/>
      <c r="E1769" s="49">
        <v>0.75</v>
      </c>
      <c r="F1769" s="49">
        <v>1</v>
      </c>
      <c r="G1769" s="570"/>
    </row>
    <row r="1770" spans="1:7">
      <c r="A1770" s="368"/>
      <c r="B1770" s="411">
        <v>2</v>
      </c>
      <c r="C1770" s="566" t="s">
        <v>1757</v>
      </c>
      <c r="D1770" s="554"/>
      <c r="E1770" s="49">
        <v>0.75</v>
      </c>
      <c r="F1770" s="49">
        <v>1</v>
      </c>
      <c r="G1770" s="570"/>
    </row>
    <row r="1771" spans="1:7">
      <c r="A1771" s="368"/>
      <c r="B1771" s="411">
        <v>3</v>
      </c>
      <c r="C1771" s="566" t="s">
        <v>1774</v>
      </c>
      <c r="D1771" s="554"/>
      <c r="E1771" s="49">
        <v>2</v>
      </c>
      <c r="F1771" s="49">
        <v>2.5</v>
      </c>
      <c r="G1771" s="570"/>
    </row>
    <row r="1772" spans="1:7">
      <c r="A1772" s="368"/>
      <c r="B1772" s="412">
        <v>4</v>
      </c>
      <c r="C1772" s="566" t="s">
        <v>1771</v>
      </c>
      <c r="D1772" s="554"/>
      <c r="E1772" s="50">
        <v>1.5</v>
      </c>
      <c r="F1772" s="50">
        <v>2</v>
      </c>
      <c r="G1772" s="570"/>
    </row>
    <row r="1773" spans="1:7">
      <c r="A1773" s="368"/>
      <c r="B1773" s="411">
        <v>5</v>
      </c>
      <c r="C1773" s="566" t="s">
        <v>1758</v>
      </c>
      <c r="D1773" s="554"/>
      <c r="E1773" s="49">
        <v>1</v>
      </c>
      <c r="F1773" s="49">
        <v>1.25</v>
      </c>
      <c r="G1773" s="570"/>
    </row>
    <row r="1774" spans="1:7">
      <c r="A1774" s="368"/>
      <c r="B1774" s="411">
        <v>6</v>
      </c>
      <c r="C1774" s="566"/>
      <c r="D1774" s="554"/>
      <c r="E1774" s="49"/>
      <c r="F1774" s="49"/>
      <c r="G1774" s="570"/>
    </row>
    <row r="1775" spans="1:7">
      <c r="A1775" s="368"/>
      <c r="B1775" s="411">
        <v>7</v>
      </c>
      <c r="C1775" s="566"/>
      <c r="D1775" s="554"/>
      <c r="E1775" s="49"/>
      <c r="F1775" s="49"/>
      <c r="G1775" s="570"/>
    </row>
    <row r="1776" spans="1:7">
      <c r="A1776" s="368"/>
      <c r="B1776" s="411">
        <v>8</v>
      </c>
      <c r="C1776" s="566"/>
      <c r="D1776" s="554"/>
      <c r="E1776" s="49"/>
      <c r="F1776" s="49"/>
      <c r="G1776" s="570"/>
    </row>
    <row r="1777" spans="1:7">
      <c r="A1777" s="368"/>
      <c r="B1777" s="411">
        <v>9</v>
      </c>
      <c r="C1777" s="566"/>
      <c r="D1777" s="554"/>
      <c r="E1777" s="49"/>
      <c r="F1777" s="49"/>
      <c r="G1777" s="570"/>
    </row>
    <row r="1778" spans="1:7">
      <c r="A1778" s="368"/>
      <c r="B1778" s="411">
        <v>10</v>
      </c>
      <c r="C1778" s="566"/>
      <c r="D1778" s="554"/>
      <c r="E1778" s="49"/>
      <c r="F1778" s="49"/>
      <c r="G1778" s="570"/>
    </row>
    <row r="1779" spans="1:7">
      <c r="A1779" s="368"/>
      <c r="B1779" s="411">
        <v>11</v>
      </c>
      <c r="C1779" s="566"/>
      <c r="D1779" s="554"/>
      <c r="E1779" s="49"/>
      <c r="F1779" s="49"/>
      <c r="G1779" s="570"/>
    </row>
    <row r="1780" spans="1:7">
      <c r="A1780" s="368"/>
      <c r="B1780" s="411">
        <v>12</v>
      </c>
      <c r="C1780" s="566"/>
      <c r="D1780" s="554"/>
      <c r="E1780" s="49"/>
      <c r="F1780" s="49"/>
      <c r="G1780" s="570"/>
    </row>
    <row r="1781" spans="1:7">
      <c r="A1781" s="368"/>
      <c r="B1781" s="411">
        <v>13</v>
      </c>
      <c r="C1781" s="566"/>
      <c r="D1781" s="554"/>
      <c r="E1781" s="49"/>
      <c r="F1781" s="49"/>
      <c r="G1781" s="570"/>
    </row>
    <row r="1782" spans="1:7">
      <c r="A1782" s="368"/>
      <c r="B1782" s="411">
        <v>14</v>
      </c>
      <c r="C1782" s="566"/>
      <c r="D1782" s="554"/>
      <c r="E1782" s="49"/>
      <c r="F1782" s="49"/>
      <c r="G1782" s="570"/>
    </row>
    <row r="1783" spans="1:7">
      <c r="A1783" s="368"/>
      <c r="B1783" s="413">
        <v>15</v>
      </c>
      <c r="C1783" s="567"/>
      <c r="D1783" s="556"/>
      <c r="E1783" s="51"/>
      <c r="F1783" s="51"/>
      <c r="G1783" s="571"/>
    </row>
    <row r="1784" spans="1:7">
      <c r="A1784" s="368"/>
      <c r="B1784" s="390"/>
      <c r="C1784" s="390"/>
      <c r="D1784" s="390"/>
      <c r="E1784" s="390"/>
      <c r="F1784" s="390"/>
      <c r="G1784" s="390"/>
    </row>
    <row r="1785" spans="1:7">
      <c r="A1785" s="368"/>
      <c r="B1785" s="4"/>
      <c r="C1785" s="547" t="s">
        <v>20</v>
      </c>
      <c r="D1785" s="568"/>
      <c r="E1785" s="290" t="s">
        <v>21</v>
      </c>
      <c r="F1785" s="290" t="s">
        <v>22</v>
      </c>
      <c r="G1785" s="61" t="s">
        <v>23</v>
      </c>
    </row>
    <row r="1786" spans="1:7">
      <c r="A1786" s="368"/>
      <c r="B1786" s="410" t="s">
        <v>19</v>
      </c>
      <c r="C1786" s="549" t="s">
        <v>1775</v>
      </c>
      <c r="D1786" s="550"/>
      <c r="E1786" s="62">
        <f>SUM(E1787:E1801)</f>
        <v>4.25</v>
      </c>
      <c r="F1786" s="62">
        <f>SUM(F1787:F1801)</f>
        <v>5.5</v>
      </c>
      <c r="G1786" s="569" t="s">
        <v>1776</v>
      </c>
    </row>
    <row r="1787" spans="1:7">
      <c r="A1787" s="368"/>
      <c r="B1787" s="411">
        <v>1</v>
      </c>
      <c r="C1787" s="566" t="s">
        <v>1777</v>
      </c>
      <c r="D1787" s="554"/>
      <c r="E1787" s="49">
        <v>0.25</v>
      </c>
      <c r="F1787" s="49">
        <v>0.5</v>
      </c>
      <c r="G1787" s="570"/>
    </row>
    <row r="1788" spans="1:7">
      <c r="A1788" s="368"/>
      <c r="B1788" s="411">
        <v>2</v>
      </c>
      <c r="C1788" s="566" t="s">
        <v>1714</v>
      </c>
      <c r="D1788" s="554"/>
      <c r="E1788" s="49">
        <v>0.75</v>
      </c>
      <c r="F1788" s="49">
        <v>1</v>
      </c>
      <c r="G1788" s="570"/>
    </row>
    <row r="1789" spans="1:7">
      <c r="A1789" s="368"/>
      <c r="B1789" s="411">
        <v>3</v>
      </c>
      <c r="C1789" s="566" t="s">
        <v>1729</v>
      </c>
      <c r="D1789" s="554"/>
      <c r="E1789" s="49">
        <v>0.75</v>
      </c>
      <c r="F1789" s="49">
        <v>1</v>
      </c>
      <c r="G1789" s="570"/>
    </row>
    <row r="1790" spans="1:7">
      <c r="A1790" s="368"/>
      <c r="B1790" s="412">
        <v>4</v>
      </c>
      <c r="C1790" s="566" t="s">
        <v>1778</v>
      </c>
      <c r="D1790" s="554"/>
      <c r="E1790" s="50">
        <v>1.75</v>
      </c>
      <c r="F1790" s="50">
        <v>2</v>
      </c>
      <c r="G1790" s="570"/>
    </row>
    <row r="1791" spans="1:7">
      <c r="A1791" s="368"/>
      <c r="B1791" s="411">
        <v>5</v>
      </c>
      <c r="C1791" s="566" t="s">
        <v>1758</v>
      </c>
      <c r="D1791" s="554"/>
      <c r="E1791" s="49">
        <v>0.75</v>
      </c>
      <c r="F1791" s="49">
        <v>1</v>
      </c>
      <c r="G1791" s="570"/>
    </row>
    <row r="1792" spans="1:7">
      <c r="A1792" s="368"/>
      <c r="B1792" s="411">
        <v>6</v>
      </c>
      <c r="C1792" s="566"/>
      <c r="D1792" s="554"/>
      <c r="E1792" s="49"/>
      <c r="F1792" s="49"/>
      <c r="G1792" s="570"/>
    </row>
    <row r="1793" spans="1:7">
      <c r="A1793" s="368"/>
      <c r="B1793" s="411">
        <v>7</v>
      </c>
      <c r="C1793" s="566"/>
      <c r="D1793" s="554"/>
      <c r="E1793" s="49"/>
      <c r="F1793" s="49"/>
      <c r="G1793" s="570"/>
    </row>
    <row r="1794" spans="1:7">
      <c r="A1794" s="368"/>
      <c r="B1794" s="411">
        <v>8</v>
      </c>
      <c r="C1794" s="566"/>
      <c r="D1794" s="554"/>
      <c r="E1794" s="49"/>
      <c r="F1794" s="49"/>
      <c r="G1794" s="570"/>
    </row>
    <row r="1795" spans="1:7">
      <c r="A1795" s="368"/>
      <c r="B1795" s="411">
        <v>9</v>
      </c>
      <c r="C1795" s="566"/>
      <c r="D1795" s="554"/>
      <c r="E1795" s="49"/>
      <c r="F1795" s="49"/>
      <c r="G1795" s="570"/>
    </row>
    <row r="1796" spans="1:7">
      <c r="A1796" s="368"/>
      <c r="B1796" s="411">
        <v>10</v>
      </c>
      <c r="C1796" s="566"/>
      <c r="D1796" s="554"/>
      <c r="E1796" s="49"/>
      <c r="F1796" s="49"/>
      <c r="G1796" s="570"/>
    </row>
    <row r="1797" spans="1:7">
      <c r="A1797" s="368"/>
      <c r="B1797" s="411">
        <v>11</v>
      </c>
      <c r="C1797" s="566"/>
      <c r="D1797" s="554"/>
      <c r="E1797" s="49"/>
      <c r="F1797" s="49"/>
      <c r="G1797" s="570"/>
    </row>
    <row r="1798" spans="1:7">
      <c r="A1798" s="368"/>
      <c r="B1798" s="411">
        <v>12</v>
      </c>
      <c r="C1798" s="566"/>
      <c r="D1798" s="554"/>
      <c r="E1798" s="49"/>
      <c r="F1798" s="49"/>
      <c r="G1798" s="570"/>
    </row>
    <row r="1799" spans="1:7">
      <c r="A1799" s="368"/>
      <c r="B1799" s="411">
        <v>13</v>
      </c>
      <c r="C1799" s="566"/>
      <c r="D1799" s="554"/>
      <c r="E1799" s="49"/>
      <c r="F1799" s="49"/>
      <c r="G1799" s="570"/>
    </row>
    <row r="1800" spans="1:7">
      <c r="A1800" s="368"/>
      <c r="B1800" s="411">
        <v>14</v>
      </c>
      <c r="C1800" s="566"/>
      <c r="D1800" s="554"/>
      <c r="E1800" s="49"/>
      <c r="F1800" s="49"/>
      <c r="G1800" s="570"/>
    </row>
    <row r="1801" spans="1:7">
      <c r="A1801" s="368"/>
      <c r="B1801" s="413">
        <v>15</v>
      </c>
      <c r="C1801" s="567"/>
      <c r="D1801" s="556"/>
      <c r="E1801" s="51"/>
      <c r="F1801" s="51"/>
      <c r="G1801" s="571"/>
    </row>
    <row r="1802" spans="1:7">
      <c r="A1802" s="368"/>
      <c r="B1802" s="390"/>
      <c r="C1802" s="390"/>
      <c r="D1802" s="390"/>
      <c r="E1802" s="390"/>
      <c r="F1802" s="390"/>
      <c r="G1802" s="390"/>
    </row>
    <row r="1803" spans="1:7">
      <c r="A1803" s="368"/>
      <c r="B1803" s="4"/>
      <c r="C1803" s="547" t="s">
        <v>20</v>
      </c>
      <c r="D1803" s="568"/>
      <c r="E1803" s="290" t="s">
        <v>21</v>
      </c>
      <c r="F1803" s="290" t="s">
        <v>22</v>
      </c>
      <c r="G1803" s="61" t="s">
        <v>23</v>
      </c>
    </row>
    <row r="1804" spans="1:7">
      <c r="A1804" s="368"/>
      <c r="B1804" s="410" t="s">
        <v>19</v>
      </c>
      <c r="C1804" s="549" t="s">
        <v>1779</v>
      </c>
      <c r="D1804" s="550"/>
      <c r="E1804" s="62">
        <f>SUM(E1805:E1819)</f>
        <v>11.85</v>
      </c>
      <c r="F1804" s="62">
        <f>SUM(F1805:F1819)</f>
        <v>14</v>
      </c>
      <c r="G1804" s="569" t="s">
        <v>1780</v>
      </c>
    </row>
    <row r="1805" spans="1:7">
      <c r="A1805" s="368"/>
      <c r="B1805" s="411">
        <v>1</v>
      </c>
      <c r="C1805" s="566" t="s">
        <v>1781</v>
      </c>
      <c r="D1805" s="554"/>
      <c r="E1805" s="49">
        <v>0.75</v>
      </c>
      <c r="F1805" s="49">
        <v>1</v>
      </c>
      <c r="G1805" s="570"/>
    </row>
    <row r="1806" spans="1:7">
      <c r="A1806" s="368"/>
      <c r="B1806" s="411">
        <v>2</v>
      </c>
      <c r="C1806" s="566" t="s">
        <v>1782</v>
      </c>
      <c r="D1806" s="554"/>
      <c r="E1806" s="49">
        <v>0.35</v>
      </c>
      <c r="F1806" s="49">
        <v>0.5</v>
      </c>
      <c r="G1806" s="570"/>
    </row>
    <row r="1807" spans="1:7">
      <c r="A1807" s="368"/>
      <c r="B1807" s="411">
        <v>3</v>
      </c>
      <c r="C1807" s="566" t="s">
        <v>1783</v>
      </c>
      <c r="D1807" s="554"/>
      <c r="E1807" s="49">
        <v>0.25</v>
      </c>
      <c r="F1807" s="49">
        <v>0.5</v>
      </c>
      <c r="G1807" s="570"/>
    </row>
    <row r="1808" spans="1:7">
      <c r="A1808" s="368"/>
      <c r="B1808" s="412">
        <v>4</v>
      </c>
      <c r="C1808" s="566" t="s">
        <v>1784</v>
      </c>
      <c r="D1808" s="554"/>
      <c r="E1808" s="50">
        <v>1.9</v>
      </c>
      <c r="F1808" s="50">
        <v>2</v>
      </c>
      <c r="G1808" s="570"/>
    </row>
    <row r="1809" spans="1:7">
      <c r="A1809" s="368"/>
      <c r="B1809" s="411">
        <v>5</v>
      </c>
      <c r="C1809" s="566" t="s">
        <v>1785</v>
      </c>
      <c r="D1809" s="554"/>
      <c r="E1809" s="49">
        <v>4</v>
      </c>
      <c r="F1809" s="49">
        <v>4</v>
      </c>
      <c r="G1809" s="570"/>
    </row>
    <row r="1810" spans="1:7">
      <c r="A1810" s="368"/>
      <c r="B1810" s="411">
        <v>6</v>
      </c>
      <c r="C1810" s="566" t="s">
        <v>1786</v>
      </c>
      <c r="D1810" s="554"/>
      <c r="E1810" s="49">
        <v>1.75</v>
      </c>
      <c r="F1810" s="49">
        <v>2</v>
      </c>
      <c r="G1810" s="570"/>
    </row>
    <row r="1811" spans="1:7">
      <c r="A1811" s="368"/>
      <c r="B1811" s="411">
        <v>7</v>
      </c>
      <c r="C1811" s="566" t="s">
        <v>1787</v>
      </c>
      <c r="D1811" s="554"/>
      <c r="E1811" s="49">
        <v>1.75</v>
      </c>
      <c r="F1811" s="49">
        <v>2</v>
      </c>
      <c r="G1811" s="570"/>
    </row>
    <row r="1812" spans="1:7">
      <c r="A1812" s="368"/>
      <c r="B1812" s="411">
        <v>8</v>
      </c>
      <c r="C1812" s="566" t="s">
        <v>1599</v>
      </c>
      <c r="D1812" s="554"/>
      <c r="E1812" s="49">
        <v>0.35</v>
      </c>
      <c r="F1812" s="49">
        <v>0.5</v>
      </c>
      <c r="G1812" s="570"/>
    </row>
    <row r="1813" spans="1:7">
      <c r="A1813" s="368"/>
      <c r="B1813" s="411">
        <v>9</v>
      </c>
      <c r="C1813" s="566" t="s">
        <v>1520</v>
      </c>
      <c r="D1813" s="554"/>
      <c r="E1813" s="49">
        <v>0.25</v>
      </c>
      <c r="F1813" s="49">
        <v>0.5</v>
      </c>
      <c r="G1813" s="570"/>
    </row>
    <row r="1814" spans="1:7">
      <c r="A1814" s="368"/>
      <c r="B1814" s="411">
        <v>10</v>
      </c>
      <c r="C1814" s="566" t="s">
        <v>1544</v>
      </c>
      <c r="D1814" s="554"/>
      <c r="E1814" s="49">
        <v>0.5</v>
      </c>
      <c r="F1814" s="49">
        <v>1</v>
      </c>
      <c r="G1814" s="570"/>
    </row>
    <row r="1815" spans="1:7">
      <c r="A1815" s="368"/>
      <c r="B1815" s="411">
        <v>11</v>
      </c>
      <c r="C1815" s="566"/>
      <c r="D1815" s="554"/>
      <c r="E1815" s="49"/>
      <c r="F1815" s="49"/>
      <c r="G1815" s="570"/>
    </row>
    <row r="1816" spans="1:7">
      <c r="A1816" s="368"/>
      <c r="B1816" s="411">
        <v>12</v>
      </c>
      <c r="C1816" s="566"/>
      <c r="D1816" s="554"/>
      <c r="E1816" s="49"/>
      <c r="F1816" s="49"/>
      <c r="G1816" s="570"/>
    </row>
    <row r="1817" spans="1:7">
      <c r="A1817" s="368"/>
      <c r="B1817" s="411">
        <v>13</v>
      </c>
      <c r="C1817" s="566"/>
      <c r="D1817" s="554"/>
      <c r="E1817" s="49"/>
      <c r="F1817" s="49"/>
      <c r="G1817" s="570"/>
    </row>
    <row r="1818" spans="1:7">
      <c r="A1818" s="368"/>
      <c r="B1818" s="411">
        <v>14</v>
      </c>
      <c r="C1818" s="566"/>
      <c r="D1818" s="554"/>
      <c r="E1818" s="49"/>
      <c r="F1818" s="49"/>
      <c r="G1818" s="570"/>
    </row>
    <row r="1819" spans="1:7">
      <c r="A1819" s="368"/>
      <c r="B1819" s="413">
        <v>15</v>
      </c>
      <c r="C1819" s="567"/>
      <c r="D1819" s="556"/>
      <c r="E1819" s="51"/>
      <c r="F1819" s="51"/>
      <c r="G1819" s="571"/>
    </row>
    <row r="1820" spans="1:7">
      <c r="A1820" s="368"/>
      <c r="B1820" s="390"/>
      <c r="C1820" s="390"/>
      <c r="D1820" s="390"/>
      <c r="E1820" s="390"/>
      <c r="F1820" s="390"/>
      <c r="G1820" s="390"/>
    </row>
    <row r="1821" spans="1:7">
      <c r="A1821" s="368"/>
      <c r="B1821" s="4"/>
      <c r="C1821" s="547" t="s">
        <v>20</v>
      </c>
      <c r="D1821" s="568"/>
      <c r="E1821" s="290" t="s">
        <v>21</v>
      </c>
      <c r="F1821" s="290" t="s">
        <v>22</v>
      </c>
      <c r="G1821" s="61" t="s">
        <v>23</v>
      </c>
    </row>
    <row r="1822" spans="1:7">
      <c r="A1822" s="368"/>
      <c r="B1822" s="410" t="s">
        <v>19</v>
      </c>
      <c r="C1822" s="549" t="s">
        <v>1788</v>
      </c>
      <c r="D1822" s="550"/>
      <c r="E1822" s="62">
        <f>SUM(E1823:E1837)</f>
        <v>5</v>
      </c>
      <c r="F1822" s="62">
        <f>SUM(F1823:F1837)</f>
        <v>6.5</v>
      </c>
      <c r="G1822" s="569" t="s">
        <v>1789</v>
      </c>
    </row>
    <row r="1823" spans="1:7">
      <c r="A1823" s="368"/>
      <c r="B1823" s="411">
        <v>1</v>
      </c>
      <c r="C1823" s="566" t="s">
        <v>1790</v>
      </c>
      <c r="D1823" s="554"/>
      <c r="E1823" s="49">
        <v>2.5</v>
      </c>
      <c r="F1823" s="49">
        <v>3</v>
      </c>
      <c r="G1823" s="570"/>
    </row>
    <row r="1824" spans="1:7">
      <c r="A1824" s="368"/>
      <c r="B1824" s="411">
        <v>2</v>
      </c>
      <c r="C1824" s="566" t="s">
        <v>1582</v>
      </c>
      <c r="D1824" s="554"/>
      <c r="E1824" s="49">
        <v>1</v>
      </c>
      <c r="F1824" s="49">
        <v>1.5</v>
      </c>
      <c r="G1824" s="570"/>
    </row>
    <row r="1825" spans="1:7">
      <c r="A1825" s="368"/>
      <c r="B1825" s="411">
        <v>3</v>
      </c>
      <c r="C1825" s="566" t="s">
        <v>1520</v>
      </c>
      <c r="D1825" s="554"/>
      <c r="E1825" s="49">
        <v>0.5</v>
      </c>
      <c r="F1825" s="49">
        <v>0.5</v>
      </c>
      <c r="G1825" s="570"/>
    </row>
    <row r="1826" spans="1:7">
      <c r="A1826" s="368"/>
      <c r="B1826" s="412">
        <v>4</v>
      </c>
      <c r="C1826" s="566" t="s">
        <v>1544</v>
      </c>
      <c r="D1826" s="554"/>
      <c r="E1826" s="50">
        <v>1</v>
      </c>
      <c r="F1826" s="50">
        <v>1.5</v>
      </c>
      <c r="G1826" s="570"/>
    </row>
    <row r="1827" spans="1:7">
      <c r="A1827" s="368"/>
      <c r="B1827" s="411">
        <v>5</v>
      </c>
      <c r="C1827" s="566"/>
      <c r="D1827" s="554"/>
      <c r="E1827" s="49"/>
      <c r="F1827" s="49"/>
      <c r="G1827" s="570"/>
    </row>
    <row r="1828" spans="1:7">
      <c r="A1828" s="368"/>
      <c r="B1828" s="411">
        <v>6</v>
      </c>
      <c r="C1828" s="566"/>
      <c r="D1828" s="554"/>
      <c r="E1828" s="49"/>
      <c r="F1828" s="49"/>
      <c r="G1828" s="570"/>
    </row>
    <row r="1829" spans="1:7">
      <c r="A1829" s="368"/>
      <c r="B1829" s="411">
        <v>7</v>
      </c>
      <c r="C1829" s="566"/>
      <c r="D1829" s="554"/>
      <c r="E1829" s="49"/>
      <c r="F1829" s="49"/>
      <c r="G1829" s="570"/>
    </row>
    <row r="1830" spans="1:7">
      <c r="A1830" s="368"/>
      <c r="B1830" s="411">
        <v>8</v>
      </c>
      <c r="C1830" s="566"/>
      <c r="D1830" s="554"/>
      <c r="E1830" s="49"/>
      <c r="F1830" s="49"/>
      <c r="G1830" s="570"/>
    </row>
    <row r="1831" spans="1:7">
      <c r="A1831" s="368"/>
      <c r="B1831" s="411">
        <v>9</v>
      </c>
      <c r="C1831" s="566"/>
      <c r="D1831" s="554"/>
      <c r="E1831" s="49"/>
      <c r="F1831" s="49"/>
      <c r="G1831" s="570"/>
    </row>
    <row r="1832" spans="1:7">
      <c r="A1832" s="368"/>
      <c r="B1832" s="411">
        <v>10</v>
      </c>
      <c r="C1832" s="566"/>
      <c r="D1832" s="554"/>
      <c r="E1832" s="49"/>
      <c r="F1832" s="49"/>
      <c r="G1832" s="570"/>
    </row>
    <row r="1833" spans="1:7">
      <c r="A1833" s="368"/>
      <c r="B1833" s="411">
        <v>11</v>
      </c>
      <c r="C1833" s="566"/>
      <c r="D1833" s="554"/>
      <c r="E1833" s="49"/>
      <c r="F1833" s="49"/>
      <c r="G1833" s="570"/>
    </row>
    <row r="1834" spans="1:7">
      <c r="A1834" s="368"/>
      <c r="B1834" s="411">
        <v>12</v>
      </c>
      <c r="C1834" s="566"/>
      <c r="D1834" s="554"/>
      <c r="E1834" s="49"/>
      <c r="F1834" s="49"/>
      <c r="G1834" s="570"/>
    </row>
    <row r="1835" spans="1:7">
      <c r="A1835" s="368"/>
      <c r="B1835" s="411">
        <v>13</v>
      </c>
      <c r="C1835" s="566"/>
      <c r="D1835" s="554"/>
      <c r="E1835" s="49"/>
      <c r="F1835" s="49"/>
      <c r="G1835" s="570"/>
    </row>
    <row r="1836" spans="1:7">
      <c r="A1836" s="368"/>
      <c r="B1836" s="411">
        <v>14</v>
      </c>
      <c r="C1836" s="566"/>
      <c r="D1836" s="554"/>
      <c r="E1836" s="49"/>
      <c r="F1836" s="49"/>
      <c r="G1836" s="570"/>
    </row>
    <row r="1837" spans="1:7">
      <c r="A1837" s="368"/>
      <c r="B1837" s="413">
        <v>15</v>
      </c>
      <c r="C1837" s="567"/>
      <c r="D1837" s="556"/>
      <c r="E1837" s="51"/>
      <c r="F1837" s="51"/>
      <c r="G1837" s="571"/>
    </row>
    <row r="1838" spans="1:7">
      <c r="A1838" s="368"/>
      <c r="B1838" s="390"/>
      <c r="C1838" s="390"/>
      <c r="D1838" s="390"/>
      <c r="E1838" s="390"/>
      <c r="F1838" s="390"/>
      <c r="G1838" s="390"/>
    </row>
    <row r="1839" spans="1:7">
      <c r="A1839" s="368"/>
      <c r="B1839" s="4"/>
      <c r="C1839" s="547" t="s">
        <v>20</v>
      </c>
      <c r="D1839" s="568"/>
      <c r="E1839" s="290" t="s">
        <v>21</v>
      </c>
      <c r="F1839" s="290" t="s">
        <v>22</v>
      </c>
      <c r="G1839" s="61" t="s">
        <v>23</v>
      </c>
    </row>
    <row r="1840" spans="1:7">
      <c r="A1840" s="368"/>
      <c r="B1840" s="410" t="s">
        <v>19</v>
      </c>
      <c r="C1840" s="549" t="s">
        <v>1791</v>
      </c>
      <c r="D1840" s="550"/>
      <c r="E1840" s="62">
        <f>SUM(E1841:E1855)</f>
        <v>1</v>
      </c>
      <c r="F1840" s="62">
        <f>SUM(F1841:F1855)</f>
        <v>1.5</v>
      </c>
      <c r="G1840" s="569" t="s">
        <v>1792</v>
      </c>
    </row>
    <row r="1841" spans="1:7">
      <c r="A1841" s="368"/>
      <c r="B1841" s="411">
        <v>1</v>
      </c>
      <c r="C1841" s="566" t="s">
        <v>1793</v>
      </c>
      <c r="D1841" s="554"/>
      <c r="E1841" s="49">
        <v>0.5</v>
      </c>
      <c r="F1841" s="49">
        <v>0.7</v>
      </c>
      <c r="G1841" s="570"/>
    </row>
    <row r="1842" spans="1:7">
      <c r="A1842" s="368"/>
      <c r="B1842" s="411">
        <v>2</v>
      </c>
      <c r="C1842" s="566" t="s">
        <v>1794</v>
      </c>
      <c r="D1842" s="554"/>
      <c r="E1842" s="49">
        <v>0.1</v>
      </c>
      <c r="F1842" s="49">
        <v>0.2</v>
      </c>
      <c r="G1842" s="570"/>
    </row>
    <row r="1843" spans="1:7">
      <c r="A1843" s="368"/>
      <c r="B1843" s="411">
        <v>3</v>
      </c>
      <c r="C1843" s="566" t="s">
        <v>1520</v>
      </c>
      <c r="D1843" s="554"/>
      <c r="E1843" s="49">
        <v>0.2</v>
      </c>
      <c r="F1843" s="49">
        <v>0.3</v>
      </c>
      <c r="G1843" s="570"/>
    </row>
    <row r="1844" spans="1:7">
      <c r="A1844" s="368"/>
      <c r="B1844" s="412">
        <v>4</v>
      </c>
      <c r="C1844" s="566" t="s">
        <v>1544</v>
      </c>
      <c r="D1844" s="554"/>
      <c r="E1844" s="50">
        <v>0.2</v>
      </c>
      <c r="F1844" s="50">
        <v>0.3</v>
      </c>
      <c r="G1844" s="570"/>
    </row>
    <row r="1845" spans="1:7">
      <c r="A1845" s="368"/>
      <c r="B1845" s="411">
        <v>5</v>
      </c>
      <c r="C1845" s="566"/>
      <c r="D1845" s="554"/>
      <c r="E1845" s="49"/>
      <c r="F1845" s="49"/>
      <c r="G1845" s="570"/>
    </row>
    <row r="1846" spans="1:7">
      <c r="A1846" s="368"/>
      <c r="B1846" s="411">
        <v>6</v>
      </c>
      <c r="C1846" s="566"/>
      <c r="D1846" s="554"/>
      <c r="E1846" s="49"/>
      <c r="F1846" s="49"/>
      <c r="G1846" s="570"/>
    </row>
    <row r="1847" spans="1:7">
      <c r="A1847" s="368"/>
      <c r="B1847" s="411">
        <v>7</v>
      </c>
      <c r="C1847" s="566"/>
      <c r="D1847" s="554"/>
      <c r="E1847" s="49"/>
      <c r="F1847" s="49"/>
      <c r="G1847" s="570"/>
    </row>
    <row r="1848" spans="1:7">
      <c r="A1848" s="368"/>
      <c r="B1848" s="411">
        <v>8</v>
      </c>
      <c r="C1848" s="566"/>
      <c r="D1848" s="554"/>
      <c r="E1848" s="49"/>
      <c r="F1848" s="49"/>
      <c r="G1848" s="570"/>
    </row>
    <row r="1849" spans="1:7">
      <c r="A1849" s="368"/>
      <c r="B1849" s="411">
        <v>9</v>
      </c>
      <c r="C1849" s="566"/>
      <c r="D1849" s="554"/>
      <c r="E1849" s="49"/>
      <c r="F1849" s="49"/>
      <c r="G1849" s="570"/>
    </row>
    <row r="1850" spans="1:7">
      <c r="A1850" s="368"/>
      <c r="B1850" s="411">
        <v>10</v>
      </c>
      <c r="C1850" s="566"/>
      <c r="D1850" s="554"/>
      <c r="E1850" s="49"/>
      <c r="F1850" s="49"/>
      <c r="G1850" s="570"/>
    </row>
    <row r="1851" spans="1:7">
      <c r="A1851" s="368"/>
      <c r="B1851" s="411">
        <v>11</v>
      </c>
      <c r="C1851" s="566"/>
      <c r="D1851" s="554"/>
      <c r="E1851" s="49"/>
      <c r="F1851" s="49"/>
      <c r="G1851" s="570"/>
    </row>
    <row r="1852" spans="1:7">
      <c r="A1852" s="368"/>
      <c r="B1852" s="411">
        <v>12</v>
      </c>
      <c r="C1852" s="566"/>
      <c r="D1852" s="554"/>
      <c r="E1852" s="49"/>
      <c r="F1852" s="49"/>
      <c r="G1852" s="570"/>
    </row>
    <row r="1853" spans="1:7">
      <c r="A1853" s="368"/>
      <c r="B1853" s="411">
        <v>13</v>
      </c>
      <c r="C1853" s="566"/>
      <c r="D1853" s="554"/>
      <c r="E1853" s="49"/>
      <c r="F1853" s="49"/>
      <c r="G1853" s="570"/>
    </row>
    <row r="1854" spans="1:7">
      <c r="A1854" s="368"/>
      <c r="B1854" s="411">
        <v>14</v>
      </c>
      <c r="C1854" s="566"/>
      <c r="D1854" s="554"/>
      <c r="E1854" s="49"/>
      <c r="F1854" s="49"/>
      <c r="G1854" s="570"/>
    </row>
    <row r="1855" spans="1:7">
      <c r="A1855" s="368"/>
      <c r="B1855" s="413">
        <v>15</v>
      </c>
      <c r="C1855" s="567"/>
      <c r="D1855" s="556"/>
      <c r="E1855" s="51"/>
      <c r="F1855" s="51"/>
      <c r="G1855" s="571"/>
    </row>
    <row r="1856" spans="1:7">
      <c r="A1856" s="368"/>
      <c r="B1856" s="390"/>
      <c r="C1856" s="390"/>
      <c r="D1856" s="390"/>
      <c r="E1856" s="390"/>
      <c r="F1856" s="390"/>
      <c r="G1856" s="390"/>
    </row>
    <row r="1857" spans="1:7">
      <c r="A1857" s="368"/>
      <c r="B1857" s="4"/>
      <c r="C1857" s="547" t="s">
        <v>20</v>
      </c>
      <c r="D1857" s="568"/>
      <c r="E1857" s="290" t="s">
        <v>21</v>
      </c>
      <c r="F1857" s="290" t="s">
        <v>22</v>
      </c>
      <c r="G1857" s="61" t="s">
        <v>23</v>
      </c>
    </row>
    <row r="1858" spans="1:7">
      <c r="A1858" s="368"/>
      <c r="B1858" s="410" t="s">
        <v>19</v>
      </c>
      <c r="C1858" s="549" t="s">
        <v>1795</v>
      </c>
      <c r="D1858" s="550"/>
      <c r="E1858" s="62">
        <f>SUM(E1859:E1873)</f>
        <v>1</v>
      </c>
      <c r="F1858" s="62">
        <f>SUM(F1859:F1873)</f>
        <v>2</v>
      </c>
      <c r="G1858" s="569" t="s">
        <v>1796</v>
      </c>
    </row>
    <row r="1859" spans="1:7">
      <c r="A1859" s="368"/>
      <c r="B1859" s="411">
        <v>1</v>
      </c>
      <c r="C1859" s="566" t="s">
        <v>1795</v>
      </c>
      <c r="D1859" s="554"/>
      <c r="E1859" s="49">
        <v>1</v>
      </c>
      <c r="F1859" s="49">
        <v>2</v>
      </c>
      <c r="G1859" s="570"/>
    </row>
    <row r="1860" spans="1:7">
      <c r="A1860" s="368"/>
      <c r="B1860" s="411">
        <v>2</v>
      </c>
      <c r="C1860" s="566"/>
      <c r="D1860" s="554"/>
      <c r="E1860" s="49"/>
      <c r="F1860" s="49"/>
      <c r="G1860" s="570"/>
    </row>
    <row r="1861" spans="1:7">
      <c r="A1861" s="368"/>
      <c r="B1861" s="411">
        <v>3</v>
      </c>
      <c r="C1861" s="566"/>
      <c r="D1861" s="554"/>
      <c r="E1861" s="49"/>
      <c r="F1861" s="49"/>
      <c r="G1861" s="570"/>
    </row>
    <row r="1862" spans="1:7">
      <c r="A1862" s="368"/>
      <c r="B1862" s="412">
        <v>4</v>
      </c>
      <c r="C1862" s="566"/>
      <c r="D1862" s="554"/>
      <c r="E1862" s="50"/>
      <c r="F1862" s="50"/>
      <c r="G1862" s="570"/>
    </row>
    <row r="1863" spans="1:7">
      <c r="A1863" s="368"/>
      <c r="B1863" s="411">
        <v>5</v>
      </c>
      <c r="C1863" s="566"/>
      <c r="D1863" s="554"/>
      <c r="E1863" s="49"/>
      <c r="F1863" s="49"/>
      <c r="G1863" s="570"/>
    </row>
    <row r="1864" spans="1:7">
      <c r="A1864" s="368"/>
      <c r="B1864" s="411">
        <v>6</v>
      </c>
      <c r="C1864" s="566"/>
      <c r="D1864" s="554"/>
      <c r="E1864" s="49"/>
      <c r="F1864" s="49"/>
      <c r="G1864" s="570"/>
    </row>
    <row r="1865" spans="1:7">
      <c r="A1865" s="368"/>
      <c r="B1865" s="411">
        <v>7</v>
      </c>
      <c r="C1865" s="566"/>
      <c r="D1865" s="554"/>
      <c r="E1865" s="49"/>
      <c r="F1865" s="49"/>
      <c r="G1865" s="570"/>
    </row>
    <row r="1866" spans="1:7">
      <c r="A1866" s="368"/>
      <c r="B1866" s="411">
        <v>8</v>
      </c>
      <c r="C1866" s="566"/>
      <c r="D1866" s="554"/>
      <c r="E1866" s="49"/>
      <c r="F1866" s="49"/>
      <c r="G1866" s="570"/>
    </row>
    <row r="1867" spans="1:7">
      <c r="A1867" s="368"/>
      <c r="B1867" s="411">
        <v>9</v>
      </c>
      <c r="C1867" s="566"/>
      <c r="D1867" s="554"/>
      <c r="E1867" s="49"/>
      <c r="F1867" s="49"/>
      <c r="G1867" s="570"/>
    </row>
    <row r="1868" spans="1:7">
      <c r="A1868" s="368"/>
      <c r="B1868" s="411">
        <v>10</v>
      </c>
      <c r="C1868" s="566"/>
      <c r="D1868" s="554"/>
      <c r="E1868" s="49"/>
      <c r="F1868" s="49"/>
      <c r="G1868" s="570"/>
    </row>
    <row r="1869" spans="1:7">
      <c r="A1869" s="368"/>
      <c r="B1869" s="411">
        <v>11</v>
      </c>
      <c r="C1869" s="566"/>
      <c r="D1869" s="554"/>
      <c r="E1869" s="49"/>
      <c r="F1869" s="49"/>
      <c r="G1869" s="570"/>
    </row>
    <row r="1870" spans="1:7">
      <c r="A1870" s="368"/>
      <c r="B1870" s="411">
        <v>12</v>
      </c>
      <c r="C1870" s="566"/>
      <c r="D1870" s="554"/>
      <c r="E1870" s="49"/>
      <c r="F1870" s="49"/>
      <c r="G1870" s="570"/>
    </row>
    <row r="1871" spans="1:7">
      <c r="A1871" s="368"/>
      <c r="B1871" s="411">
        <v>13</v>
      </c>
      <c r="C1871" s="566"/>
      <c r="D1871" s="554"/>
      <c r="E1871" s="49"/>
      <c r="F1871" s="49"/>
      <c r="G1871" s="570"/>
    </row>
    <row r="1872" spans="1:7">
      <c r="A1872" s="368"/>
      <c r="B1872" s="411">
        <v>14</v>
      </c>
      <c r="C1872" s="566"/>
      <c r="D1872" s="554"/>
      <c r="E1872" s="49"/>
      <c r="F1872" s="49"/>
      <c r="G1872" s="570"/>
    </row>
    <row r="1873" spans="1:7">
      <c r="A1873" s="368"/>
      <c r="B1873" s="413">
        <v>15</v>
      </c>
      <c r="C1873" s="567"/>
      <c r="D1873" s="556"/>
      <c r="E1873" s="51"/>
      <c r="F1873" s="51"/>
      <c r="G1873" s="571"/>
    </row>
    <row r="1874" spans="1:7">
      <c r="A1874" s="368"/>
      <c r="B1874" s="390"/>
      <c r="C1874" s="390"/>
      <c r="D1874" s="390"/>
      <c r="E1874" s="390"/>
      <c r="F1874" s="390"/>
      <c r="G1874" s="390"/>
    </row>
    <row r="1875" spans="1:7">
      <c r="A1875" s="368"/>
      <c r="B1875" s="4"/>
      <c r="C1875" s="547" t="s">
        <v>20</v>
      </c>
      <c r="D1875" s="568"/>
      <c r="E1875" s="290" t="s">
        <v>21</v>
      </c>
      <c r="F1875" s="290" t="s">
        <v>22</v>
      </c>
      <c r="G1875" s="61" t="s">
        <v>23</v>
      </c>
    </row>
    <row r="1876" spans="1:7">
      <c r="A1876" s="368"/>
      <c r="B1876" s="410" t="s">
        <v>19</v>
      </c>
      <c r="C1876" s="549" t="s">
        <v>1797</v>
      </c>
      <c r="D1876" s="550"/>
      <c r="E1876" s="62">
        <f>SUM(E1877:E1891)</f>
        <v>8</v>
      </c>
      <c r="F1876" s="62">
        <f>SUM(F1877:F1891)</f>
        <v>12.5</v>
      </c>
      <c r="G1876" s="569" t="s">
        <v>1798</v>
      </c>
    </row>
    <row r="1877" spans="1:7">
      <c r="A1877" s="368"/>
      <c r="B1877" s="411">
        <v>1</v>
      </c>
      <c r="C1877" s="566" t="s">
        <v>1799</v>
      </c>
      <c r="D1877" s="554"/>
      <c r="E1877" s="49">
        <v>1</v>
      </c>
      <c r="F1877" s="49">
        <v>1.5</v>
      </c>
      <c r="G1877" s="570"/>
    </row>
    <row r="1878" spans="1:7">
      <c r="A1878" s="368"/>
      <c r="B1878" s="411">
        <v>2</v>
      </c>
      <c r="C1878" s="566" t="s">
        <v>1800</v>
      </c>
      <c r="D1878" s="554"/>
      <c r="E1878" s="49">
        <v>1</v>
      </c>
      <c r="F1878" s="49">
        <v>1.5</v>
      </c>
      <c r="G1878" s="570"/>
    </row>
    <row r="1879" spans="1:7">
      <c r="A1879" s="368"/>
      <c r="B1879" s="411">
        <v>3</v>
      </c>
      <c r="C1879" s="566" t="s">
        <v>1801</v>
      </c>
      <c r="D1879" s="554"/>
      <c r="E1879" s="49">
        <v>1</v>
      </c>
      <c r="F1879" s="49">
        <v>1.5</v>
      </c>
      <c r="G1879" s="570"/>
    </row>
    <row r="1880" spans="1:7">
      <c r="A1880" s="368"/>
      <c r="B1880" s="412">
        <v>4</v>
      </c>
      <c r="C1880" s="566" t="s">
        <v>1802</v>
      </c>
      <c r="D1880" s="554"/>
      <c r="E1880" s="50">
        <v>1</v>
      </c>
      <c r="F1880" s="50">
        <v>1.5</v>
      </c>
      <c r="G1880" s="570"/>
    </row>
    <row r="1881" spans="1:7">
      <c r="A1881" s="368"/>
      <c r="B1881" s="411">
        <v>5</v>
      </c>
      <c r="C1881" s="566" t="s">
        <v>1803</v>
      </c>
      <c r="D1881" s="554"/>
      <c r="E1881" s="49">
        <v>2</v>
      </c>
      <c r="F1881" s="49">
        <v>3</v>
      </c>
      <c r="G1881" s="570"/>
    </row>
    <row r="1882" spans="1:7">
      <c r="A1882" s="368"/>
      <c r="B1882" s="411">
        <v>6</v>
      </c>
      <c r="C1882" s="566" t="s">
        <v>1804</v>
      </c>
      <c r="D1882" s="554"/>
      <c r="E1882" s="49">
        <v>1</v>
      </c>
      <c r="F1882" s="49">
        <v>2</v>
      </c>
      <c r="G1882" s="570"/>
    </row>
    <row r="1883" spans="1:7">
      <c r="A1883" s="368"/>
      <c r="B1883" s="411">
        <v>7</v>
      </c>
      <c r="C1883" s="566" t="s">
        <v>1582</v>
      </c>
      <c r="D1883" s="554"/>
      <c r="E1883" s="49">
        <v>1</v>
      </c>
      <c r="F1883" s="49">
        <v>1.5</v>
      </c>
      <c r="G1883" s="570"/>
    </row>
    <row r="1884" spans="1:7">
      <c r="A1884" s="368"/>
      <c r="B1884" s="411">
        <v>8</v>
      </c>
      <c r="C1884" s="566"/>
      <c r="D1884" s="554"/>
      <c r="E1884" s="49"/>
      <c r="F1884" s="49"/>
      <c r="G1884" s="570"/>
    </row>
    <row r="1885" spans="1:7">
      <c r="A1885" s="368"/>
      <c r="B1885" s="411">
        <v>9</v>
      </c>
      <c r="C1885" s="566"/>
      <c r="D1885" s="554"/>
      <c r="E1885" s="49"/>
      <c r="F1885" s="49"/>
      <c r="G1885" s="570"/>
    </row>
    <row r="1886" spans="1:7">
      <c r="A1886" s="368"/>
      <c r="B1886" s="411">
        <v>10</v>
      </c>
      <c r="C1886" s="566"/>
      <c r="D1886" s="554"/>
      <c r="E1886" s="49"/>
      <c r="F1886" s="49"/>
      <c r="G1886" s="570"/>
    </row>
    <row r="1887" spans="1:7">
      <c r="A1887" s="368"/>
      <c r="B1887" s="411">
        <v>11</v>
      </c>
      <c r="C1887" s="566"/>
      <c r="D1887" s="554"/>
      <c r="E1887" s="49"/>
      <c r="F1887" s="49"/>
      <c r="G1887" s="570"/>
    </row>
    <row r="1888" spans="1:7">
      <c r="A1888" s="368"/>
      <c r="B1888" s="411">
        <v>12</v>
      </c>
      <c r="C1888" s="566"/>
      <c r="D1888" s="554"/>
      <c r="E1888" s="49"/>
      <c r="F1888" s="49"/>
      <c r="G1888" s="570"/>
    </row>
    <row r="1889" spans="1:7">
      <c r="A1889" s="368"/>
      <c r="B1889" s="411">
        <v>13</v>
      </c>
      <c r="C1889" s="566"/>
      <c r="D1889" s="554"/>
      <c r="E1889" s="49"/>
      <c r="F1889" s="49"/>
      <c r="G1889" s="570"/>
    </row>
    <row r="1890" spans="1:7">
      <c r="A1890" s="368"/>
      <c r="B1890" s="411">
        <v>14</v>
      </c>
      <c r="C1890" s="566"/>
      <c r="D1890" s="554"/>
      <c r="E1890" s="49"/>
      <c r="F1890" s="49"/>
      <c r="G1890" s="570"/>
    </row>
    <row r="1891" spans="1:7">
      <c r="A1891" s="368"/>
      <c r="B1891" s="413">
        <v>15</v>
      </c>
      <c r="C1891" s="567"/>
      <c r="D1891" s="556"/>
      <c r="E1891" s="51"/>
      <c r="F1891" s="51"/>
      <c r="G1891" s="571"/>
    </row>
    <row r="1892" spans="1:7">
      <c r="A1892" s="368"/>
      <c r="B1892" s="390"/>
      <c r="C1892" s="390"/>
      <c r="D1892" s="390"/>
      <c r="E1892" s="390"/>
      <c r="F1892" s="390"/>
      <c r="G1892" s="390"/>
    </row>
    <row r="1893" spans="1:7">
      <c r="A1893" s="368"/>
      <c r="B1893" s="4"/>
      <c r="C1893" s="547" t="s">
        <v>20</v>
      </c>
      <c r="D1893" s="568"/>
      <c r="E1893" s="290" t="s">
        <v>21</v>
      </c>
      <c r="F1893" s="290" t="s">
        <v>22</v>
      </c>
      <c r="G1893" s="61" t="s">
        <v>23</v>
      </c>
    </row>
    <row r="1894" spans="1:7">
      <c r="A1894" s="368"/>
      <c r="B1894" s="410" t="s">
        <v>19</v>
      </c>
      <c r="C1894" s="549" t="s">
        <v>1805</v>
      </c>
      <c r="D1894" s="550"/>
      <c r="E1894" s="62">
        <f>SUM(E1895:E1909)</f>
        <v>16.600000000000001</v>
      </c>
      <c r="F1894" s="62">
        <f>SUM(F1895:F1909)</f>
        <v>18.5</v>
      </c>
      <c r="G1894" s="569" t="s">
        <v>1806</v>
      </c>
    </row>
    <row r="1895" spans="1:7">
      <c r="A1895" s="368"/>
      <c r="B1895" s="411">
        <v>1</v>
      </c>
      <c r="C1895" s="566" t="s">
        <v>1807</v>
      </c>
      <c r="D1895" s="554"/>
      <c r="E1895" s="49">
        <v>0.5</v>
      </c>
      <c r="F1895" s="49">
        <v>0.75</v>
      </c>
      <c r="G1895" s="570"/>
    </row>
    <row r="1896" spans="1:7">
      <c r="A1896" s="368"/>
      <c r="B1896" s="411">
        <v>2</v>
      </c>
      <c r="C1896" s="566" t="s">
        <v>1808</v>
      </c>
      <c r="D1896" s="554"/>
      <c r="E1896" s="49">
        <v>3.75</v>
      </c>
      <c r="F1896" s="49">
        <v>4</v>
      </c>
      <c r="G1896" s="570"/>
    </row>
    <row r="1897" spans="1:7">
      <c r="A1897" s="368"/>
      <c r="B1897" s="411">
        <v>3</v>
      </c>
      <c r="C1897" s="566" t="s">
        <v>1809</v>
      </c>
      <c r="D1897" s="554"/>
      <c r="E1897" s="49">
        <v>3.75</v>
      </c>
      <c r="F1897" s="49">
        <v>4</v>
      </c>
      <c r="G1897" s="570"/>
    </row>
    <row r="1898" spans="1:7">
      <c r="A1898" s="368"/>
      <c r="B1898" s="412">
        <v>4</v>
      </c>
      <c r="C1898" s="566" t="s">
        <v>1810</v>
      </c>
      <c r="D1898" s="554"/>
      <c r="E1898" s="50">
        <v>2.75</v>
      </c>
      <c r="F1898" s="50">
        <v>3</v>
      </c>
      <c r="G1898" s="570"/>
    </row>
    <row r="1899" spans="1:7">
      <c r="A1899" s="368"/>
      <c r="B1899" s="411">
        <v>5</v>
      </c>
      <c r="C1899" s="566" t="s">
        <v>1811</v>
      </c>
      <c r="D1899" s="554"/>
      <c r="E1899" s="49">
        <v>2.75</v>
      </c>
      <c r="F1899" s="49">
        <v>3</v>
      </c>
      <c r="G1899" s="570"/>
    </row>
    <row r="1900" spans="1:7">
      <c r="A1900" s="368"/>
      <c r="B1900" s="411">
        <v>6</v>
      </c>
      <c r="C1900" s="566" t="s">
        <v>1812</v>
      </c>
      <c r="D1900" s="554"/>
      <c r="E1900" s="49">
        <v>1.75</v>
      </c>
      <c r="F1900" s="49">
        <v>2</v>
      </c>
      <c r="G1900" s="570"/>
    </row>
    <row r="1901" spans="1:7">
      <c r="A1901" s="368"/>
      <c r="B1901" s="411">
        <v>7</v>
      </c>
      <c r="C1901" s="566" t="s">
        <v>1813</v>
      </c>
      <c r="D1901" s="554"/>
      <c r="E1901" s="49">
        <v>0.65</v>
      </c>
      <c r="F1901" s="49">
        <v>0.75</v>
      </c>
      <c r="G1901" s="570"/>
    </row>
    <row r="1902" spans="1:7">
      <c r="A1902" s="368"/>
      <c r="B1902" s="411">
        <v>8</v>
      </c>
      <c r="C1902" s="566" t="s">
        <v>1520</v>
      </c>
      <c r="D1902" s="554"/>
      <c r="E1902" s="49">
        <v>0.35</v>
      </c>
      <c r="F1902" s="49">
        <v>0.5</v>
      </c>
      <c r="G1902" s="570"/>
    </row>
    <row r="1903" spans="1:7">
      <c r="A1903" s="368"/>
      <c r="B1903" s="411">
        <v>9</v>
      </c>
      <c r="C1903" s="566" t="s">
        <v>1544</v>
      </c>
      <c r="D1903" s="554"/>
      <c r="E1903" s="49">
        <v>0.35</v>
      </c>
      <c r="F1903" s="49">
        <v>0.5</v>
      </c>
      <c r="G1903" s="570"/>
    </row>
    <row r="1904" spans="1:7">
      <c r="A1904" s="368"/>
      <c r="B1904" s="411">
        <v>10</v>
      </c>
      <c r="C1904" s="566"/>
      <c r="D1904" s="554"/>
      <c r="E1904" s="49"/>
      <c r="F1904" s="49"/>
      <c r="G1904" s="570"/>
    </row>
    <row r="1905" spans="1:7">
      <c r="A1905" s="368"/>
      <c r="B1905" s="411">
        <v>11</v>
      </c>
      <c r="C1905" s="566"/>
      <c r="D1905" s="554"/>
      <c r="E1905" s="49"/>
      <c r="F1905" s="49"/>
      <c r="G1905" s="570"/>
    </row>
    <row r="1906" spans="1:7">
      <c r="A1906" s="368"/>
      <c r="B1906" s="411">
        <v>12</v>
      </c>
      <c r="C1906" s="566"/>
      <c r="D1906" s="554"/>
      <c r="E1906" s="49"/>
      <c r="F1906" s="49"/>
      <c r="G1906" s="570"/>
    </row>
    <row r="1907" spans="1:7">
      <c r="A1907" s="368"/>
      <c r="B1907" s="411">
        <v>13</v>
      </c>
      <c r="C1907" s="566"/>
      <c r="D1907" s="554"/>
      <c r="E1907" s="49"/>
      <c r="F1907" s="49"/>
      <c r="G1907" s="570"/>
    </row>
    <row r="1908" spans="1:7">
      <c r="A1908" s="368"/>
      <c r="B1908" s="411">
        <v>14</v>
      </c>
      <c r="C1908" s="566"/>
      <c r="D1908" s="554"/>
      <c r="E1908" s="49"/>
      <c r="F1908" s="49"/>
      <c r="G1908" s="570"/>
    </row>
    <row r="1909" spans="1:7">
      <c r="A1909" s="368"/>
      <c r="B1909" s="413">
        <v>15</v>
      </c>
      <c r="C1909" s="567"/>
      <c r="D1909" s="556"/>
      <c r="E1909" s="51"/>
      <c r="F1909" s="51"/>
      <c r="G1909" s="571"/>
    </row>
    <row r="1910" spans="1:7">
      <c r="A1910" s="368"/>
      <c r="B1910" s="390"/>
      <c r="C1910" s="390"/>
      <c r="D1910" s="390"/>
      <c r="E1910" s="390"/>
      <c r="F1910" s="390"/>
      <c r="G1910" s="390"/>
    </row>
    <row r="1911" spans="1:7">
      <c r="A1911" s="368"/>
      <c r="B1911" s="4"/>
      <c r="C1911" s="547" t="s">
        <v>20</v>
      </c>
      <c r="D1911" s="568"/>
      <c r="E1911" s="290" t="s">
        <v>21</v>
      </c>
      <c r="F1911" s="290" t="s">
        <v>22</v>
      </c>
      <c r="G1911" s="61" t="s">
        <v>23</v>
      </c>
    </row>
    <row r="1912" spans="1:7">
      <c r="A1912" s="368"/>
      <c r="B1912" s="410" t="s">
        <v>19</v>
      </c>
      <c r="C1912" s="549" t="s">
        <v>1814</v>
      </c>
      <c r="D1912" s="550"/>
      <c r="E1912" s="62">
        <f>SUM(E1913:E1927)</f>
        <v>3.85</v>
      </c>
      <c r="F1912" s="62">
        <f>SUM(F1913:F1927)</f>
        <v>6.25</v>
      </c>
      <c r="G1912" s="569" t="s">
        <v>1815</v>
      </c>
    </row>
    <row r="1913" spans="1:7">
      <c r="A1913" s="368"/>
      <c r="B1913" s="411">
        <v>1</v>
      </c>
      <c r="C1913" s="566" t="s">
        <v>1816</v>
      </c>
      <c r="D1913" s="554"/>
      <c r="E1913" s="49">
        <v>0.25</v>
      </c>
      <c r="F1913" s="49">
        <v>0.5</v>
      </c>
      <c r="G1913" s="570"/>
    </row>
    <row r="1914" spans="1:7">
      <c r="A1914" s="368"/>
      <c r="B1914" s="411">
        <v>2</v>
      </c>
      <c r="C1914" s="566" t="s">
        <v>1817</v>
      </c>
      <c r="D1914" s="554"/>
      <c r="E1914" s="49">
        <v>1.5</v>
      </c>
      <c r="F1914" s="49">
        <v>2.5</v>
      </c>
      <c r="G1914" s="570"/>
    </row>
    <row r="1915" spans="1:7">
      <c r="A1915" s="368"/>
      <c r="B1915" s="411">
        <v>3</v>
      </c>
      <c r="C1915" s="566" t="s">
        <v>1818</v>
      </c>
      <c r="D1915" s="554"/>
      <c r="E1915" s="49">
        <v>0.1</v>
      </c>
      <c r="F1915" s="49">
        <v>0.25</v>
      </c>
      <c r="G1915" s="570"/>
    </row>
    <row r="1916" spans="1:7">
      <c r="A1916" s="368"/>
      <c r="B1916" s="412">
        <v>4</v>
      </c>
      <c r="C1916" s="566" t="s">
        <v>1819</v>
      </c>
      <c r="D1916" s="554"/>
      <c r="E1916" s="50">
        <v>0.75</v>
      </c>
      <c r="F1916" s="50">
        <v>1</v>
      </c>
      <c r="G1916" s="570"/>
    </row>
    <row r="1917" spans="1:7">
      <c r="A1917" s="368"/>
      <c r="B1917" s="411">
        <v>5</v>
      </c>
      <c r="C1917" s="566" t="s">
        <v>1606</v>
      </c>
      <c r="D1917" s="554"/>
      <c r="E1917" s="49">
        <v>0.75</v>
      </c>
      <c r="F1917" s="49">
        <v>1.25</v>
      </c>
      <c r="G1917" s="570"/>
    </row>
    <row r="1918" spans="1:7">
      <c r="A1918" s="368"/>
      <c r="B1918" s="411">
        <v>6</v>
      </c>
      <c r="C1918" s="566" t="s">
        <v>1820</v>
      </c>
      <c r="D1918" s="554"/>
      <c r="E1918" s="49">
        <v>0.5</v>
      </c>
      <c r="F1918" s="49">
        <v>0.75</v>
      </c>
      <c r="G1918" s="570"/>
    </row>
    <row r="1919" spans="1:7">
      <c r="A1919" s="368"/>
      <c r="B1919" s="411">
        <v>7</v>
      </c>
      <c r="C1919" s="566"/>
      <c r="D1919" s="554"/>
      <c r="E1919" s="49"/>
      <c r="F1919" s="49"/>
      <c r="G1919" s="570"/>
    </row>
    <row r="1920" spans="1:7">
      <c r="A1920" s="368"/>
      <c r="B1920" s="411">
        <v>8</v>
      </c>
      <c r="C1920" s="566"/>
      <c r="D1920" s="554"/>
      <c r="E1920" s="49"/>
      <c r="F1920" s="49"/>
      <c r="G1920" s="570"/>
    </row>
    <row r="1921" spans="1:7">
      <c r="A1921" s="368"/>
      <c r="B1921" s="411">
        <v>9</v>
      </c>
      <c r="C1921" s="566"/>
      <c r="D1921" s="554"/>
      <c r="E1921" s="49"/>
      <c r="F1921" s="49"/>
      <c r="G1921" s="570"/>
    </row>
    <row r="1922" spans="1:7">
      <c r="A1922" s="368"/>
      <c r="B1922" s="411">
        <v>10</v>
      </c>
      <c r="C1922" s="566"/>
      <c r="D1922" s="554"/>
      <c r="E1922" s="49"/>
      <c r="F1922" s="49"/>
      <c r="G1922" s="570"/>
    </row>
    <row r="1923" spans="1:7">
      <c r="A1923" s="368"/>
      <c r="B1923" s="411">
        <v>11</v>
      </c>
      <c r="C1923" s="566"/>
      <c r="D1923" s="554"/>
      <c r="E1923" s="49"/>
      <c r="F1923" s="49"/>
      <c r="G1923" s="570"/>
    </row>
    <row r="1924" spans="1:7">
      <c r="A1924" s="368"/>
      <c r="B1924" s="411">
        <v>12</v>
      </c>
      <c r="C1924" s="566"/>
      <c r="D1924" s="554"/>
      <c r="E1924" s="49"/>
      <c r="F1924" s="49"/>
      <c r="G1924" s="570"/>
    </row>
    <row r="1925" spans="1:7">
      <c r="A1925" s="368"/>
      <c r="B1925" s="411">
        <v>13</v>
      </c>
      <c r="C1925" s="566"/>
      <c r="D1925" s="554"/>
      <c r="E1925" s="49"/>
      <c r="F1925" s="49"/>
      <c r="G1925" s="570"/>
    </row>
    <row r="1926" spans="1:7">
      <c r="A1926" s="368"/>
      <c r="B1926" s="411">
        <v>14</v>
      </c>
      <c r="C1926" s="566"/>
      <c r="D1926" s="554"/>
      <c r="E1926" s="49"/>
      <c r="F1926" s="49"/>
      <c r="G1926" s="570"/>
    </row>
    <row r="1927" spans="1:7">
      <c r="A1927" s="368"/>
      <c r="B1927" s="413">
        <v>15</v>
      </c>
      <c r="C1927" s="567"/>
      <c r="D1927" s="556"/>
      <c r="E1927" s="51"/>
      <c r="F1927" s="51"/>
      <c r="G1927" s="571"/>
    </row>
    <row r="1928" spans="1:7">
      <c r="A1928" s="368"/>
      <c r="B1928" s="390"/>
      <c r="C1928" s="390"/>
      <c r="D1928" s="390"/>
      <c r="E1928" s="390"/>
      <c r="F1928" s="390"/>
      <c r="G1928" s="390"/>
    </row>
    <row r="1929" spans="1:7">
      <c r="A1929" s="368"/>
      <c r="B1929" s="4"/>
      <c r="C1929" s="547" t="s">
        <v>20</v>
      </c>
      <c r="D1929" s="568"/>
      <c r="E1929" s="290" t="s">
        <v>21</v>
      </c>
      <c r="F1929" s="290" t="s">
        <v>22</v>
      </c>
      <c r="G1929" s="61" t="s">
        <v>23</v>
      </c>
    </row>
    <row r="1930" spans="1:7">
      <c r="A1930" s="368"/>
      <c r="B1930" s="410" t="s">
        <v>19</v>
      </c>
      <c r="C1930" s="549" t="s">
        <v>1821</v>
      </c>
      <c r="D1930" s="550"/>
      <c r="E1930" s="62">
        <f>SUM(E1931:E1945)</f>
        <v>6.25</v>
      </c>
      <c r="F1930" s="62">
        <f>SUM(F1931:F1945)</f>
        <v>8.5</v>
      </c>
      <c r="G1930" s="569" t="s">
        <v>1822</v>
      </c>
    </row>
    <row r="1931" spans="1:7">
      <c r="A1931" s="368"/>
      <c r="B1931" s="411">
        <v>1</v>
      </c>
      <c r="C1931" s="566" t="s">
        <v>1816</v>
      </c>
      <c r="D1931" s="554"/>
      <c r="E1931" s="49">
        <v>0.25</v>
      </c>
      <c r="F1931" s="49">
        <v>0.5</v>
      </c>
      <c r="G1931" s="570"/>
    </row>
    <row r="1932" spans="1:7">
      <c r="A1932" s="368"/>
      <c r="B1932" s="411">
        <v>2</v>
      </c>
      <c r="C1932" s="566" t="s">
        <v>1817</v>
      </c>
      <c r="D1932" s="554"/>
      <c r="E1932" s="49">
        <v>2.5</v>
      </c>
      <c r="F1932" s="49">
        <v>3</v>
      </c>
      <c r="G1932" s="570"/>
    </row>
    <row r="1933" spans="1:7">
      <c r="A1933" s="368"/>
      <c r="B1933" s="411">
        <v>3</v>
      </c>
      <c r="C1933" s="566" t="s">
        <v>1818</v>
      </c>
      <c r="D1933" s="554"/>
      <c r="E1933" s="49">
        <v>0.25</v>
      </c>
      <c r="F1933" s="49">
        <v>0.25</v>
      </c>
      <c r="G1933" s="570"/>
    </row>
    <row r="1934" spans="1:7">
      <c r="A1934" s="368"/>
      <c r="B1934" s="412">
        <v>4</v>
      </c>
      <c r="C1934" s="566" t="s">
        <v>1819</v>
      </c>
      <c r="D1934" s="554"/>
      <c r="E1934" s="50">
        <v>1</v>
      </c>
      <c r="F1934" s="50">
        <v>1.5</v>
      </c>
      <c r="G1934" s="570"/>
    </row>
    <row r="1935" spans="1:7">
      <c r="A1935" s="368"/>
      <c r="B1935" s="411">
        <v>5</v>
      </c>
      <c r="C1935" s="566" t="s">
        <v>1606</v>
      </c>
      <c r="D1935" s="554"/>
      <c r="E1935" s="49">
        <v>1.5</v>
      </c>
      <c r="F1935" s="49">
        <v>2</v>
      </c>
      <c r="G1935" s="570"/>
    </row>
    <row r="1936" spans="1:7">
      <c r="A1936" s="368"/>
      <c r="B1936" s="411">
        <v>6</v>
      </c>
      <c r="C1936" s="566" t="s">
        <v>1820</v>
      </c>
      <c r="D1936" s="554"/>
      <c r="E1936" s="49">
        <v>0.75</v>
      </c>
      <c r="F1936" s="49">
        <v>1.25</v>
      </c>
      <c r="G1936" s="570"/>
    </row>
    <row r="1937" spans="1:7">
      <c r="A1937" s="368"/>
      <c r="B1937" s="411">
        <v>7</v>
      </c>
      <c r="C1937" s="566"/>
      <c r="D1937" s="554"/>
      <c r="E1937" s="49"/>
      <c r="F1937" s="49"/>
      <c r="G1937" s="570"/>
    </row>
    <row r="1938" spans="1:7">
      <c r="A1938" s="368"/>
      <c r="B1938" s="411">
        <v>8</v>
      </c>
      <c r="C1938" s="566"/>
      <c r="D1938" s="554"/>
      <c r="E1938" s="49"/>
      <c r="F1938" s="49"/>
      <c r="G1938" s="570"/>
    </row>
    <row r="1939" spans="1:7">
      <c r="A1939" s="368"/>
      <c r="B1939" s="411">
        <v>9</v>
      </c>
      <c r="C1939" s="566"/>
      <c r="D1939" s="554"/>
      <c r="E1939" s="49"/>
      <c r="F1939" s="49"/>
      <c r="G1939" s="570"/>
    </row>
    <row r="1940" spans="1:7">
      <c r="A1940" s="368"/>
      <c r="B1940" s="411">
        <v>10</v>
      </c>
      <c r="C1940" s="566"/>
      <c r="D1940" s="554"/>
      <c r="E1940" s="49"/>
      <c r="F1940" s="49"/>
      <c r="G1940" s="570"/>
    </row>
    <row r="1941" spans="1:7">
      <c r="A1941" s="368"/>
      <c r="B1941" s="411">
        <v>11</v>
      </c>
      <c r="C1941" s="566"/>
      <c r="D1941" s="554"/>
      <c r="E1941" s="49"/>
      <c r="F1941" s="49"/>
      <c r="G1941" s="570"/>
    </row>
    <row r="1942" spans="1:7">
      <c r="A1942" s="368"/>
      <c r="B1942" s="411">
        <v>12</v>
      </c>
      <c r="C1942" s="566"/>
      <c r="D1942" s="554"/>
      <c r="E1942" s="49"/>
      <c r="F1942" s="49"/>
      <c r="G1942" s="570"/>
    </row>
    <row r="1943" spans="1:7">
      <c r="A1943" s="368"/>
      <c r="B1943" s="411">
        <v>13</v>
      </c>
      <c r="C1943" s="566"/>
      <c r="D1943" s="554"/>
      <c r="E1943" s="49"/>
      <c r="F1943" s="49"/>
      <c r="G1943" s="570"/>
    </row>
    <row r="1944" spans="1:7">
      <c r="A1944" s="368"/>
      <c r="B1944" s="411">
        <v>14</v>
      </c>
      <c r="C1944" s="566"/>
      <c r="D1944" s="554"/>
      <c r="E1944" s="49"/>
      <c r="F1944" s="49"/>
      <c r="G1944" s="570"/>
    </row>
    <row r="1945" spans="1:7">
      <c r="A1945" s="368"/>
      <c r="B1945" s="413">
        <v>15</v>
      </c>
      <c r="C1945" s="567"/>
      <c r="D1945" s="556"/>
      <c r="E1945" s="51"/>
      <c r="F1945" s="51"/>
      <c r="G1945" s="571"/>
    </row>
    <row r="1946" spans="1:7">
      <c r="A1946" s="368"/>
      <c r="B1946" s="390"/>
      <c r="C1946" s="390"/>
      <c r="D1946" s="390"/>
      <c r="E1946" s="390"/>
      <c r="F1946" s="390"/>
      <c r="G1946" s="390"/>
    </row>
    <row r="1947" spans="1:7">
      <c r="A1947" s="368"/>
      <c r="B1947" s="4"/>
      <c r="C1947" s="547" t="s">
        <v>20</v>
      </c>
      <c r="D1947" s="568"/>
      <c r="E1947" s="290" t="s">
        <v>21</v>
      </c>
      <c r="F1947" s="290" t="s">
        <v>22</v>
      </c>
      <c r="G1947" s="61" t="s">
        <v>23</v>
      </c>
    </row>
    <row r="1948" spans="1:7">
      <c r="A1948" s="368"/>
      <c r="B1948" s="410" t="s">
        <v>19</v>
      </c>
      <c r="C1948" s="549" t="s">
        <v>1823</v>
      </c>
      <c r="D1948" s="550"/>
      <c r="E1948" s="62">
        <f>SUM(E1949:E1963)</f>
        <v>8.25</v>
      </c>
      <c r="F1948" s="62">
        <f>SUM(F1949:F1963)</f>
        <v>13</v>
      </c>
      <c r="G1948" s="569" t="s">
        <v>1824</v>
      </c>
    </row>
    <row r="1949" spans="1:7">
      <c r="A1949" s="368"/>
      <c r="B1949" s="411">
        <v>1</v>
      </c>
      <c r="C1949" s="566" t="s">
        <v>1816</v>
      </c>
      <c r="D1949" s="554"/>
      <c r="E1949" s="49">
        <v>0.25</v>
      </c>
      <c r="F1949" s="49">
        <v>0.5</v>
      </c>
      <c r="G1949" s="570"/>
    </row>
    <row r="1950" spans="1:7">
      <c r="A1950" s="368"/>
      <c r="B1950" s="411">
        <v>2</v>
      </c>
      <c r="C1950" s="566" t="s">
        <v>1817</v>
      </c>
      <c r="D1950" s="554"/>
      <c r="E1950" s="49">
        <v>3</v>
      </c>
      <c r="F1950" s="49">
        <v>4</v>
      </c>
      <c r="G1950" s="570"/>
    </row>
    <row r="1951" spans="1:7">
      <c r="A1951" s="368"/>
      <c r="B1951" s="411">
        <v>3</v>
      </c>
      <c r="C1951" s="566" t="s">
        <v>1818</v>
      </c>
      <c r="D1951" s="554"/>
      <c r="E1951" s="49">
        <v>0.25</v>
      </c>
      <c r="F1951" s="49">
        <v>0.5</v>
      </c>
      <c r="G1951" s="570"/>
    </row>
    <row r="1952" spans="1:7">
      <c r="A1952" s="368"/>
      <c r="B1952" s="412">
        <v>4</v>
      </c>
      <c r="C1952" s="566" t="s">
        <v>1819</v>
      </c>
      <c r="D1952" s="554"/>
      <c r="E1952" s="50">
        <v>1.5</v>
      </c>
      <c r="F1952" s="50">
        <v>2.5</v>
      </c>
      <c r="G1952" s="570"/>
    </row>
    <row r="1953" spans="1:7">
      <c r="A1953" s="368"/>
      <c r="B1953" s="411">
        <v>5</v>
      </c>
      <c r="C1953" s="566" t="s">
        <v>1606</v>
      </c>
      <c r="D1953" s="554"/>
      <c r="E1953" s="49">
        <v>2</v>
      </c>
      <c r="F1953" s="49">
        <v>4</v>
      </c>
      <c r="G1953" s="570"/>
    </row>
    <row r="1954" spans="1:7">
      <c r="A1954" s="368"/>
      <c r="B1954" s="411">
        <v>6</v>
      </c>
      <c r="C1954" s="566" t="s">
        <v>1820</v>
      </c>
      <c r="D1954" s="554"/>
      <c r="E1954" s="49">
        <v>1.25</v>
      </c>
      <c r="F1954" s="49">
        <v>1.5</v>
      </c>
      <c r="G1954" s="570"/>
    </row>
    <row r="1955" spans="1:7">
      <c r="A1955" s="368"/>
      <c r="B1955" s="411">
        <v>7</v>
      </c>
      <c r="C1955" s="566"/>
      <c r="D1955" s="554"/>
      <c r="E1955" s="49"/>
      <c r="F1955" s="49"/>
      <c r="G1955" s="570"/>
    </row>
    <row r="1956" spans="1:7">
      <c r="A1956" s="368"/>
      <c r="B1956" s="411">
        <v>8</v>
      </c>
      <c r="C1956" s="566"/>
      <c r="D1956" s="554"/>
      <c r="E1956" s="49"/>
      <c r="F1956" s="49"/>
      <c r="G1956" s="570"/>
    </row>
    <row r="1957" spans="1:7">
      <c r="A1957" s="368"/>
      <c r="B1957" s="411">
        <v>9</v>
      </c>
      <c r="C1957" s="566"/>
      <c r="D1957" s="554"/>
      <c r="E1957" s="49"/>
      <c r="F1957" s="49"/>
      <c r="G1957" s="570"/>
    </row>
    <row r="1958" spans="1:7">
      <c r="A1958" s="368"/>
      <c r="B1958" s="411">
        <v>10</v>
      </c>
      <c r="C1958" s="566"/>
      <c r="D1958" s="554"/>
      <c r="E1958" s="49"/>
      <c r="F1958" s="49"/>
      <c r="G1958" s="570"/>
    </row>
    <row r="1959" spans="1:7">
      <c r="A1959" s="368"/>
      <c r="B1959" s="411">
        <v>11</v>
      </c>
      <c r="C1959" s="566"/>
      <c r="D1959" s="554"/>
      <c r="E1959" s="49"/>
      <c r="F1959" s="49"/>
      <c r="G1959" s="570"/>
    </row>
    <row r="1960" spans="1:7">
      <c r="A1960" s="368"/>
      <c r="B1960" s="411">
        <v>12</v>
      </c>
      <c r="C1960" s="566"/>
      <c r="D1960" s="554"/>
      <c r="E1960" s="49"/>
      <c r="F1960" s="49"/>
      <c r="G1960" s="570"/>
    </row>
    <row r="1961" spans="1:7">
      <c r="A1961" s="368"/>
      <c r="B1961" s="411">
        <v>13</v>
      </c>
      <c r="C1961" s="566"/>
      <c r="D1961" s="554"/>
      <c r="E1961" s="49"/>
      <c r="F1961" s="49"/>
      <c r="G1961" s="570"/>
    </row>
    <row r="1962" spans="1:7">
      <c r="A1962" s="368"/>
      <c r="B1962" s="411">
        <v>14</v>
      </c>
      <c r="C1962" s="566"/>
      <c r="D1962" s="554"/>
      <c r="E1962" s="49"/>
      <c r="F1962" s="49"/>
      <c r="G1962" s="570"/>
    </row>
    <row r="1963" spans="1:7">
      <c r="A1963" s="368"/>
      <c r="B1963" s="413">
        <v>15</v>
      </c>
      <c r="C1963" s="567"/>
      <c r="D1963" s="556"/>
      <c r="E1963" s="51"/>
      <c r="F1963" s="51"/>
      <c r="G1963" s="571"/>
    </row>
    <row r="1964" spans="1:7">
      <c r="A1964" s="368"/>
    </row>
    <row r="1965" spans="1:7">
      <c r="A1965" s="368"/>
      <c r="B1965" s="420"/>
      <c r="C1965" s="564" t="s">
        <v>20</v>
      </c>
      <c r="D1965" s="565"/>
      <c r="E1965" s="421" t="s">
        <v>21</v>
      </c>
      <c r="F1965" s="421" t="s">
        <v>22</v>
      </c>
      <c r="G1965" s="422" t="s">
        <v>23</v>
      </c>
    </row>
    <row r="1966" spans="1:7" ht="15.6" customHeight="1">
      <c r="A1966" s="368"/>
      <c r="B1966" s="423" t="s">
        <v>1827</v>
      </c>
      <c r="C1966" s="573" t="s">
        <v>1828</v>
      </c>
      <c r="D1966" s="573"/>
      <c r="E1966" s="424">
        <f>SUM(E1967:E1981)</f>
        <v>4.6749999999999998</v>
      </c>
      <c r="F1966" s="425">
        <f>SUM(F1967:F1981)</f>
        <v>5.5000000000000009</v>
      </c>
      <c r="G1966" s="557" t="s">
        <v>1829</v>
      </c>
    </row>
    <row r="1967" spans="1:7">
      <c r="A1967" s="368"/>
      <c r="B1967" s="426">
        <v>1</v>
      </c>
      <c r="C1967" s="560" t="s">
        <v>1830</v>
      </c>
      <c r="D1967" s="560"/>
      <c r="E1967" s="405">
        <v>0.1</v>
      </c>
      <c r="F1967" s="406">
        <v>0.2</v>
      </c>
      <c r="G1967" s="558"/>
    </row>
    <row r="1968" spans="1:7">
      <c r="A1968" s="368"/>
      <c r="B1968" s="426">
        <f>B1967+1</f>
        <v>2</v>
      </c>
      <c r="C1968" s="560" t="s">
        <v>1831</v>
      </c>
      <c r="D1968" s="560"/>
      <c r="E1968" s="405">
        <v>0.2</v>
      </c>
      <c r="F1968" s="406">
        <v>0.2</v>
      </c>
      <c r="G1968" s="558"/>
    </row>
    <row r="1969" spans="1:7">
      <c r="A1969" s="368"/>
      <c r="B1969" s="426">
        <f>B1968+1</f>
        <v>3</v>
      </c>
      <c r="C1969" s="560" t="s">
        <v>1832</v>
      </c>
      <c r="D1969" s="560"/>
      <c r="E1969" s="405">
        <v>4</v>
      </c>
      <c r="F1969" s="406">
        <v>4.5</v>
      </c>
      <c r="G1969" s="558"/>
    </row>
    <row r="1970" spans="1:7" ht="15.6" customHeight="1">
      <c r="A1970" s="368"/>
      <c r="B1970" s="427">
        <f>B1969+1</f>
        <v>4</v>
      </c>
      <c r="C1970" s="560" t="s">
        <v>1833</v>
      </c>
      <c r="D1970" s="560"/>
      <c r="E1970" s="405">
        <v>0.125</v>
      </c>
      <c r="F1970" s="406">
        <v>0.2</v>
      </c>
      <c r="G1970" s="558"/>
    </row>
    <row r="1971" spans="1:7">
      <c r="A1971" s="368"/>
      <c r="B1971" s="427">
        <f>B1970+1</f>
        <v>5</v>
      </c>
      <c r="C1971" s="560" t="s">
        <v>1834</v>
      </c>
      <c r="D1971" s="560"/>
      <c r="E1971" s="405">
        <v>0.125</v>
      </c>
      <c r="F1971" s="406">
        <v>0.2</v>
      </c>
      <c r="G1971" s="558"/>
    </row>
    <row r="1972" spans="1:7">
      <c r="A1972" s="368"/>
      <c r="B1972" s="427">
        <f>B1971+1</f>
        <v>6</v>
      </c>
      <c r="C1972" s="560" t="s">
        <v>1408</v>
      </c>
      <c r="D1972" s="560"/>
      <c r="E1972" s="405">
        <v>0.125</v>
      </c>
      <c r="F1972" s="406">
        <v>0.2</v>
      </c>
      <c r="G1972" s="558"/>
    </row>
    <row r="1973" spans="1:7">
      <c r="A1973" s="368"/>
      <c r="B1973" s="427">
        <f t="shared" ref="B1973:B1981" si="8">B1972+1</f>
        <v>7</v>
      </c>
      <c r="C1973" s="560"/>
      <c r="D1973" s="560"/>
      <c r="E1973" s="405"/>
      <c r="F1973" s="406"/>
      <c r="G1973" s="558"/>
    </row>
    <row r="1974" spans="1:7">
      <c r="A1974" s="368"/>
      <c r="B1974" s="427">
        <f t="shared" si="8"/>
        <v>8</v>
      </c>
      <c r="C1974" s="560"/>
      <c r="D1974" s="560"/>
      <c r="E1974" s="405"/>
      <c r="F1974" s="406"/>
      <c r="G1974" s="558"/>
    </row>
    <row r="1975" spans="1:7">
      <c r="A1975" s="368"/>
      <c r="B1975" s="427">
        <f t="shared" si="8"/>
        <v>9</v>
      </c>
      <c r="C1975" s="560"/>
      <c r="D1975" s="560"/>
      <c r="E1975" s="405"/>
      <c r="F1975" s="406"/>
      <c r="G1975" s="558"/>
    </row>
    <row r="1976" spans="1:7">
      <c r="A1976" s="368"/>
      <c r="B1976" s="427">
        <f t="shared" si="8"/>
        <v>10</v>
      </c>
      <c r="C1976" s="560"/>
      <c r="D1976" s="560"/>
      <c r="E1976" s="405"/>
      <c r="F1976" s="406"/>
      <c r="G1976" s="558"/>
    </row>
    <row r="1977" spans="1:7">
      <c r="A1977" s="368"/>
      <c r="B1977" s="427">
        <f t="shared" si="8"/>
        <v>11</v>
      </c>
      <c r="C1977" s="560"/>
      <c r="D1977" s="560"/>
      <c r="E1977" s="405"/>
      <c r="F1977" s="406"/>
      <c r="G1977" s="558"/>
    </row>
    <row r="1978" spans="1:7">
      <c r="A1978" s="368"/>
      <c r="B1978" s="427">
        <f t="shared" si="8"/>
        <v>12</v>
      </c>
      <c r="C1978" s="560"/>
      <c r="D1978" s="560"/>
      <c r="E1978" s="405"/>
      <c r="F1978" s="406"/>
      <c r="G1978" s="558"/>
    </row>
    <row r="1979" spans="1:7">
      <c r="A1979" s="368"/>
      <c r="B1979" s="427">
        <f t="shared" si="8"/>
        <v>13</v>
      </c>
      <c r="C1979" s="560"/>
      <c r="D1979" s="560"/>
      <c r="E1979" s="405"/>
      <c r="F1979" s="406"/>
      <c r="G1979" s="558"/>
    </row>
    <row r="1980" spans="1:7">
      <c r="A1980" s="368"/>
      <c r="B1980" s="427">
        <f t="shared" si="8"/>
        <v>14</v>
      </c>
      <c r="C1980" s="560"/>
      <c r="D1980" s="560"/>
      <c r="E1980" s="405"/>
      <c r="F1980" s="406"/>
      <c r="G1980" s="558"/>
    </row>
    <row r="1981" spans="1:7">
      <c r="A1981" s="368"/>
      <c r="B1981" s="428">
        <f t="shared" si="8"/>
        <v>15</v>
      </c>
      <c r="C1981" s="561"/>
      <c r="D1981" s="562"/>
      <c r="E1981" s="429"/>
      <c r="F1981" s="430"/>
      <c r="G1981" s="559"/>
    </row>
    <row r="1982" spans="1:7">
      <c r="A1982" s="368"/>
      <c r="B1982" s="431"/>
      <c r="C1982" s="431"/>
      <c r="D1982" s="431"/>
      <c r="E1982" s="431"/>
      <c r="F1982" s="431"/>
      <c r="G1982" s="432"/>
    </row>
    <row r="1983" spans="1:7">
      <c r="A1983" s="368"/>
      <c r="B1983" s="420"/>
      <c r="C1983" s="564" t="s">
        <v>20</v>
      </c>
      <c r="D1983" s="565"/>
      <c r="E1983" s="421" t="s">
        <v>21</v>
      </c>
      <c r="F1983" s="421" t="s">
        <v>22</v>
      </c>
      <c r="G1983" s="422" t="s">
        <v>23</v>
      </c>
    </row>
    <row r="1984" spans="1:7" ht="15.6" customHeight="1">
      <c r="A1984" s="368"/>
      <c r="B1984" s="423" t="s">
        <v>1827</v>
      </c>
      <c r="C1984" s="573" t="s">
        <v>1835</v>
      </c>
      <c r="D1984" s="573"/>
      <c r="E1984" s="424">
        <f>SUM(E1985:E1999)</f>
        <v>9.375</v>
      </c>
      <c r="F1984" s="425">
        <f>SUM(F1985:F1999)</f>
        <v>10.699999999999998</v>
      </c>
      <c r="G1984" s="557" t="s">
        <v>1836</v>
      </c>
    </row>
    <row r="1985" spans="1:7">
      <c r="A1985" s="368"/>
      <c r="B1985" s="426">
        <v>1</v>
      </c>
      <c r="C1985" s="560" t="s">
        <v>1830</v>
      </c>
      <c r="D1985" s="560"/>
      <c r="E1985" s="405">
        <v>0.1</v>
      </c>
      <c r="F1985" s="406">
        <v>0.2</v>
      </c>
      <c r="G1985" s="558"/>
    </row>
    <row r="1986" spans="1:7">
      <c r="A1986" s="368"/>
      <c r="B1986" s="426">
        <f t="shared" ref="B1986:B1999" si="9">B1985+1</f>
        <v>2</v>
      </c>
      <c r="C1986" s="560" t="s">
        <v>1831</v>
      </c>
      <c r="D1986" s="560"/>
      <c r="E1986" s="405">
        <v>0.2</v>
      </c>
      <c r="F1986" s="406">
        <v>0.2</v>
      </c>
      <c r="G1986" s="558"/>
    </row>
    <row r="1987" spans="1:7" ht="15.6" customHeight="1">
      <c r="A1987" s="368"/>
      <c r="B1987" s="426">
        <f t="shared" si="9"/>
        <v>3</v>
      </c>
      <c r="C1987" s="560" t="s">
        <v>1837</v>
      </c>
      <c r="D1987" s="560"/>
      <c r="E1987" s="405">
        <v>0.2</v>
      </c>
      <c r="F1987" s="406">
        <v>0.2</v>
      </c>
      <c r="G1987" s="558"/>
    </row>
    <row r="1988" spans="1:7">
      <c r="A1988" s="368"/>
      <c r="B1988" s="427">
        <f t="shared" si="9"/>
        <v>4</v>
      </c>
      <c r="C1988" s="560" t="s">
        <v>1832</v>
      </c>
      <c r="D1988" s="560"/>
      <c r="E1988" s="405">
        <v>8.5</v>
      </c>
      <c r="F1988" s="406">
        <v>9.5</v>
      </c>
      <c r="G1988" s="558"/>
    </row>
    <row r="1989" spans="1:7" ht="15.6" customHeight="1">
      <c r="A1989" s="368"/>
      <c r="B1989" s="427">
        <f t="shared" si="9"/>
        <v>5</v>
      </c>
      <c r="C1989" s="560" t="s">
        <v>1833</v>
      </c>
      <c r="D1989" s="560"/>
      <c r="E1989" s="405">
        <v>0.125</v>
      </c>
      <c r="F1989" s="406">
        <v>0.2</v>
      </c>
      <c r="G1989" s="558"/>
    </row>
    <row r="1990" spans="1:7">
      <c r="A1990" s="368"/>
      <c r="B1990" s="427">
        <f t="shared" si="9"/>
        <v>6</v>
      </c>
      <c r="C1990" s="560" t="s">
        <v>1834</v>
      </c>
      <c r="D1990" s="560"/>
      <c r="E1990" s="405">
        <v>0.125</v>
      </c>
      <c r="F1990" s="406">
        <v>0.2</v>
      </c>
      <c r="G1990" s="558"/>
    </row>
    <row r="1991" spans="1:7">
      <c r="A1991" s="368"/>
      <c r="B1991" s="427">
        <f t="shared" si="9"/>
        <v>7</v>
      </c>
      <c r="C1991" s="560" t="s">
        <v>1408</v>
      </c>
      <c r="D1991" s="560"/>
      <c r="E1991" s="405">
        <v>0.125</v>
      </c>
      <c r="F1991" s="406">
        <v>0.2</v>
      </c>
      <c r="G1991" s="558"/>
    </row>
    <row r="1992" spans="1:7">
      <c r="A1992" s="368"/>
      <c r="B1992" s="427">
        <f t="shared" si="9"/>
        <v>8</v>
      </c>
      <c r="C1992" s="560"/>
      <c r="D1992" s="560"/>
      <c r="E1992" s="405"/>
      <c r="F1992" s="406"/>
      <c r="G1992" s="558"/>
    </row>
    <row r="1993" spans="1:7">
      <c r="A1993" s="368"/>
      <c r="B1993" s="427">
        <f t="shared" si="9"/>
        <v>9</v>
      </c>
      <c r="C1993" s="560"/>
      <c r="D1993" s="560"/>
      <c r="E1993" s="405"/>
      <c r="F1993" s="406"/>
      <c r="G1993" s="558"/>
    </row>
    <row r="1994" spans="1:7">
      <c r="A1994" s="368"/>
      <c r="B1994" s="427">
        <f t="shared" si="9"/>
        <v>10</v>
      </c>
      <c r="C1994" s="560"/>
      <c r="D1994" s="560"/>
      <c r="E1994" s="405"/>
      <c r="F1994" s="406"/>
      <c r="G1994" s="558"/>
    </row>
    <row r="1995" spans="1:7">
      <c r="A1995" s="368"/>
      <c r="B1995" s="427">
        <f t="shared" si="9"/>
        <v>11</v>
      </c>
      <c r="C1995" s="560"/>
      <c r="D1995" s="560"/>
      <c r="E1995" s="405"/>
      <c r="F1995" s="406"/>
      <c r="G1995" s="558"/>
    </row>
    <row r="1996" spans="1:7">
      <c r="A1996" s="368"/>
      <c r="B1996" s="427">
        <f t="shared" si="9"/>
        <v>12</v>
      </c>
      <c r="C1996" s="560"/>
      <c r="D1996" s="560"/>
      <c r="E1996" s="405"/>
      <c r="F1996" s="406"/>
      <c r="G1996" s="558"/>
    </row>
    <row r="1997" spans="1:7">
      <c r="A1997" s="368"/>
      <c r="B1997" s="427">
        <f t="shared" si="9"/>
        <v>13</v>
      </c>
      <c r="C1997" s="560"/>
      <c r="D1997" s="560"/>
      <c r="E1997" s="405"/>
      <c r="F1997" s="406"/>
      <c r="G1997" s="558"/>
    </row>
    <row r="1998" spans="1:7">
      <c r="A1998" s="368"/>
      <c r="B1998" s="427">
        <f t="shared" si="9"/>
        <v>14</v>
      </c>
      <c r="C1998" s="560"/>
      <c r="D1998" s="560"/>
      <c r="E1998" s="405"/>
      <c r="F1998" s="406"/>
      <c r="G1998" s="558"/>
    </row>
    <row r="1999" spans="1:7">
      <c r="A1999" s="368"/>
      <c r="B1999" s="428">
        <f t="shared" si="9"/>
        <v>15</v>
      </c>
      <c r="C1999" s="561"/>
      <c r="D1999" s="563"/>
      <c r="E1999" s="430"/>
      <c r="F1999" s="430"/>
      <c r="G1999" s="559"/>
    </row>
    <row r="2000" spans="1:7">
      <c r="A2000" s="368"/>
    </row>
    <row r="2001" spans="1:7">
      <c r="A2001" s="368"/>
      <c r="B2001" s="420"/>
      <c r="C2001" s="564" t="s">
        <v>20</v>
      </c>
      <c r="D2001" s="565"/>
      <c r="E2001" s="421" t="s">
        <v>21</v>
      </c>
      <c r="F2001" s="421" t="s">
        <v>22</v>
      </c>
      <c r="G2001" s="422" t="s">
        <v>23</v>
      </c>
    </row>
    <row r="2002" spans="1:7">
      <c r="A2002" s="368"/>
      <c r="B2002" s="423" t="s">
        <v>1827</v>
      </c>
      <c r="C2002" s="572" t="s">
        <v>1838</v>
      </c>
      <c r="D2002" s="572"/>
      <c r="E2002" s="424">
        <f>SUM(E2003:E2017)</f>
        <v>1.675</v>
      </c>
      <c r="F2002" s="425">
        <f>SUM(F2003:F2017)</f>
        <v>2.2000000000000002</v>
      </c>
      <c r="G2002" s="557" t="s">
        <v>1839</v>
      </c>
    </row>
    <row r="2003" spans="1:7">
      <c r="A2003" s="368"/>
      <c r="B2003" s="426">
        <v>1</v>
      </c>
      <c r="C2003" s="560" t="s">
        <v>1830</v>
      </c>
      <c r="D2003" s="560"/>
      <c r="E2003" s="405">
        <v>0.1</v>
      </c>
      <c r="F2003" s="406">
        <v>0.2</v>
      </c>
      <c r="G2003" s="558"/>
    </row>
    <row r="2004" spans="1:7">
      <c r="A2004" s="368"/>
      <c r="B2004" s="426">
        <f>B2003+1</f>
        <v>2</v>
      </c>
      <c r="C2004" s="560" t="s">
        <v>1831</v>
      </c>
      <c r="D2004" s="560"/>
      <c r="E2004" s="405">
        <v>0.2</v>
      </c>
      <c r="F2004" s="406">
        <v>0.2</v>
      </c>
      <c r="G2004" s="558"/>
    </row>
    <row r="2005" spans="1:7">
      <c r="A2005" s="368"/>
      <c r="B2005" s="426">
        <f>B2004+1</f>
        <v>3</v>
      </c>
      <c r="C2005" s="560" t="s">
        <v>1840</v>
      </c>
      <c r="D2005" s="560"/>
      <c r="E2005" s="405">
        <v>1</v>
      </c>
      <c r="F2005" s="406">
        <v>1.2</v>
      </c>
      <c r="G2005" s="558"/>
    </row>
    <row r="2006" spans="1:7">
      <c r="A2006" s="368"/>
      <c r="B2006" s="427">
        <f>B2005+1</f>
        <v>4</v>
      </c>
      <c r="C2006" s="560" t="s">
        <v>1833</v>
      </c>
      <c r="D2006" s="560"/>
      <c r="E2006" s="405">
        <v>0.125</v>
      </c>
      <c r="F2006" s="406">
        <v>0.2</v>
      </c>
      <c r="G2006" s="558"/>
    </row>
    <row r="2007" spans="1:7">
      <c r="A2007" s="368"/>
      <c r="B2007" s="427">
        <f>B2006+1</f>
        <v>5</v>
      </c>
      <c r="C2007" s="560" t="s">
        <v>1406</v>
      </c>
      <c r="D2007" s="560"/>
      <c r="E2007" s="405">
        <v>0.125</v>
      </c>
      <c r="F2007" s="406">
        <v>0.2</v>
      </c>
      <c r="G2007" s="558"/>
    </row>
    <row r="2008" spans="1:7">
      <c r="A2008" s="368"/>
      <c r="B2008" s="427">
        <f>B2007+1</f>
        <v>6</v>
      </c>
      <c r="C2008" s="560" t="s">
        <v>1408</v>
      </c>
      <c r="D2008" s="560"/>
      <c r="E2008" s="405">
        <v>0.125</v>
      </c>
      <c r="F2008" s="406">
        <v>0.2</v>
      </c>
      <c r="G2008" s="558"/>
    </row>
    <row r="2009" spans="1:7">
      <c r="A2009" s="368"/>
      <c r="B2009" s="427">
        <f t="shared" ref="B2009:B2017" si="10">B2008+1</f>
        <v>7</v>
      </c>
      <c r="C2009" s="560"/>
      <c r="D2009" s="560"/>
      <c r="E2009" s="405"/>
      <c r="F2009" s="406"/>
      <c r="G2009" s="558"/>
    </row>
    <row r="2010" spans="1:7">
      <c r="A2010" s="368"/>
      <c r="B2010" s="427">
        <f t="shared" si="10"/>
        <v>8</v>
      </c>
      <c r="C2010" s="560"/>
      <c r="D2010" s="560"/>
      <c r="E2010" s="405"/>
      <c r="F2010" s="406"/>
      <c r="G2010" s="558"/>
    </row>
    <row r="2011" spans="1:7">
      <c r="A2011" s="368"/>
      <c r="B2011" s="427">
        <f t="shared" si="10"/>
        <v>9</v>
      </c>
      <c r="C2011" s="560"/>
      <c r="D2011" s="560"/>
      <c r="E2011" s="405"/>
      <c r="F2011" s="406"/>
      <c r="G2011" s="558"/>
    </row>
    <row r="2012" spans="1:7">
      <c r="A2012" s="368"/>
      <c r="B2012" s="427">
        <f t="shared" si="10"/>
        <v>10</v>
      </c>
      <c r="C2012" s="560"/>
      <c r="D2012" s="560"/>
      <c r="E2012" s="405"/>
      <c r="F2012" s="406"/>
      <c r="G2012" s="558"/>
    </row>
    <row r="2013" spans="1:7">
      <c r="A2013" s="368"/>
      <c r="B2013" s="427">
        <f t="shared" si="10"/>
        <v>11</v>
      </c>
      <c r="C2013" s="560"/>
      <c r="D2013" s="560"/>
      <c r="E2013" s="405"/>
      <c r="F2013" s="406"/>
      <c r="G2013" s="558"/>
    </row>
    <row r="2014" spans="1:7">
      <c r="A2014" s="368"/>
      <c r="B2014" s="427">
        <f t="shared" si="10"/>
        <v>12</v>
      </c>
      <c r="C2014" s="560"/>
      <c r="D2014" s="560"/>
      <c r="E2014" s="405"/>
      <c r="F2014" s="406"/>
      <c r="G2014" s="558"/>
    </row>
    <row r="2015" spans="1:7">
      <c r="A2015" s="368"/>
      <c r="B2015" s="427">
        <f t="shared" si="10"/>
        <v>13</v>
      </c>
      <c r="C2015" s="560"/>
      <c r="D2015" s="560"/>
      <c r="E2015" s="405"/>
      <c r="F2015" s="406"/>
      <c r="G2015" s="558"/>
    </row>
    <row r="2016" spans="1:7">
      <c r="A2016" s="368"/>
      <c r="B2016" s="427">
        <f t="shared" si="10"/>
        <v>14</v>
      </c>
      <c r="C2016" s="560"/>
      <c r="D2016" s="560"/>
      <c r="E2016" s="405"/>
      <c r="F2016" s="406"/>
      <c r="G2016" s="558"/>
    </row>
    <row r="2017" spans="1:7">
      <c r="A2017" s="368"/>
      <c r="B2017" s="428">
        <f t="shared" si="10"/>
        <v>15</v>
      </c>
      <c r="C2017" s="561"/>
      <c r="D2017" s="562"/>
      <c r="E2017" s="429"/>
      <c r="F2017" s="430"/>
      <c r="G2017" s="559"/>
    </row>
    <row r="2018" spans="1:7">
      <c r="A2018" s="368"/>
    </row>
    <row r="2019" spans="1:7">
      <c r="A2019" s="392" t="s">
        <v>56</v>
      </c>
      <c r="B2019" s="4"/>
      <c r="C2019" s="547" t="s">
        <v>20</v>
      </c>
      <c r="D2019" s="548"/>
      <c r="E2019" s="455" t="s">
        <v>21</v>
      </c>
      <c r="F2019" s="455" t="s">
        <v>22</v>
      </c>
      <c r="G2019" s="61" t="s">
        <v>23</v>
      </c>
    </row>
    <row r="2020" spans="1:7">
      <c r="A2020" s="393"/>
      <c r="B2020" s="369"/>
      <c r="C2020" s="549" t="s">
        <v>1846</v>
      </c>
      <c r="D2020" s="550"/>
      <c r="E2020" s="62">
        <f>SUM(E2021:E2035)</f>
        <v>10</v>
      </c>
      <c r="F2020" s="62">
        <f>SUM(F2021:F2035)</f>
        <v>10</v>
      </c>
      <c r="G2020" s="551"/>
    </row>
    <row r="2021" spans="1:7" outlineLevel="1">
      <c r="A2021" s="393"/>
      <c r="B2021" s="370">
        <v>1</v>
      </c>
      <c r="C2021" s="553" t="s">
        <v>1847</v>
      </c>
      <c r="D2021" s="554"/>
      <c r="E2021" s="49">
        <v>6</v>
      </c>
      <c r="F2021" s="49">
        <v>6</v>
      </c>
      <c r="G2021" s="551"/>
    </row>
    <row r="2022" spans="1:7" outlineLevel="1">
      <c r="A2022" s="393"/>
      <c r="B2022" s="370">
        <v>2</v>
      </c>
      <c r="C2022" s="553" t="s">
        <v>1543</v>
      </c>
      <c r="D2022" s="554"/>
      <c r="E2022" s="49">
        <v>0.25</v>
      </c>
      <c r="F2022" s="49">
        <v>0.25</v>
      </c>
      <c r="G2022" s="551"/>
    </row>
    <row r="2023" spans="1:7" outlineLevel="1">
      <c r="A2023" s="393"/>
      <c r="B2023" s="370">
        <v>3</v>
      </c>
      <c r="C2023" s="553" t="s">
        <v>1513</v>
      </c>
      <c r="D2023" s="554"/>
      <c r="E2023" s="49">
        <v>1</v>
      </c>
      <c r="F2023" s="49">
        <v>1</v>
      </c>
      <c r="G2023" s="551"/>
    </row>
    <row r="2024" spans="1:7" outlineLevel="1">
      <c r="A2024" s="393"/>
      <c r="B2024" s="370">
        <v>4</v>
      </c>
      <c r="C2024" s="553" t="s">
        <v>1545</v>
      </c>
      <c r="D2024" s="554"/>
      <c r="E2024" s="50">
        <v>0.25</v>
      </c>
      <c r="F2024" s="50">
        <v>0.25</v>
      </c>
      <c r="G2024" s="551"/>
    </row>
    <row r="2025" spans="1:7" outlineLevel="1">
      <c r="A2025" s="393"/>
      <c r="B2025" s="370">
        <v>5</v>
      </c>
      <c r="C2025" s="553" t="s">
        <v>1513</v>
      </c>
      <c r="D2025" s="554"/>
      <c r="E2025" s="49">
        <v>2.25</v>
      </c>
      <c r="F2025" s="49">
        <v>2.25</v>
      </c>
      <c r="G2025" s="551"/>
    </row>
    <row r="2026" spans="1:7" outlineLevel="1">
      <c r="A2026" s="393"/>
      <c r="B2026" s="370">
        <v>6</v>
      </c>
      <c r="C2026" s="553" t="s">
        <v>1848</v>
      </c>
      <c r="D2026" s="554"/>
      <c r="E2026" s="49">
        <v>0.25</v>
      </c>
      <c r="F2026" s="49">
        <v>0.25</v>
      </c>
      <c r="G2026" s="551"/>
    </row>
    <row r="2027" spans="1:7" outlineLevel="1">
      <c r="A2027" s="393"/>
      <c r="B2027" s="370">
        <v>7</v>
      </c>
      <c r="C2027" s="553"/>
      <c r="D2027" s="554"/>
      <c r="E2027" s="49"/>
      <c r="F2027" s="49"/>
      <c r="G2027" s="551"/>
    </row>
    <row r="2028" spans="1:7" outlineLevel="1">
      <c r="A2028" s="393"/>
      <c r="B2028" s="370">
        <v>8</v>
      </c>
      <c r="C2028" s="553"/>
      <c r="D2028" s="554"/>
      <c r="E2028" s="49"/>
      <c r="F2028" s="49"/>
      <c r="G2028" s="551"/>
    </row>
    <row r="2029" spans="1:7" outlineLevel="1">
      <c r="A2029" s="393"/>
      <c r="B2029" s="370">
        <v>9</v>
      </c>
      <c r="C2029" s="553"/>
      <c r="D2029" s="554"/>
      <c r="E2029" s="49"/>
      <c r="F2029" s="49"/>
      <c r="G2029" s="551"/>
    </row>
    <row r="2030" spans="1:7" outlineLevel="1">
      <c r="A2030" s="393"/>
      <c r="B2030" s="370">
        <v>10</v>
      </c>
      <c r="C2030" s="553"/>
      <c r="D2030" s="554"/>
      <c r="E2030" s="49"/>
      <c r="F2030" s="49"/>
      <c r="G2030" s="551"/>
    </row>
    <row r="2031" spans="1:7" outlineLevel="1">
      <c r="A2031" s="393"/>
      <c r="B2031" s="370">
        <v>11</v>
      </c>
      <c r="C2031" s="553"/>
      <c r="D2031" s="554"/>
      <c r="E2031" s="49"/>
      <c r="F2031" s="49"/>
      <c r="G2031" s="551"/>
    </row>
    <row r="2032" spans="1:7" outlineLevel="1">
      <c r="A2032" s="393"/>
      <c r="B2032" s="370">
        <v>12</v>
      </c>
      <c r="C2032" s="553"/>
      <c r="D2032" s="554"/>
      <c r="E2032" s="49"/>
      <c r="F2032" s="49"/>
      <c r="G2032" s="551"/>
    </row>
    <row r="2033" spans="1:7" outlineLevel="1">
      <c r="A2033" s="393"/>
      <c r="B2033" s="370">
        <v>13</v>
      </c>
      <c r="C2033" s="553"/>
      <c r="D2033" s="554"/>
      <c r="E2033" s="49"/>
      <c r="F2033" s="49"/>
      <c r="G2033" s="551"/>
    </row>
    <row r="2034" spans="1:7" outlineLevel="1">
      <c r="A2034" s="393"/>
      <c r="B2034" s="370">
        <v>14</v>
      </c>
      <c r="C2034" s="553"/>
      <c r="D2034" s="554"/>
      <c r="E2034" s="49"/>
      <c r="F2034" s="49"/>
      <c r="G2034" s="551"/>
    </row>
    <row r="2035" spans="1:7" outlineLevel="1">
      <c r="A2035" s="394"/>
      <c r="B2035" s="371">
        <v>15</v>
      </c>
      <c r="C2035" s="555"/>
      <c r="D2035" s="556"/>
      <c r="E2035" s="51"/>
      <c r="F2035" s="51"/>
      <c r="G2035" s="552"/>
    </row>
    <row r="2036" spans="1:7">
      <c r="A2036" s="368"/>
    </row>
    <row r="2037" spans="1:7">
      <c r="A2037" s="392" t="s">
        <v>56</v>
      </c>
      <c r="B2037" s="4"/>
      <c r="C2037" s="547" t="s">
        <v>20</v>
      </c>
      <c r="D2037" s="548"/>
      <c r="E2037" s="456" t="s">
        <v>21</v>
      </c>
      <c r="F2037" s="456" t="s">
        <v>22</v>
      </c>
      <c r="G2037" s="61" t="s">
        <v>23</v>
      </c>
    </row>
    <row r="2038" spans="1:7">
      <c r="A2038" s="393"/>
      <c r="B2038" s="369"/>
      <c r="C2038" s="549" t="s">
        <v>1851</v>
      </c>
      <c r="D2038" s="550"/>
      <c r="E2038" s="62">
        <f>SUM(E2039:E2053)</f>
        <v>3.25</v>
      </c>
      <c r="F2038" s="62">
        <f>SUM(F2039:F2053)</f>
        <v>4</v>
      </c>
      <c r="G2038" s="551" t="s">
        <v>1855</v>
      </c>
    </row>
    <row r="2039" spans="1:7" outlineLevel="1">
      <c r="A2039" s="393"/>
      <c r="B2039" s="370">
        <v>1</v>
      </c>
      <c r="C2039" s="566" t="s">
        <v>1865</v>
      </c>
      <c r="D2039" s="554"/>
      <c r="E2039" s="49">
        <v>0.5</v>
      </c>
      <c r="F2039" s="49">
        <v>0.5</v>
      </c>
      <c r="G2039" s="551"/>
    </row>
    <row r="2040" spans="1:7" outlineLevel="1">
      <c r="A2040" s="393"/>
      <c r="B2040" s="370">
        <v>2</v>
      </c>
      <c r="C2040" s="566" t="s">
        <v>1852</v>
      </c>
      <c r="D2040" s="554"/>
      <c r="E2040" s="49">
        <v>1</v>
      </c>
      <c r="F2040" s="49">
        <v>1.25</v>
      </c>
      <c r="G2040" s="551"/>
    </row>
    <row r="2041" spans="1:7" outlineLevel="1">
      <c r="A2041" s="393"/>
      <c r="B2041" s="370">
        <v>3</v>
      </c>
      <c r="C2041" s="566" t="s">
        <v>1853</v>
      </c>
      <c r="D2041" s="554"/>
      <c r="E2041" s="49">
        <v>0.15</v>
      </c>
      <c r="F2041" s="49">
        <v>0.25</v>
      </c>
      <c r="G2041" s="551"/>
    </row>
    <row r="2042" spans="1:7" outlineLevel="1">
      <c r="A2042" s="393"/>
      <c r="B2042" s="370">
        <v>4</v>
      </c>
      <c r="C2042" s="566" t="s">
        <v>1854</v>
      </c>
      <c r="D2042" s="554"/>
      <c r="E2042" s="49">
        <v>0.75</v>
      </c>
      <c r="F2042" s="49">
        <v>1</v>
      </c>
      <c r="G2042" s="551"/>
    </row>
    <row r="2043" spans="1:7" outlineLevel="1">
      <c r="A2043" s="393"/>
      <c r="B2043" s="370">
        <v>5</v>
      </c>
      <c r="C2043" s="566" t="s">
        <v>1606</v>
      </c>
      <c r="D2043" s="554"/>
      <c r="E2043" s="49">
        <v>0.25</v>
      </c>
      <c r="F2043" s="49">
        <v>0.25</v>
      </c>
      <c r="G2043" s="551"/>
    </row>
    <row r="2044" spans="1:7" outlineLevel="1">
      <c r="A2044" s="393"/>
      <c r="B2044" s="370">
        <v>6</v>
      </c>
      <c r="C2044" s="566" t="s">
        <v>1543</v>
      </c>
      <c r="D2044" s="554"/>
      <c r="E2044" s="49">
        <v>0.25</v>
      </c>
      <c r="F2044" s="49">
        <v>0.25</v>
      </c>
      <c r="G2044" s="551"/>
    </row>
    <row r="2045" spans="1:7" outlineLevel="1">
      <c r="A2045" s="393"/>
      <c r="B2045" s="370">
        <v>7</v>
      </c>
      <c r="C2045" s="566" t="s">
        <v>1544</v>
      </c>
      <c r="D2045" s="554"/>
      <c r="E2045" s="49">
        <v>0.1</v>
      </c>
      <c r="F2045" s="49">
        <v>0.25</v>
      </c>
      <c r="G2045" s="551"/>
    </row>
    <row r="2046" spans="1:7" outlineLevel="1">
      <c r="A2046" s="393"/>
      <c r="B2046" s="370">
        <v>8</v>
      </c>
      <c r="C2046" s="566" t="s">
        <v>1581</v>
      </c>
      <c r="D2046" s="554"/>
      <c r="E2046" s="49">
        <v>0.25</v>
      </c>
      <c r="F2046" s="49">
        <v>0.25</v>
      </c>
      <c r="G2046" s="551"/>
    </row>
    <row r="2047" spans="1:7" outlineLevel="1">
      <c r="A2047" s="393"/>
      <c r="B2047" s="370">
        <v>9</v>
      </c>
      <c r="C2047" s="553"/>
      <c r="D2047" s="554"/>
      <c r="E2047" s="49"/>
      <c r="F2047" s="49"/>
      <c r="G2047" s="551"/>
    </row>
    <row r="2048" spans="1:7" outlineLevel="1">
      <c r="A2048" s="393"/>
      <c r="B2048" s="370">
        <v>10</v>
      </c>
      <c r="C2048" s="553"/>
      <c r="D2048" s="554"/>
      <c r="E2048" s="49"/>
      <c r="F2048" s="49"/>
      <c r="G2048" s="551"/>
    </row>
    <row r="2049" spans="1:7" outlineLevel="1">
      <c r="A2049" s="393"/>
      <c r="B2049" s="370">
        <v>11</v>
      </c>
      <c r="C2049" s="553"/>
      <c r="D2049" s="554"/>
      <c r="E2049" s="49"/>
      <c r="F2049" s="49"/>
      <c r="G2049" s="551"/>
    </row>
    <row r="2050" spans="1:7" outlineLevel="1">
      <c r="A2050" s="393"/>
      <c r="B2050" s="370">
        <v>12</v>
      </c>
      <c r="C2050" s="553"/>
      <c r="D2050" s="554"/>
      <c r="E2050" s="49"/>
      <c r="F2050" s="49"/>
      <c r="G2050" s="551"/>
    </row>
    <row r="2051" spans="1:7" outlineLevel="1">
      <c r="A2051" s="393"/>
      <c r="B2051" s="370">
        <v>13</v>
      </c>
      <c r="C2051" s="553"/>
      <c r="D2051" s="554"/>
      <c r="E2051" s="49"/>
      <c r="F2051" s="49"/>
      <c r="G2051" s="551"/>
    </row>
    <row r="2052" spans="1:7" outlineLevel="1">
      <c r="A2052" s="393"/>
      <c r="B2052" s="370">
        <v>14</v>
      </c>
      <c r="C2052" s="553"/>
      <c r="D2052" s="554"/>
      <c r="E2052" s="49"/>
      <c r="F2052" s="49"/>
      <c r="G2052" s="551"/>
    </row>
    <row r="2053" spans="1:7" outlineLevel="1">
      <c r="A2053" s="394"/>
      <c r="B2053" s="371">
        <v>15</v>
      </c>
      <c r="C2053" s="555"/>
      <c r="D2053" s="556"/>
      <c r="E2053" s="51"/>
      <c r="F2053" s="51"/>
      <c r="G2053" s="552"/>
    </row>
    <row r="2054" spans="1:7">
      <c r="A2054" s="368"/>
    </row>
    <row r="2055" spans="1:7">
      <c r="A2055" s="392" t="s">
        <v>56</v>
      </c>
      <c r="B2055" s="4"/>
      <c r="C2055" s="547" t="s">
        <v>20</v>
      </c>
      <c r="D2055" s="548"/>
      <c r="E2055" s="456" t="s">
        <v>21</v>
      </c>
      <c r="F2055" s="456" t="s">
        <v>22</v>
      </c>
      <c r="G2055" s="61" t="s">
        <v>23</v>
      </c>
    </row>
    <row r="2056" spans="1:7">
      <c r="A2056" s="393"/>
      <c r="B2056" s="369"/>
      <c r="C2056" s="549" t="s">
        <v>1856</v>
      </c>
      <c r="D2056" s="550"/>
      <c r="E2056" s="62">
        <f>SUM(E2057:E2071)</f>
        <v>4.75</v>
      </c>
      <c r="F2056" s="62">
        <f>SUM(F2057:F2071)</f>
        <v>5.5</v>
      </c>
      <c r="G2056" s="551" t="s">
        <v>1857</v>
      </c>
    </row>
    <row r="2057" spans="1:7" outlineLevel="1">
      <c r="A2057" s="393"/>
      <c r="B2057" s="370">
        <v>1</v>
      </c>
      <c r="C2057" s="566" t="s">
        <v>1865</v>
      </c>
      <c r="D2057" s="554"/>
      <c r="E2057" s="49">
        <v>0.75</v>
      </c>
      <c r="F2057" s="49">
        <v>0.75</v>
      </c>
      <c r="G2057" s="551"/>
    </row>
    <row r="2058" spans="1:7" outlineLevel="1">
      <c r="A2058" s="393"/>
      <c r="B2058" s="370">
        <v>2</v>
      </c>
      <c r="C2058" s="566" t="s">
        <v>1852</v>
      </c>
      <c r="D2058" s="554"/>
      <c r="E2058" s="49">
        <v>1.5</v>
      </c>
      <c r="F2058" s="49">
        <v>2</v>
      </c>
      <c r="G2058" s="551"/>
    </row>
    <row r="2059" spans="1:7" outlineLevel="1">
      <c r="A2059" s="393"/>
      <c r="B2059" s="370">
        <v>3</v>
      </c>
      <c r="C2059" s="566" t="s">
        <v>1853</v>
      </c>
      <c r="D2059" s="554"/>
      <c r="E2059" s="49">
        <v>0.25</v>
      </c>
      <c r="F2059" s="49">
        <v>0.25</v>
      </c>
      <c r="G2059" s="551"/>
    </row>
    <row r="2060" spans="1:7" outlineLevel="1">
      <c r="A2060" s="393"/>
      <c r="B2060" s="370">
        <v>4</v>
      </c>
      <c r="C2060" s="566" t="s">
        <v>1854</v>
      </c>
      <c r="D2060" s="554"/>
      <c r="E2060" s="49">
        <v>1.25</v>
      </c>
      <c r="F2060" s="49">
        <v>1.5</v>
      </c>
      <c r="G2060" s="551"/>
    </row>
    <row r="2061" spans="1:7" outlineLevel="1">
      <c r="A2061" s="393"/>
      <c r="B2061" s="370">
        <v>5</v>
      </c>
      <c r="C2061" s="566" t="s">
        <v>1606</v>
      </c>
      <c r="D2061" s="554"/>
      <c r="E2061" s="49">
        <v>0.25</v>
      </c>
      <c r="F2061" s="49">
        <v>0.25</v>
      </c>
      <c r="G2061" s="551"/>
    </row>
    <row r="2062" spans="1:7" outlineLevel="1">
      <c r="A2062" s="393"/>
      <c r="B2062" s="370">
        <v>6</v>
      </c>
      <c r="C2062" s="566" t="s">
        <v>1543</v>
      </c>
      <c r="D2062" s="554"/>
      <c r="E2062" s="49">
        <v>0.25</v>
      </c>
      <c r="F2062" s="49">
        <v>0.25</v>
      </c>
      <c r="G2062" s="551"/>
    </row>
    <row r="2063" spans="1:7" outlineLevel="1">
      <c r="A2063" s="393"/>
      <c r="B2063" s="370">
        <v>7</v>
      </c>
      <c r="C2063" s="566" t="s">
        <v>1544</v>
      </c>
      <c r="D2063" s="554"/>
      <c r="E2063" s="49">
        <v>0.25</v>
      </c>
      <c r="F2063" s="49">
        <v>0.25</v>
      </c>
      <c r="G2063" s="551"/>
    </row>
    <row r="2064" spans="1:7" outlineLevel="1">
      <c r="A2064" s="393"/>
      <c r="B2064" s="370">
        <v>8</v>
      </c>
      <c r="C2064" s="566" t="s">
        <v>1581</v>
      </c>
      <c r="D2064" s="554"/>
      <c r="E2064" s="49">
        <v>0.25</v>
      </c>
      <c r="F2064" s="49">
        <v>0.25</v>
      </c>
      <c r="G2064" s="551"/>
    </row>
    <row r="2065" spans="1:7" outlineLevel="1">
      <c r="A2065" s="393"/>
      <c r="B2065" s="370">
        <v>9</v>
      </c>
      <c r="C2065" s="553"/>
      <c r="D2065" s="554"/>
      <c r="E2065" s="49"/>
      <c r="F2065" s="49"/>
      <c r="G2065" s="551"/>
    </row>
    <row r="2066" spans="1:7" outlineLevel="1">
      <c r="A2066" s="393"/>
      <c r="B2066" s="370">
        <v>10</v>
      </c>
      <c r="C2066" s="553"/>
      <c r="D2066" s="554"/>
      <c r="E2066" s="49"/>
      <c r="F2066" s="49"/>
      <c r="G2066" s="551"/>
    </row>
    <row r="2067" spans="1:7" outlineLevel="1">
      <c r="A2067" s="393"/>
      <c r="B2067" s="370">
        <v>11</v>
      </c>
      <c r="C2067" s="553"/>
      <c r="D2067" s="554"/>
      <c r="E2067" s="49"/>
      <c r="F2067" s="49"/>
      <c r="G2067" s="551"/>
    </row>
    <row r="2068" spans="1:7" outlineLevel="1">
      <c r="A2068" s="393"/>
      <c r="B2068" s="370">
        <v>12</v>
      </c>
      <c r="C2068" s="553"/>
      <c r="D2068" s="554"/>
      <c r="E2068" s="49"/>
      <c r="F2068" s="49"/>
      <c r="G2068" s="551"/>
    </row>
    <row r="2069" spans="1:7" outlineLevel="1">
      <c r="A2069" s="393"/>
      <c r="B2069" s="370">
        <v>13</v>
      </c>
      <c r="C2069" s="553"/>
      <c r="D2069" s="554"/>
      <c r="E2069" s="49"/>
      <c r="F2069" s="49"/>
      <c r="G2069" s="551"/>
    </row>
    <row r="2070" spans="1:7" outlineLevel="1">
      <c r="A2070" s="393"/>
      <c r="B2070" s="370">
        <v>14</v>
      </c>
      <c r="C2070" s="553"/>
      <c r="D2070" s="554"/>
      <c r="E2070" s="49"/>
      <c r="F2070" s="49"/>
      <c r="G2070" s="551"/>
    </row>
    <row r="2071" spans="1:7" outlineLevel="1">
      <c r="A2071" s="394"/>
      <c r="B2071" s="371">
        <v>15</v>
      </c>
      <c r="C2071" s="555"/>
      <c r="D2071" s="556"/>
      <c r="E2071" s="51"/>
      <c r="F2071" s="51"/>
      <c r="G2071" s="552"/>
    </row>
    <row r="2072" spans="1:7">
      <c r="A2072" s="368"/>
    </row>
    <row r="2073" spans="1:7">
      <c r="A2073" s="392" t="s">
        <v>56</v>
      </c>
      <c r="B2073" s="4"/>
      <c r="C2073" s="547" t="s">
        <v>20</v>
      </c>
      <c r="D2073" s="548"/>
      <c r="E2073" s="456" t="s">
        <v>21</v>
      </c>
      <c r="F2073" s="456" t="s">
        <v>22</v>
      </c>
      <c r="G2073" s="61" t="s">
        <v>23</v>
      </c>
    </row>
    <row r="2074" spans="1:7">
      <c r="A2074" s="393"/>
      <c r="B2074" s="369"/>
      <c r="C2074" s="549" t="s">
        <v>1858</v>
      </c>
      <c r="D2074" s="550"/>
      <c r="E2074" s="62">
        <f>SUM(E2075:E2089)</f>
        <v>6.25</v>
      </c>
      <c r="F2074" s="62">
        <f>SUM(F2075:F2089)</f>
        <v>8</v>
      </c>
      <c r="G2074" s="551"/>
    </row>
    <row r="2075" spans="1:7" outlineLevel="1">
      <c r="A2075" s="393"/>
      <c r="B2075" s="370">
        <v>1</v>
      </c>
      <c r="C2075" s="566" t="s">
        <v>1865</v>
      </c>
      <c r="D2075" s="554"/>
      <c r="E2075" s="49">
        <v>1</v>
      </c>
      <c r="F2075" s="49">
        <v>1</v>
      </c>
      <c r="G2075" s="551"/>
    </row>
    <row r="2076" spans="1:7" outlineLevel="1">
      <c r="A2076" s="393"/>
      <c r="B2076" s="370">
        <v>2</v>
      </c>
      <c r="C2076" s="566" t="s">
        <v>1852</v>
      </c>
      <c r="D2076" s="554"/>
      <c r="E2076" s="49">
        <v>2</v>
      </c>
      <c r="F2076" s="49">
        <v>2.5</v>
      </c>
      <c r="G2076" s="551"/>
    </row>
    <row r="2077" spans="1:7" outlineLevel="1">
      <c r="A2077" s="393"/>
      <c r="B2077" s="370">
        <v>3</v>
      </c>
      <c r="C2077" s="566" t="s">
        <v>1853</v>
      </c>
      <c r="D2077" s="554"/>
      <c r="E2077" s="49">
        <v>0.25</v>
      </c>
      <c r="F2077" s="49">
        <v>0.25</v>
      </c>
      <c r="G2077" s="551"/>
    </row>
    <row r="2078" spans="1:7" outlineLevel="1">
      <c r="A2078" s="393"/>
      <c r="B2078" s="370">
        <v>4</v>
      </c>
      <c r="C2078" s="566" t="s">
        <v>1854</v>
      </c>
      <c r="D2078" s="554"/>
      <c r="E2078" s="49">
        <v>1.75</v>
      </c>
      <c r="F2078" s="49">
        <v>2.75</v>
      </c>
      <c r="G2078" s="551"/>
    </row>
    <row r="2079" spans="1:7" outlineLevel="1">
      <c r="A2079" s="393"/>
      <c r="B2079" s="370">
        <v>5</v>
      </c>
      <c r="C2079" s="566" t="s">
        <v>1606</v>
      </c>
      <c r="D2079" s="554"/>
      <c r="E2079" s="49">
        <v>0.5</v>
      </c>
      <c r="F2079" s="49">
        <v>0.75</v>
      </c>
      <c r="G2079" s="551"/>
    </row>
    <row r="2080" spans="1:7" outlineLevel="1">
      <c r="A2080" s="393"/>
      <c r="B2080" s="370">
        <v>6</v>
      </c>
      <c r="C2080" s="566" t="s">
        <v>1543</v>
      </c>
      <c r="D2080" s="554"/>
      <c r="E2080" s="49">
        <v>0.25</v>
      </c>
      <c r="F2080" s="49">
        <v>0.25</v>
      </c>
      <c r="G2080" s="551"/>
    </row>
    <row r="2081" spans="1:7" outlineLevel="1">
      <c r="A2081" s="393"/>
      <c r="B2081" s="370">
        <v>7</v>
      </c>
      <c r="C2081" s="566" t="s">
        <v>1544</v>
      </c>
      <c r="D2081" s="554"/>
      <c r="E2081" s="49">
        <v>0.25</v>
      </c>
      <c r="F2081" s="49">
        <v>0.25</v>
      </c>
      <c r="G2081" s="551"/>
    </row>
    <row r="2082" spans="1:7" outlineLevel="1">
      <c r="A2082" s="393"/>
      <c r="B2082" s="370">
        <v>8</v>
      </c>
      <c r="C2082" s="566" t="s">
        <v>1581</v>
      </c>
      <c r="D2082" s="554"/>
      <c r="E2082" s="49">
        <v>0.25</v>
      </c>
      <c r="F2082" s="49">
        <v>0.25</v>
      </c>
      <c r="G2082" s="551"/>
    </row>
    <row r="2083" spans="1:7" outlineLevel="1">
      <c r="A2083" s="393"/>
      <c r="B2083" s="370">
        <v>9</v>
      </c>
      <c r="C2083" s="553"/>
      <c r="D2083" s="554"/>
      <c r="E2083" s="49"/>
      <c r="F2083" s="49"/>
      <c r="G2083" s="551"/>
    </row>
    <row r="2084" spans="1:7" outlineLevel="1">
      <c r="A2084" s="393"/>
      <c r="B2084" s="370">
        <v>10</v>
      </c>
      <c r="C2084" s="553"/>
      <c r="D2084" s="554"/>
      <c r="E2084" s="49"/>
      <c r="F2084" s="49"/>
      <c r="G2084" s="551"/>
    </row>
    <row r="2085" spans="1:7" outlineLevel="1">
      <c r="A2085" s="393"/>
      <c r="B2085" s="370">
        <v>11</v>
      </c>
      <c r="C2085" s="553"/>
      <c r="D2085" s="554"/>
      <c r="E2085" s="49"/>
      <c r="F2085" s="49"/>
      <c r="G2085" s="551"/>
    </row>
    <row r="2086" spans="1:7" outlineLevel="1">
      <c r="A2086" s="393"/>
      <c r="B2086" s="370">
        <v>12</v>
      </c>
      <c r="C2086" s="553"/>
      <c r="D2086" s="554"/>
      <c r="E2086" s="49"/>
      <c r="F2086" s="49"/>
      <c r="G2086" s="551"/>
    </row>
    <row r="2087" spans="1:7" outlineLevel="1">
      <c r="A2087" s="393"/>
      <c r="B2087" s="370">
        <v>13</v>
      </c>
      <c r="C2087" s="553"/>
      <c r="D2087" s="554"/>
      <c r="E2087" s="49"/>
      <c r="F2087" s="49"/>
      <c r="G2087" s="551"/>
    </row>
    <row r="2088" spans="1:7" outlineLevel="1">
      <c r="A2088" s="393"/>
      <c r="B2088" s="370">
        <v>14</v>
      </c>
      <c r="C2088" s="553"/>
      <c r="D2088" s="554"/>
      <c r="E2088" s="49"/>
      <c r="F2088" s="49"/>
      <c r="G2088" s="551"/>
    </row>
    <row r="2089" spans="1:7" outlineLevel="1">
      <c r="A2089" s="394"/>
      <c r="B2089" s="371">
        <v>15</v>
      </c>
      <c r="C2089" s="555"/>
      <c r="D2089" s="556"/>
      <c r="E2089" s="51"/>
      <c r="F2089" s="51"/>
      <c r="G2089" s="552"/>
    </row>
    <row r="2090" spans="1:7">
      <c r="A2090" s="368"/>
    </row>
    <row r="2091" spans="1:7">
      <c r="A2091" s="392" t="s">
        <v>56</v>
      </c>
      <c r="B2091" s="4"/>
      <c r="C2091" s="547" t="s">
        <v>20</v>
      </c>
      <c r="D2091" s="548"/>
      <c r="E2091" s="456" t="s">
        <v>21</v>
      </c>
      <c r="F2091" s="456" t="s">
        <v>22</v>
      </c>
      <c r="G2091" s="61" t="s">
        <v>23</v>
      </c>
    </row>
    <row r="2092" spans="1:7">
      <c r="A2092" s="393"/>
      <c r="B2092" s="369"/>
      <c r="C2092" s="549" t="s">
        <v>1859</v>
      </c>
      <c r="D2092" s="550"/>
      <c r="E2092" s="62">
        <f>SUM(E2093:E2107)</f>
        <v>0</v>
      </c>
      <c r="F2092" s="62">
        <f>SUM(F2093:F2107)</f>
        <v>0</v>
      </c>
      <c r="G2092" s="551"/>
    </row>
    <row r="2093" spans="1:7" outlineLevel="1">
      <c r="A2093" s="393"/>
      <c r="B2093" s="370">
        <v>1</v>
      </c>
      <c r="C2093" s="553"/>
      <c r="D2093" s="554"/>
      <c r="E2093" s="49"/>
      <c r="F2093" s="49"/>
      <c r="G2093" s="551"/>
    </row>
    <row r="2094" spans="1:7" outlineLevel="1">
      <c r="A2094" s="393"/>
      <c r="B2094" s="370">
        <v>2</v>
      </c>
      <c r="C2094" s="553"/>
      <c r="D2094" s="554"/>
      <c r="E2094" s="49"/>
      <c r="F2094" s="49"/>
      <c r="G2094" s="551"/>
    </row>
    <row r="2095" spans="1:7" outlineLevel="1">
      <c r="A2095" s="393"/>
      <c r="B2095" s="370">
        <v>3</v>
      </c>
      <c r="C2095" s="553"/>
      <c r="D2095" s="554"/>
      <c r="E2095" s="49"/>
      <c r="F2095" s="49"/>
      <c r="G2095" s="551"/>
    </row>
    <row r="2096" spans="1:7" outlineLevel="1">
      <c r="A2096" s="393"/>
      <c r="B2096" s="370">
        <v>4</v>
      </c>
      <c r="C2096" s="553"/>
      <c r="D2096" s="554"/>
      <c r="E2096" s="50"/>
      <c r="F2096" s="50"/>
      <c r="G2096" s="551"/>
    </row>
    <row r="2097" spans="1:7" outlineLevel="1">
      <c r="A2097" s="393"/>
      <c r="B2097" s="370">
        <v>5</v>
      </c>
      <c r="C2097" s="553"/>
      <c r="D2097" s="554"/>
      <c r="E2097" s="49"/>
      <c r="F2097" s="49"/>
      <c r="G2097" s="551"/>
    </row>
    <row r="2098" spans="1:7" outlineLevel="1">
      <c r="A2098" s="393"/>
      <c r="B2098" s="370">
        <v>6</v>
      </c>
      <c r="C2098" s="553"/>
      <c r="D2098" s="554"/>
      <c r="E2098" s="49"/>
      <c r="F2098" s="49"/>
      <c r="G2098" s="551"/>
    </row>
    <row r="2099" spans="1:7" outlineLevel="1">
      <c r="A2099" s="393"/>
      <c r="B2099" s="370">
        <v>7</v>
      </c>
      <c r="C2099" s="553"/>
      <c r="D2099" s="554"/>
      <c r="E2099" s="49"/>
      <c r="F2099" s="49"/>
      <c r="G2099" s="551"/>
    </row>
    <row r="2100" spans="1:7" outlineLevel="1">
      <c r="A2100" s="393"/>
      <c r="B2100" s="370">
        <v>8</v>
      </c>
      <c r="C2100" s="553"/>
      <c r="D2100" s="554"/>
      <c r="E2100" s="49"/>
      <c r="F2100" s="49"/>
      <c r="G2100" s="551"/>
    </row>
    <row r="2101" spans="1:7" outlineLevel="1">
      <c r="A2101" s="393"/>
      <c r="B2101" s="370">
        <v>9</v>
      </c>
      <c r="C2101" s="553"/>
      <c r="D2101" s="554"/>
      <c r="E2101" s="49"/>
      <c r="F2101" s="49"/>
      <c r="G2101" s="551"/>
    </row>
    <row r="2102" spans="1:7" outlineLevel="1">
      <c r="A2102" s="393"/>
      <c r="B2102" s="370">
        <v>10</v>
      </c>
      <c r="C2102" s="553"/>
      <c r="D2102" s="554"/>
      <c r="E2102" s="49"/>
      <c r="F2102" s="49"/>
      <c r="G2102" s="551"/>
    </row>
    <row r="2103" spans="1:7" outlineLevel="1">
      <c r="A2103" s="393"/>
      <c r="B2103" s="370">
        <v>11</v>
      </c>
      <c r="C2103" s="553"/>
      <c r="D2103" s="554"/>
      <c r="E2103" s="49"/>
      <c r="F2103" s="49"/>
      <c r="G2103" s="551"/>
    </row>
    <row r="2104" spans="1:7" outlineLevel="1">
      <c r="A2104" s="393"/>
      <c r="B2104" s="370">
        <v>12</v>
      </c>
      <c r="C2104" s="553"/>
      <c r="D2104" s="554"/>
      <c r="E2104" s="49"/>
      <c r="F2104" s="49"/>
      <c r="G2104" s="551"/>
    </row>
    <row r="2105" spans="1:7" outlineLevel="1">
      <c r="A2105" s="393"/>
      <c r="B2105" s="370">
        <v>13</v>
      </c>
      <c r="C2105" s="553"/>
      <c r="D2105" s="554"/>
      <c r="E2105" s="49"/>
      <c r="F2105" s="49"/>
      <c r="G2105" s="551"/>
    </row>
    <row r="2106" spans="1:7" outlineLevel="1">
      <c r="A2106" s="393"/>
      <c r="B2106" s="370">
        <v>14</v>
      </c>
      <c r="C2106" s="553"/>
      <c r="D2106" s="554"/>
      <c r="E2106" s="49"/>
      <c r="F2106" s="49"/>
      <c r="G2106" s="551"/>
    </row>
    <row r="2107" spans="1:7" outlineLevel="1">
      <c r="A2107" s="394"/>
      <c r="B2107" s="371">
        <v>15</v>
      </c>
      <c r="C2107" s="555"/>
      <c r="D2107" s="556"/>
      <c r="E2107" s="51"/>
      <c r="F2107" s="51"/>
      <c r="G2107" s="552"/>
    </row>
    <row r="2108" spans="1:7">
      <c r="A2108" s="368"/>
    </row>
    <row r="2109" spans="1:7">
      <c r="A2109" s="392" t="s">
        <v>56</v>
      </c>
      <c r="B2109" s="4"/>
      <c r="C2109" s="547" t="s">
        <v>20</v>
      </c>
      <c r="D2109" s="548"/>
      <c r="E2109" s="464" t="s">
        <v>21</v>
      </c>
      <c r="F2109" s="464" t="s">
        <v>22</v>
      </c>
      <c r="G2109" s="61" t="s">
        <v>23</v>
      </c>
    </row>
    <row r="2110" spans="1:7">
      <c r="A2110" s="393"/>
      <c r="B2110" s="369"/>
      <c r="C2110" s="549" t="s">
        <v>1871</v>
      </c>
      <c r="D2110" s="550"/>
      <c r="E2110" s="62">
        <f>SUM(E2111:E2125)</f>
        <v>2</v>
      </c>
      <c r="F2110" s="62">
        <f>SUM(F2111:F2125)</f>
        <v>3.25</v>
      </c>
      <c r="G2110" s="551"/>
    </row>
    <row r="2111" spans="1:7" outlineLevel="1">
      <c r="A2111" s="393"/>
      <c r="B2111" s="370">
        <v>1</v>
      </c>
      <c r="C2111" s="553" t="s">
        <v>1866</v>
      </c>
      <c r="D2111" s="554"/>
      <c r="E2111" s="49">
        <v>0.5</v>
      </c>
      <c r="F2111" s="49">
        <v>0.75</v>
      </c>
      <c r="G2111" s="551"/>
    </row>
    <row r="2112" spans="1:7" outlineLevel="1">
      <c r="A2112" s="393"/>
      <c r="B2112" s="370">
        <v>2</v>
      </c>
      <c r="C2112" s="553" t="s">
        <v>1867</v>
      </c>
      <c r="D2112" s="554"/>
      <c r="E2112" s="49">
        <v>0.5</v>
      </c>
      <c r="F2112" s="49">
        <v>0.75</v>
      </c>
      <c r="G2112" s="551"/>
    </row>
    <row r="2113" spans="1:7" outlineLevel="1">
      <c r="A2113" s="393"/>
      <c r="B2113" s="370">
        <v>3</v>
      </c>
      <c r="C2113" s="553" t="s">
        <v>1868</v>
      </c>
      <c r="D2113" s="554"/>
      <c r="E2113" s="49">
        <v>0.25</v>
      </c>
      <c r="F2113" s="49">
        <v>0.5</v>
      </c>
      <c r="G2113" s="551"/>
    </row>
    <row r="2114" spans="1:7" outlineLevel="1">
      <c r="A2114" s="393"/>
      <c r="B2114" s="370">
        <v>4</v>
      </c>
      <c r="C2114" s="553" t="s">
        <v>1869</v>
      </c>
      <c r="D2114" s="554"/>
      <c r="E2114" s="50">
        <v>0.25</v>
      </c>
      <c r="F2114" s="50">
        <v>0.5</v>
      </c>
      <c r="G2114" s="551"/>
    </row>
    <row r="2115" spans="1:7" outlineLevel="1">
      <c r="A2115" s="393"/>
      <c r="B2115" s="370">
        <v>5</v>
      </c>
      <c r="C2115" s="553" t="s">
        <v>1870</v>
      </c>
      <c r="D2115" s="554"/>
      <c r="E2115" s="49">
        <v>0.5</v>
      </c>
      <c r="F2115" s="49">
        <v>0.75</v>
      </c>
      <c r="G2115" s="551"/>
    </row>
    <row r="2116" spans="1:7" outlineLevel="1">
      <c r="A2116" s="393"/>
      <c r="B2116" s="370">
        <v>6</v>
      </c>
      <c r="C2116" s="553"/>
      <c r="D2116" s="554"/>
      <c r="E2116" s="49"/>
      <c r="F2116" s="49"/>
      <c r="G2116" s="551"/>
    </row>
    <row r="2117" spans="1:7" outlineLevel="1">
      <c r="A2117" s="393"/>
      <c r="B2117" s="370">
        <v>7</v>
      </c>
      <c r="C2117" s="553"/>
      <c r="D2117" s="554"/>
      <c r="E2117" s="49"/>
      <c r="F2117" s="49"/>
      <c r="G2117" s="551"/>
    </row>
    <row r="2118" spans="1:7" outlineLevel="1">
      <c r="A2118" s="393"/>
      <c r="B2118" s="370">
        <v>8</v>
      </c>
      <c r="C2118" s="553"/>
      <c r="D2118" s="554"/>
      <c r="E2118" s="49"/>
      <c r="F2118" s="49"/>
      <c r="G2118" s="551"/>
    </row>
    <row r="2119" spans="1:7" outlineLevel="1">
      <c r="A2119" s="393"/>
      <c r="B2119" s="370">
        <v>9</v>
      </c>
      <c r="C2119" s="553"/>
      <c r="D2119" s="554"/>
      <c r="E2119" s="49"/>
      <c r="F2119" s="49"/>
      <c r="G2119" s="551"/>
    </row>
    <row r="2120" spans="1:7" outlineLevel="1">
      <c r="A2120" s="393"/>
      <c r="B2120" s="370">
        <v>10</v>
      </c>
      <c r="C2120" s="553"/>
      <c r="D2120" s="554"/>
      <c r="E2120" s="49"/>
      <c r="F2120" s="49"/>
      <c r="G2120" s="551"/>
    </row>
    <row r="2121" spans="1:7" outlineLevel="1">
      <c r="A2121" s="393"/>
      <c r="B2121" s="370">
        <v>11</v>
      </c>
      <c r="C2121" s="553"/>
      <c r="D2121" s="554"/>
      <c r="E2121" s="49"/>
      <c r="F2121" s="49"/>
      <c r="G2121" s="551"/>
    </row>
    <row r="2122" spans="1:7" outlineLevel="1">
      <c r="A2122" s="393"/>
      <c r="B2122" s="370">
        <v>12</v>
      </c>
      <c r="C2122" s="553"/>
      <c r="D2122" s="554"/>
      <c r="E2122" s="49"/>
      <c r="F2122" s="49"/>
      <c r="G2122" s="551"/>
    </row>
    <row r="2123" spans="1:7" outlineLevel="1">
      <c r="A2123" s="393"/>
      <c r="B2123" s="370">
        <v>13</v>
      </c>
      <c r="C2123" s="553"/>
      <c r="D2123" s="554"/>
      <c r="E2123" s="49"/>
      <c r="F2123" s="49"/>
      <c r="G2123" s="551"/>
    </row>
    <row r="2124" spans="1:7" outlineLevel="1">
      <c r="A2124" s="393"/>
      <c r="B2124" s="370">
        <v>14</v>
      </c>
      <c r="C2124" s="553"/>
      <c r="D2124" s="554"/>
      <c r="E2124" s="49"/>
      <c r="F2124" s="49"/>
      <c r="G2124" s="551"/>
    </row>
    <row r="2125" spans="1:7" outlineLevel="1">
      <c r="A2125" s="394"/>
      <c r="B2125" s="371">
        <v>15</v>
      </c>
      <c r="C2125" s="555"/>
      <c r="D2125" s="556"/>
      <c r="E2125" s="51"/>
      <c r="F2125" s="51"/>
      <c r="G2125" s="552"/>
    </row>
    <row r="2126" spans="1:7">
      <c r="A2126" s="368"/>
    </row>
    <row r="2127" spans="1:7">
      <c r="A2127" s="368"/>
    </row>
    <row r="2128" spans="1:7">
      <c r="A2128" s="368"/>
    </row>
    <row r="2129" spans="1:1">
      <c r="A2129" s="368"/>
    </row>
    <row r="2130" spans="1:1">
      <c r="A2130" s="368"/>
    </row>
    <row r="2131" spans="1:1">
      <c r="A2131" s="368"/>
    </row>
    <row r="2132" spans="1:1">
      <c r="A2132" s="368"/>
    </row>
    <row r="2133" spans="1:1">
      <c r="A2133" s="368"/>
    </row>
    <row r="2134" spans="1:1">
      <c r="A2134" s="368"/>
    </row>
    <row r="2135" spans="1:1">
      <c r="A2135" s="368"/>
    </row>
    <row r="2136" spans="1:1">
      <c r="A2136" s="368"/>
    </row>
    <row r="2137" spans="1:1">
      <c r="A2137" s="368"/>
    </row>
    <row r="2138" spans="1:1">
      <c r="A2138" s="368"/>
    </row>
    <row r="2139" spans="1:1">
      <c r="A2139" s="368"/>
    </row>
    <row r="2140" spans="1:1">
      <c r="A2140" s="368"/>
    </row>
    <row r="2141" spans="1:1">
      <c r="A2141" s="368"/>
    </row>
    <row r="2142" spans="1:1">
      <c r="A2142" s="368"/>
    </row>
    <row r="2143" spans="1:1">
      <c r="A2143" s="368"/>
    </row>
    <row r="2144" spans="1:1">
      <c r="A2144" s="368"/>
    </row>
    <row r="2145" spans="1:1">
      <c r="A2145" s="368"/>
    </row>
    <row r="2146" spans="1:1">
      <c r="A2146" s="368"/>
    </row>
    <row r="2147" spans="1:1">
      <c r="A2147" s="368"/>
    </row>
    <row r="2148" spans="1:1">
      <c r="A2148" s="368"/>
    </row>
    <row r="2149" spans="1:1">
      <c r="A2149" s="368"/>
    </row>
    <row r="2150" spans="1:1">
      <c r="A2150" s="368"/>
    </row>
    <row r="2151" spans="1:1">
      <c r="A2151" s="368"/>
    </row>
    <row r="2152" spans="1:1">
      <c r="A2152" s="368"/>
    </row>
    <row r="2153" spans="1:1">
      <c r="A2153" s="368"/>
    </row>
    <row r="2154" spans="1:1">
      <c r="A2154" s="368"/>
    </row>
    <row r="2155" spans="1:1">
      <c r="A2155" s="368"/>
    </row>
    <row r="2156" spans="1:1">
      <c r="A2156" s="368"/>
    </row>
    <row r="2157" spans="1:1">
      <c r="A2157" s="368"/>
    </row>
    <row r="2158" spans="1:1">
      <c r="A2158" s="368"/>
    </row>
    <row r="2159" spans="1:1">
      <c r="A2159" s="368"/>
    </row>
    <row r="2160" spans="1:1">
      <c r="A2160" s="368"/>
    </row>
    <row r="2161" spans="1:1">
      <c r="A2161" s="368"/>
    </row>
    <row r="2162" spans="1:1">
      <c r="A2162" s="368"/>
    </row>
    <row r="2163" spans="1:1">
      <c r="A2163" s="368"/>
    </row>
    <row r="2164" spans="1:1">
      <c r="A2164" s="368"/>
    </row>
    <row r="2165" spans="1:1">
      <c r="A2165" s="368"/>
    </row>
    <row r="2166" spans="1:1">
      <c r="A2166" s="368"/>
    </row>
    <row r="2167" spans="1:1">
      <c r="A2167" s="368"/>
    </row>
    <row r="2168" spans="1:1">
      <c r="A2168" s="368"/>
    </row>
    <row r="2169" spans="1:1">
      <c r="A2169" s="368"/>
    </row>
    <row r="2170" spans="1:1">
      <c r="A2170" s="368"/>
    </row>
    <row r="2171" spans="1:1">
      <c r="A2171" s="368"/>
    </row>
    <row r="2172" spans="1:1">
      <c r="A2172" s="368"/>
    </row>
    <row r="2173" spans="1:1">
      <c r="A2173" s="368"/>
    </row>
    <row r="2174" spans="1:1">
      <c r="A2174" s="368"/>
    </row>
    <row r="2175" spans="1:1">
      <c r="A2175" s="368"/>
    </row>
    <row r="2176" spans="1:1">
      <c r="A2176" s="368"/>
    </row>
    <row r="2177" spans="1:1">
      <c r="A2177" s="368"/>
    </row>
    <row r="2178" spans="1:1">
      <c r="A2178" s="368"/>
    </row>
    <row r="2179" spans="1:1">
      <c r="A2179" s="368"/>
    </row>
    <row r="2180" spans="1:1">
      <c r="A2180" s="368"/>
    </row>
    <row r="2181" spans="1:1">
      <c r="A2181" s="368"/>
    </row>
    <row r="2182" spans="1:1">
      <c r="A2182" s="368"/>
    </row>
    <row r="2183" spans="1:1">
      <c r="A2183" s="368"/>
    </row>
    <row r="2184" spans="1:1">
      <c r="A2184" s="368"/>
    </row>
    <row r="2185" spans="1:1">
      <c r="A2185" s="368"/>
    </row>
    <row r="2186" spans="1:1">
      <c r="A2186" s="368"/>
    </row>
    <row r="2187" spans="1:1">
      <c r="A2187" s="368"/>
    </row>
    <row r="2188" spans="1:1">
      <c r="A2188" s="368"/>
    </row>
    <row r="2189" spans="1:1">
      <c r="A2189" s="368"/>
    </row>
    <row r="2190" spans="1:1">
      <c r="A2190" s="368"/>
    </row>
    <row r="2191" spans="1:1">
      <c r="A2191" s="368"/>
    </row>
    <row r="2192" spans="1:1">
      <c r="A2192" s="368"/>
    </row>
    <row r="2193" spans="1:1">
      <c r="A2193" s="368"/>
    </row>
    <row r="2194" spans="1:1">
      <c r="A2194" s="368"/>
    </row>
    <row r="2195" spans="1:1">
      <c r="A2195" s="368"/>
    </row>
    <row r="2196" spans="1:1">
      <c r="A2196" s="368"/>
    </row>
    <row r="2197" spans="1:1">
      <c r="A2197" s="368"/>
    </row>
    <row r="2198" spans="1:1">
      <c r="A2198" s="368"/>
    </row>
    <row r="2199" spans="1:1">
      <c r="A2199" s="368"/>
    </row>
    <row r="2200" spans="1:1">
      <c r="A2200" s="368"/>
    </row>
    <row r="2201" spans="1:1">
      <c r="A2201" s="368"/>
    </row>
    <row r="2202" spans="1:1">
      <c r="A2202" s="368"/>
    </row>
    <row r="2203" spans="1:1">
      <c r="A2203" s="368"/>
    </row>
    <row r="2204" spans="1:1">
      <c r="A2204" s="368"/>
    </row>
    <row r="2205" spans="1:1">
      <c r="A2205" s="368"/>
    </row>
    <row r="2206" spans="1:1">
      <c r="A2206" s="368"/>
    </row>
    <row r="2207" spans="1:1">
      <c r="A2207" s="368"/>
    </row>
    <row r="2208" spans="1:1">
      <c r="A2208" s="368"/>
    </row>
    <row r="2209" spans="1:1">
      <c r="A2209" s="368"/>
    </row>
    <row r="2210" spans="1:1">
      <c r="A2210" s="368"/>
    </row>
    <row r="2211" spans="1:1">
      <c r="A2211" s="368"/>
    </row>
    <row r="2212" spans="1:1">
      <c r="A2212" s="368"/>
    </row>
    <row r="2213" spans="1:1">
      <c r="A2213" s="368"/>
    </row>
    <row r="2214" spans="1:1">
      <c r="A2214" s="368"/>
    </row>
    <row r="2215" spans="1:1">
      <c r="A2215" s="368"/>
    </row>
    <row r="2216" spans="1:1">
      <c r="A2216" s="368"/>
    </row>
    <row r="2217" spans="1:1">
      <c r="A2217" s="368"/>
    </row>
    <row r="2218" spans="1:1">
      <c r="A2218" s="368"/>
    </row>
    <row r="2219" spans="1:1">
      <c r="A2219" s="368"/>
    </row>
    <row r="2220" spans="1:1">
      <c r="A2220" s="368"/>
    </row>
    <row r="2221" spans="1:1">
      <c r="A2221" s="368"/>
    </row>
    <row r="2222" spans="1:1">
      <c r="A2222" s="368"/>
    </row>
    <row r="2223" spans="1:1">
      <c r="A2223" s="368"/>
    </row>
    <row r="2224" spans="1:1">
      <c r="A2224" s="368"/>
    </row>
    <row r="2225" spans="1:1">
      <c r="A2225" s="368"/>
    </row>
    <row r="2226" spans="1:1">
      <c r="A2226" s="368"/>
    </row>
    <row r="2227" spans="1:1">
      <c r="A2227" s="368"/>
    </row>
    <row r="2228" spans="1:1">
      <c r="A2228" s="368"/>
    </row>
    <row r="2229" spans="1:1">
      <c r="A2229" s="368"/>
    </row>
    <row r="2230" spans="1:1">
      <c r="A2230" s="368"/>
    </row>
    <row r="2231" spans="1:1">
      <c r="A2231" s="368"/>
    </row>
    <row r="2232" spans="1:1">
      <c r="A2232" s="368"/>
    </row>
    <row r="2233" spans="1:1">
      <c r="A2233" s="368"/>
    </row>
    <row r="2234" spans="1:1">
      <c r="A2234" s="368"/>
    </row>
    <row r="2235" spans="1:1">
      <c r="A2235" s="368"/>
    </row>
    <row r="2236" spans="1:1">
      <c r="A2236" s="368"/>
    </row>
    <row r="2237" spans="1:1">
      <c r="A2237" s="368"/>
    </row>
    <row r="2238" spans="1:1">
      <c r="A2238" s="368"/>
    </row>
    <row r="2239" spans="1:1">
      <c r="A2239" s="368"/>
    </row>
    <row r="2240" spans="1:1">
      <c r="A2240" s="368"/>
    </row>
    <row r="2241" spans="1:1">
      <c r="A2241" s="368"/>
    </row>
    <row r="2242" spans="1:1">
      <c r="A2242" s="368"/>
    </row>
    <row r="2243" spans="1:1">
      <c r="A2243" s="368"/>
    </row>
    <row r="2244" spans="1:1">
      <c r="A2244" s="368"/>
    </row>
    <row r="2245" spans="1:1">
      <c r="A2245" s="368"/>
    </row>
    <row r="2246" spans="1:1">
      <c r="A2246" s="368"/>
    </row>
    <row r="2247" spans="1:1">
      <c r="A2247" s="368"/>
    </row>
    <row r="2248" spans="1:1">
      <c r="A2248" s="368"/>
    </row>
    <row r="2249" spans="1:1">
      <c r="A2249" s="368"/>
    </row>
    <row r="2250" spans="1:1">
      <c r="A2250" s="368"/>
    </row>
    <row r="2251" spans="1:1">
      <c r="A2251" s="368"/>
    </row>
    <row r="2252" spans="1:1">
      <c r="A2252" s="368"/>
    </row>
    <row r="2253" spans="1:1">
      <c r="A2253" s="368"/>
    </row>
    <row r="2254" spans="1:1">
      <c r="A2254" s="368"/>
    </row>
    <row r="2255" spans="1:1">
      <c r="A2255" s="368"/>
    </row>
    <row r="2256" spans="1:1">
      <c r="A2256" s="368"/>
    </row>
    <row r="2257" spans="1:1">
      <c r="A2257" s="368"/>
    </row>
    <row r="2258" spans="1:1">
      <c r="A2258" s="368"/>
    </row>
    <row r="2259" spans="1:1">
      <c r="A2259" s="368"/>
    </row>
    <row r="2260" spans="1:1">
      <c r="A2260" s="368"/>
    </row>
    <row r="2261" spans="1:1">
      <c r="A2261" s="368"/>
    </row>
    <row r="2262" spans="1:1">
      <c r="A2262" s="368"/>
    </row>
    <row r="2263" spans="1:1">
      <c r="A2263" s="368"/>
    </row>
    <row r="2264" spans="1:1">
      <c r="A2264" s="368"/>
    </row>
    <row r="2265" spans="1:1">
      <c r="A2265" s="368"/>
    </row>
    <row r="2266" spans="1:1">
      <c r="A2266" s="368"/>
    </row>
    <row r="2267" spans="1:1">
      <c r="A2267" s="368"/>
    </row>
    <row r="2268" spans="1:1">
      <c r="A2268" s="368"/>
    </row>
    <row r="2269" spans="1:1">
      <c r="A2269" s="368"/>
    </row>
    <row r="2270" spans="1:1">
      <c r="A2270" s="368"/>
    </row>
    <row r="2271" spans="1:1">
      <c r="A2271" s="368"/>
    </row>
    <row r="2272" spans="1:1">
      <c r="A2272" s="368"/>
    </row>
    <row r="2273" spans="1:1">
      <c r="A2273" s="368"/>
    </row>
    <row r="2274" spans="1:1">
      <c r="A2274" s="368"/>
    </row>
    <row r="2275" spans="1:1">
      <c r="A2275" s="368"/>
    </row>
    <row r="2276" spans="1:1">
      <c r="A2276" s="368"/>
    </row>
    <row r="2277" spans="1:1">
      <c r="A2277" s="368"/>
    </row>
    <row r="2278" spans="1:1">
      <c r="A2278" s="368"/>
    </row>
    <row r="2279" spans="1:1">
      <c r="A2279" s="368"/>
    </row>
    <row r="2280" spans="1:1">
      <c r="A2280" s="368"/>
    </row>
    <row r="2281" spans="1:1">
      <c r="A2281" s="368"/>
    </row>
    <row r="2282" spans="1:1">
      <c r="A2282" s="368"/>
    </row>
    <row r="2283" spans="1:1">
      <c r="A2283" s="368"/>
    </row>
    <row r="2284" spans="1:1">
      <c r="A2284" s="368"/>
    </row>
    <row r="2285" spans="1:1">
      <c r="A2285" s="368"/>
    </row>
    <row r="2286" spans="1:1">
      <c r="A2286" s="368"/>
    </row>
    <row r="2287" spans="1:1">
      <c r="A2287" s="368"/>
    </row>
    <row r="2288" spans="1:1">
      <c r="A2288" s="368"/>
    </row>
    <row r="2289" spans="1:1">
      <c r="A2289" s="368"/>
    </row>
    <row r="2290" spans="1:1">
      <c r="A2290" s="368"/>
    </row>
    <row r="2291" spans="1:1">
      <c r="A2291" s="368"/>
    </row>
    <row r="2292" spans="1:1">
      <c r="A2292" s="368"/>
    </row>
    <row r="2293" spans="1:1">
      <c r="A2293" s="368"/>
    </row>
    <row r="2294" spans="1:1">
      <c r="A2294" s="368"/>
    </row>
    <row r="2295" spans="1:1">
      <c r="A2295" s="368"/>
    </row>
    <row r="2296" spans="1:1">
      <c r="A2296" s="368"/>
    </row>
    <row r="2297" spans="1:1">
      <c r="A2297" s="368"/>
    </row>
    <row r="2298" spans="1:1">
      <c r="A2298" s="368"/>
    </row>
    <row r="2299" spans="1:1">
      <c r="A2299" s="368"/>
    </row>
    <row r="2300" spans="1:1">
      <c r="A2300" s="368"/>
    </row>
    <row r="2301" spans="1:1">
      <c r="A2301" s="368"/>
    </row>
    <row r="2302" spans="1:1">
      <c r="A2302" s="368"/>
    </row>
    <row r="2303" spans="1:1">
      <c r="A2303" s="368"/>
    </row>
    <row r="2304" spans="1:1">
      <c r="A2304" s="368"/>
    </row>
    <row r="2305" spans="1:1">
      <c r="A2305" s="368"/>
    </row>
    <row r="2306" spans="1:1">
      <c r="A2306" s="368"/>
    </row>
    <row r="2307" spans="1:1">
      <c r="A2307" s="368"/>
    </row>
    <row r="2308" spans="1:1">
      <c r="A2308" s="368"/>
    </row>
    <row r="2309" spans="1:1">
      <c r="A2309" s="368"/>
    </row>
    <row r="2310" spans="1:1">
      <c r="A2310" s="368"/>
    </row>
    <row r="2311" spans="1:1">
      <c r="A2311" s="368"/>
    </row>
    <row r="2312" spans="1:1">
      <c r="A2312" s="368"/>
    </row>
    <row r="2313" spans="1:1">
      <c r="A2313" s="368"/>
    </row>
    <row r="2314" spans="1:1">
      <c r="A2314" s="368"/>
    </row>
    <row r="2315" spans="1:1">
      <c r="A2315" s="368"/>
    </row>
    <row r="2316" spans="1:1">
      <c r="A2316" s="368"/>
    </row>
    <row r="2317" spans="1:1">
      <c r="A2317" s="368"/>
    </row>
    <row r="2318" spans="1:1">
      <c r="A2318" s="368"/>
    </row>
    <row r="2319" spans="1:1">
      <c r="A2319" s="368"/>
    </row>
    <row r="2320" spans="1:1">
      <c r="A2320" s="368"/>
    </row>
    <row r="2321" spans="1:1">
      <c r="A2321" s="368"/>
    </row>
    <row r="2322" spans="1:1">
      <c r="A2322" s="368"/>
    </row>
    <row r="2323" spans="1:1">
      <c r="A2323" s="368"/>
    </row>
    <row r="2324" spans="1:1">
      <c r="A2324" s="368"/>
    </row>
    <row r="2325" spans="1:1">
      <c r="A2325" s="368"/>
    </row>
    <row r="2326" spans="1:1">
      <c r="A2326" s="368"/>
    </row>
    <row r="2327" spans="1:1">
      <c r="A2327" s="368"/>
    </row>
    <row r="2328" spans="1:1">
      <c r="A2328" s="368"/>
    </row>
    <row r="2329" spans="1:1">
      <c r="A2329" s="368"/>
    </row>
    <row r="2330" spans="1:1">
      <c r="A2330" s="368"/>
    </row>
    <row r="2331" spans="1:1">
      <c r="A2331" s="368"/>
    </row>
    <row r="2332" spans="1:1">
      <c r="A2332" s="368"/>
    </row>
    <row r="2333" spans="1:1">
      <c r="A2333" s="368"/>
    </row>
    <row r="2334" spans="1:1">
      <c r="A2334" s="368"/>
    </row>
    <row r="2335" spans="1:1">
      <c r="A2335" s="368"/>
    </row>
    <row r="2336" spans="1:1">
      <c r="A2336" s="368"/>
    </row>
    <row r="2337" spans="1:1">
      <c r="A2337" s="368"/>
    </row>
    <row r="2338" spans="1:1">
      <c r="A2338" s="368"/>
    </row>
    <row r="2339" spans="1:1">
      <c r="A2339" s="368"/>
    </row>
    <row r="2340" spans="1:1">
      <c r="A2340" s="368"/>
    </row>
    <row r="2341" spans="1:1">
      <c r="A2341" s="368"/>
    </row>
    <row r="2342" spans="1:1">
      <c r="A2342" s="368"/>
    </row>
    <row r="2343" spans="1:1">
      <c r="A2343" s="368"/>
    </row>
    <row r="2344" spans="1:1">
      <c r="A2344" s="368"/>
    </row>
    <row r="2345" spans="1:1">
      <c r="A2345" s="368"/>
    </row>
    <row r="2346" spans="1:1">
      <c r="A2346" s="368"/>
    </row>
    <row r="2347" spans="1:1">
      <c r="A2347" s="368"/>
    </row>
    <row r="2348" spans="1:1">
      <c r="A2348" s="368"/>
    </row>
    <row r="2349" spans="1:1">
      <c r="A2349" s="368"/>
    </row>
    <row r="2350" spans="1:1">
      <c r="A2350" s="368"/>
    </row>
    <row r="2351" spans="1:1">
      <c r="A2351" s="368"/>
    </row>
    <row r="2352" spans="1:1">
      <c r="A2352" s="368"/>
    </row>
    <row r="2353" spans="1:1">
      <c r="A2353" s="368"/>
    </row>
    <row r="2354" spans="1:1">
      <c r="A2354" s="368"/>
    </row>
    <row r="2355" spans="1:1">
      <c r="A2355" s="368"/>
    </row>
    <row r="2356" spans="1:1">
      <c r="A2356" s="368"/>
    </row>
    <row r="2357" spans="1:1">
      <c r="A2357" s="368"/>
    </row>
    <row r="2358" spans="1:1">
      <c r="A2358" s="368"/>
    </row>
    <row r="2359" spans="1:1">
      <c r="A2359" s="368"/>
    </row>
    <row r="2360" spans="1:1">
      <c r="A2360" s="368"/>
    </row>
    <row r="2361" spans="1:1">
      <c r="A2361" s="368"/>
    </row>
    <row r="2362" spans="1:1">
      <c r="A2362" s="368"/>
    </row>
    <row r="2363" spans="1:1">
      <c r="A2363" s="368"/>
    </row>
    <row r="2364" spans="1:1">
      <c r="A2364" s="368"/>
    </row>
    <row r="2365" spans="1:1">
      <c r="A2365" s="368"/>
    </row>
    <row r="2366" spans="1:1">
      <c r="A2366" s="368"/>
    </row>
    <row r="2367" spans="1:1">
      <c r="A2367" s="368"/>
    </row>
    <row r="2368" spans="1:1">
      <c r="A2368" s="368"/>
    </row>
    <row r="2369" spans="1:1">
      <c r="A2369" s="368"/>
    </row>
    <row r="2370" spans="1:1">
      <c r="A2370" s="368"/>
    </row>
    <row r="2371" spans="1:1">
      <c r="A2371" s="368"/>
    </row>
    <row r="2372" spans="1:1">
      <c r="A2372" s="368"/>
    </row>
    <row r="2373" spans="1:1">
      <c r="A2373" s="368"/>
    </row>
    <row r="2374" spans="1:1">
      <c r="A2374" s="368"/>
    </row>
    <row r="2375" spans="1:1">
      <c r="A2375" s="368"/>
    </row>
    <row r="2376" spans="1:1">
      <c r="A2376" s="368"/>
    </row>
    <row r="2377" spans="1:1">
      <c r="A2377" s="368"/>
    </row>
    <row r="2378" spans="1:1">
      <c r="A2378" s="368"/>
    </row>
    <row r="2379" spans="1:1">
      <c r="A2379" s="368"/>
    </row>
    <row r="2380" spans="1:1">
      <c r="A2380" s="368"/>
    </row>
    <row r="2381" spans="1:1">
      <c r="A2381" s="368"/>
    </row>
    <row r="2382" spans="1:1">
      <c r="A2382" s="368"/>
    </row>
    <row r="2383" spans="1:1">
      <c r="A2383" s="368"/>
    </row>
    <row r="2384" spans="1:1">
      <c r="A2384" s="368"/>
    </row>
    <row r="2385" spans="1:1">
      <c r="A2385" s="368"/>
    </row>
    <row r="2386" spans="1:1">
      <c r="A2386" s="368"/>
    </row>
    <row r="2387" spans="1:1">
      <c r="A2387" s="368"/>
    </row>
    <row r="2388" spans="1:1">
      <c r="A2388" s="368"/>
    </row>
    <row r="2389" spans="1:1">
      <c r="A2389" s="368"/>
    </row>
    <row r="2390" spans="1:1">
      <c r="A2390" s="368"/>
    </row>
    <row r="2391" spans="1:1">
      <c r="A2391" s="368"/>
    </row>
    <row r="2392" spans="1:1">
      <c r="A2392" s="368"/>
    </row>
    <row r="2393" spans="1:1">
      <c r="A2393" s="368"/>
    </row>
    <row r="2394" spans="1:1">
      <c r="A2394" s="368"/>
    </row>
    <row r="2395" spans="1:1">
      <c r="A2395" s="368"/>
    </row>
    <row r="2396" spans="1:1">
      <c r="A2396" s="368"/>
    </row>
    <row r="2397" spans="1:1">
      <c r="A2397" s="368"/>
    </row>
    <row r="2398" spans="1:1">
      <c r="A2398" s="368"/>
    </row>
    <row r="2399" spans="1:1">
      <c r="A2399" s="368"/>
    </row>
    <row r="2400" spans="1:1">
      <c r="A2400" s="368"/>
    </row>
    <row r="2401" spans="1:1">
      <c r="A2401" s="368"/>
    </row>
    <row r="2402" spans="1:1">
      <c r="A2402" s="368"/>
    </row>
    <row r="2403" spans="1:1">
      <c r="A2403" s="368"/>
    </row>
    <row r="2404" spans="1:1">
      <c r="A2404" s="368"/>
    </row>
    <row r="2405" spans="1:1">
      <c r="A2405" s="368"/>
    </row>
    <row r="2406" spans="1:1">
      <c r="A2406" s="368"/>
    </row>
    <row r="2407" spans="1:1">
      <c r="A2407" s="368"/>
    </row>
    <row r="2408" spans="1:1">
      <c r="A2408" s="368"/>
    </row>
    <row r="2409" spans="1:1">
      <c r="A2409" s="368"/>
    </row>
    <row r="2410" spans="1:1">
      <c r="A2410" s="368"/>
    </row>
    <row r="2411" spans="1:1">
      <c r="A2411" s="368"/>
    </row>
    <row r="2412" spans="1:1">
      <c r="A2412" s="368"/>
    </row>
    <row r="2413" spans="1:1">
      <c r="A2413" s="368"/>
    </row>
    <row r="2414" spans="1:1">
      <c r="A2414" s="368"/>
    </row>
    <row r="2415" spans="1:1">
      <c r="A2415" s="368"/>
    </row>
    <row r="2416" spans="1:1">
      <c r="A2416" s="368"/>
    </row>
    <row r="2417" spans="1:1">
      <c r="A2417" s="368"/>
    </row>
    <row r="2418" spans="1:1">
      <c r="A2418" s="368"/>
    </row>
    <row r="2419" spans="1:1">
      <c r="A2419" s="368"/>
    </row>
    <row r="2420" spans="1:1">
      <c r="A2420" s="368"/>
    </row>
    <row r="2421" spans="1:1">
      <c r="A2421" s="368"/>
    </row>
    <row r="2422" spans="1:1">
      <c r="A2422" s="368"/>
    </row>
    <row r="2423" spans="1:1">
      <c r="A2423" s="368"/>
    </row>
    <row r="2424" spans="1:1">
      <c r="A2424" s="368"/>
    </row>
    <row r="2425" spans="1:1">
      <c r="A2425" s="368"/>
    </row>
    <row r="2426" spans="1:1">
      <c r="A2426" s="368"/>
    </row>
    <row r="2427" spans="1:1">
      <c r="A2427" s="368"/>
    </row>
    <row r="2428" spans="1:1">
      <c r="A2428" s="368"/>
    </row>
    <row r="2429" spans="1:1">
      <c r="A2429" s="368"/>
    </row>
    <row r="2430" spans="1:1">
      <c r="A2430" s="368"/>
    </row>
    <row r="2431" spans="1:1">
      <c r="A2431" s="368"/>
    </row>
    <row r="2432" spans="1:1">
      <c r="A2432" s="368"/>
    </row>
    <row r="2433" spans="1:1">
      <c r="A2433" s="368"/>
    </row>
    <row r="2434" spans="1:1">
      <c r="A2434" s="368"/>
    </row>
    <row r="2435" spans="1:1">
      <c r="A2435" s="368"/>
    </row>
    <row r="2436" spans="1:1">
      <c r="A2436" s="368"/>
    </row>
    <row r="2437" spans="1:1">
      <c r="A2437" s="368"/>
    </row>
    <row r="2438" spans="1:1">
      <c r="A2438" s="368"/>
    </row>
    <row r="2439" spans="1:1">
      <c r="A2439" s="368"/>
    </row>
    <row r="2440" spans="1:1">
      <c r="A2440" s="368"/>
    </row>
    <row r="2441" spans="1:1">
      <c r="A2441" s="368"/>
    </row>
    <row r="2442" spans="1:1">
      <c r="A2442" s="368"/>
    </row>
    <row r="2443" spans="1:1">
      <c r="A2443" s="368"/>
    </row>
    <row r="2444" spans="1:1">
      <c r="A2444" s="368"/>
    </row>
    <row r="2445" spans="1:1">
      <c r="A2445" s="368"/>
    </row>
    <row r="2446" spans="1:1">
      <c r="A2446" s="368"/>
    </row>
    <row r="2447" spans="1:1">
      <c r="A2447" s="368"/>
    </row>
    <row r="2448" spans="1:1">
      <c r="A2448" s="368"/>
    </row>
    <row r="2449" spans="1:1">
      <c r="A2449" s="368"/>
    </row>
    <row r="2450" spans="1:1">
      <c r="A2450" s="368"/>
    </row>
    <row r="2451" spans="1:1">
      <c r="A2451" s="368"/>
    </row>
    <row r="2452" spans="1:1">
      <c r="A2452" s="368"/>
    </row>
    <row r="2453" spans="1:1">
      <c r="A2453" s="368"/>
    </row>
    <row r="2454" spans="1:1">
      <c r="A2454" s="368"/>
    </row>
    <row r="2455" spans="1:1">
      <c r="A2455" s="368"/>
    </row>
    <row r="2456" spans="1:1">
      <c r="A2456" s="368"/>
    </row>
    <row r="2457" spans="1:1">
      <c r="A2457" s="368"/>
    </row>
    <row r="2458" spans="1:1">
      <c r="A2458" s="368"/>
    </row>
    <row r="2459" spans="1:1">
      <c r="A2459" s="368"/>
    </row>
    <row r="2460" spans="1:1">
      <c r="A2460" s="368"/>
    </row>
    <row r="2461" spans="1:1">
      <c r="A2461" s="368"/>
    </row>
    <row r="2462" spans="1:1">
      <c r="A2462" s="368"/>
    </row>
    <row r="2463" spans="1:1">
      <c r="A2463" s="368"/>
    </row>
    <row r="2464" spans="1:1">
      <c r="A2464" s="368"/>
    </row>
    <row r="2465" spans="1:1">
      <c r="A2465" s="368"/>
    </row>
    <row r="2466" spans="1:1">
      <c r="A2466" s="368"/>
    </row>
    <row r="2467" spans="1:1">
      <c r="A2467" s="368"/>
    </row>
    <row r="2468" spans="1:1">
      <c r="A2468" s="368"/>
    </row>
    <row r="2469" spans="1:1">
      <c r="A2469" s="368"/>
    </row>
    <row r="2470" spans="1:1">
      <c r="A2470" s="368"/>
    </row>
    <row r="2471" spans="1:1">
      <c r="A2471" s="368"/>
    </row>
    <row r="2472" spans="1:1">
      <c r="A2472" s="368"/>
    </row>
    <row r="2473" spans="1:1">
      <c r="A2473" s="368"/>
    </row>
    <row r="2474" spans="1:1">
      <c r="A2474" s="368"/>
    </row>
    <row r="2475" spans="1:1">
      <c r="A2475" s="368"/>
    </row>
    <row r="2476" spans="1:1">
      <c r="A2476" s="368"/>
    </row>
    <row r="2477" spans="1:1">
      <c r="A2477" s="368"/>
    </row>
    <row r="2478" spans="1:1">
      <c r="A2478" s="368"/>
    </row>
    <row r="2479" spans="1:1">
      <c r="A2479" s="368"/>
    </row>
    <row r="2480" spans="1:1">
      <c r="A2480" s="368"/>
    </row>
    <row r="2481" spans="1:1">
      <c r="A2481" s="368"/>
    </row>
    <row r="2482" spans="1:1">
      <c r="A2482" s="368"/>
    </row>
    <row r="2483" spans="1:1">
      <c r="A2483" s="368"/>
    </row>
    <row r="2484" spans="1:1">
      <c r="A2484" s="368"/>
    </row>
    <row r="2485" spans="1:1">
      <c r="A2485" s="368"/>
    </row>
    <row r="2486" spans="1:1">
      <c r="A2486" s="368"/>
    </row>
    <row r="2487" spans="1:1">
      <c r="A2487" s="368"/>
    </row>
    <row r="2488" spans="1:1">
      <c r="A2488" s="368"/>
    </row>
    <row r="2489" spans="1:1">
      <c r="A2489" s="368"/>
    </row>
    <row r="2490" spans="1:1">
      <c r="A2490" s="368"/>
    </row>
    <row r="2491" spans="1:1">
      <c r="A2491" s="368"/>
    </row>
    <row r="2492" spans="1:1">
      <c r="A2492" s="368"/>
    </row>
    <row r="2493" spans="1:1">
      <c r="A2493" s="368"/>
    </row>
    <row r="2494" spans="1:1">
      <c r="A2494" s="368"/>
    </row>
    <row r="2495" spans="1:1">
      <c r="A2495" s="368"/>
    </row>
    <row r="2496" spans="1:1">
      <c r="A2496" s="368"/>
    </row>
    <row r="2497" spans="1:1">
      <c r="A2497" s="368"/>
    </row>
    <row r="2498" spans="1:1">
      <c r="A2498" s="368"/>
    </row>
    <row r="2499" spans="1:1">
      <c r="A2499" s="368"/>
    </row>
    <row r="2500" spans="1:1">
      <c r="A2500" s="368"/>
    </row>
    <row r="2501" spans="1:1">
      <c r="A2501" s="368"/>
    </row>
    <row r="2502" spans="1:1">
      <c r="A2502" s="368"/>
    </row>
    <row r="2503" spans="1:1">
      <c r="A2503" s="368"/>
    </row>
    <row r="2504" spans="1:1">
      <c r="A2504" s="368"/>
    </row>
    <row r="2505" spans="1:1">
      <c r="A2505" s="368"/>
    </row>
    <row r="2506" spans="1:1">
      <c r="A2506" s="368"/>
    </row>
    <row r="2507" spans="1:1">
      <c r="A2507" s="368"/>
    </row>
    <row r="2508" spans="1:1">
      <c r="A2508" s="368"/>
    </row>
    <row r="2509" spans="1:1">
      <c r="A2509" s="368"/>
    </row>
    <row r="2510" spans="1:1">
      <c r="A2510" s="368"/>
    </row>
    <row r="2511" spans="1:1">
      <c r="A2511" s="368"/>
    </row>
    <row r="2512" spans="1:1">
      <c r="A2512" s="368"/>
    </row>
    <row r="2513" spans="1:1">
      <c r="A2513" s="368"/>
    </row>
    <row r="2514" spans="1:1">
      <c r="A2514" s="368"/>
    </row>
    <row r="2515" spans="1:1">
      <c r="A2515" s="368"/>
    </row>
    <row r="2516" spans="1:1">
      <c r="A2516" s="368"/>
    </row>
    <row r="2517" spans="1:1">
      <c r="A2517" s="368"/>
    </row>
    <row r="2518" spans="1:1">
      <c r="A2518" s="368"/>
    </row>
    <row r="2519" spans="1:1">
      <c r="A2519" s="368"/>
    </row>
    <row r="2520" spans="1:1">
      <c r="A2520" s="368"/>
    </row>
    <row r="2521" spans="1:1">
      <c r="A2521" s="368"/>
    </row>
    <row r="2522" spans="1:1">
      <c r="A2522" s="368"/>
    </row>
    <row r="2523" spans="1:1">
      <c r="A2523" s="368"/>
    </row>
    <row r="2524" spans="1:1">
      <c r="A2524" s="368"/>
    </row>
    <row r="2525" spans="1:1">
      <c r="A2525" s="368"/>
    </row>
    <row r="2526" spans="1:1">
      <c r="A2526" s="368"/>
    </row>
    <row r="2527" spans="1:1">
      <c r="A2527" s="368"/>
    </row>
    <row r="2528" spans="1:1">
      <c r="A2528" s="368"/>
    </row>
    <row r="2529" spans="1:1">
      <c r="A2529" s="368"/>
    </row>
    <row r="2530" spans="1:1">
      <c r="A2530" s="368"/>
    </row>
    <row r="2531" spans="1:1">
      <c r="A2531" s="368"/>
    </row>
    <row r="2532" spans="1:1">
      <c r="A2532" s="368"/>
    </row>
    <row r="2533" spans="1:1">
      <c r="A2533" s="368"/>
    </row>
    <row r="2534" spans="1:1">
      <c r="A2534" s="368"/>
    </row>
    <row r="2535" spans="1:1">
      <c r="A2535" s="368"/>
    </row>
    <row r="2536" spans="1:1">
      <c r="A2536" s="368"/>
    </row>
    <row r="2537" spans="1:1">
      <c r="A2537" s="368"/>
    </row>
    <row r="2538" spans="1:1">
      <c r="A2538" s="368"/>
    </row>
    <row r="2539" spans="1:1">
      <c r="A2539" s="368"/>
    </row>
    <row r="2540" spans="1:1">
      <c r="A2540" s="368"/>
    </row>
    <row r="2541" spans="1:1">
      <c r="A2541" s="368"/>
    </row>
    <row r="2542" spans="1:1">
      <c r="A2542" s="368"/>
    </row>
    <row r="2543" spans="1:1">
      <c r="A2543" s="368"/>
    </row>
    <row r="2544" spans="1:1">
      <c r="A2544" s="368"/>
    </row>
    <row r="2545" spans="1:1">
      <c r="A2545" s="368"/>
    </row>
    <row r="2546" spans="1:1">
      <c r="A2546" s="368"/>
    </row>
    <row r="2547" spans="1:1">
      <c r="A2547" s="368"/>
    </row>
    <row r="2548" spans="1:1">
      <c r="A2548" s="368"/>
    </row>
    <row r="2549" spans="1:1">
      <c r="A2549" s="368"/>
    </row>
    <row r="2550" spans="1:1">
      <c r="A2550" s="368"/>
    </row>
    <row r="2551" spans="1:1">
      <c r="A2551" s="368"/>
    </row>
    <row r="2552" spans="1:1">
      <c r="A2552" s="368"/>
    </row>
    <row r="2553" spans="1:1">
      <c r="A2553" s="368"/>
    </row>
    <row r="2554" spans="1:1">
      <c r="A2554" s="368"/>
    </row>
    <row r="2555" spans="1:1">
      <c r="A2555" s="368"/>
    </row>
    <row r="2556" spans="1:1">
      <c r="A2556" s="368"/>
    </row>
    <row r="2557" spans="1:1">
      <c r="A2557" s="368"/>
    </row>
    <row r="2558" spans="1:1">
      <c r="A2558" s="368"/>
    </row>
    <row r="2559" spans="1:1">
      <c r="A2559" s="368"/>
    </row>
    <row r="2560" spans="1:1">
      <c r="A2560" s="368"/>
    </row>
    <row r="2561" spans="1:1">
      <c r="A2561" s="368"/>
    </row>
    <row r="2562" spans="1:1">
      <c r="A2562" s="368"/>
    </row>
    <row r="2563" spans="1:1">
      <c r="A2563" s="368"/>
    </row>
    <row r="2564" spans="1:1">
      <c r="A2564" s="368"/>
    </row>
    <row r="2565" spans="1:1">
      <c r="A2565" s="368"/>
    </row>
    <row r="2566" spans="1:1">
      <c r="A2566" s="368"/>
    </row>
    <row r="2567" spans="1:1">
      <c r="A2567" s="368"/>
    </row>
    <row r="2568" spans="1:1">
      <c r="A2568" s="368"/>
    </row>
    <row r="2569" spans="1:1">
      <c r="A2569" s="368"/>
    </row>
    <row r="2570" spans="1:1">
      <c r="A2570" s="368"/>
    </row>
    <row r="2571" spans="1:1">
      <c r="A2571" s="368"/>
    </row>
    <row r="2572" spans="1:1">
      <c r="A2572" s="368"/>
    </row>
    <row r="2573" spans="1:1">
      <c r="A2573" s="368"/>
    </row>
    <row r="2574" spans="1:1">
      <c r="A2574" s="368"/>
    </row>
    <row r="2575" spans="1:1">
      <c r="A2575" s="368"/>
    </row>
    <row r="2576" spans="1:1">
      <c r="A2576" s="368"/>
    </row>
    <row r="2577" spans="1:1">
      <c r="A2577" s="368"/>
    </row>
    <row r="2578" spans="1:1">
      <c r="A2578" s="368"/>
    </row>
    <row r="2579" spans="1:1">
      <c r="A2579" s="368"/>
    </row>
    <row r="2580" spans="1:1">
      <c r="A2580" s="368"/>
    </row>
    <row r="2581" spans="1:1">
      <c r="A2581" s="368"/>
    </row>
    <row r="2582" spans="1:1">
      <c r="A2582" s="368"/>
    </row>
    <row r="2583" spans="1:1">
      <c r="A2583" s="368"/>
    </row>
    <row r="2584" spans="1:1">
      <c r="A2584" s="368"/>
    </row>
    <row r="2585" spans="1:1">
      <c r="A2585" s="368"/>
    </row>
    <row r="2586" spans="1:1">
      <c r="A2586" s="368"/>
    </row>
    <row r="2587" spans="1:1">
      <c r="A2587" s="368"/>
    </row>
    <row r="2588" spans="1:1">
      <c r="A2588" s="368"/>
    </row>
    <row r="2589" spans="1:1">
      <c r="A2589" s="368"/>
    </row>
    <row r="2590" spans="1:1">
      <c r="A2590" s="368"/>
    </row>
    <row r="2591" spans="1:1">
      <c r="A2591" s="368"/>
    </row>
    <row r="2592" spans="1:1">
      <c r="A2592" s="368"/>
    </row>
    <row r="2593" spans="1:1">
      <c r="A2593" s="368"/>
    </row>
    <row r="2594" spans="1:1">
      <c r="A2594" s="368"/>
    </row>
    <row r="2595" spans="1:1">
      <c r="A2595" s="368"/>
    </row>
    <row r="2596" spans="1:1">
      <c r="A2596" s="368"/>
    </row>
    <row r="2597" spans="1:1">
      <c r="A2597" s="368"/>
    </row>
    <row r="2598" spans="1:1">
      <c r="A2598" s="368"/>
    </row>
    <row r="2599" spans="1:1">
      <c r="A2599" s="368"/>
    </row>
    <row r="2600" spans="1:1">
      <c r="A2600" s="368"/>
    </row>
    <row r="2601" spans="1:1">
      <c r="A2601" s="368"/>
    </row>
    <row r="2602" spans="1:1">
      <c r="A2602" s="368"/>
    </row>
    <row r="2603" spans="1:1">
      <c r="A2603" s="368"/>
    </row>
    <row r="2604" spans="1:1">
      <c r="A2604" s="368"/>
    </row>
    <row r="2605" spans="1:1">
      <c r="A2605" s="368"/>
    </row>
    <row r="2606" spans="1:1">
      <c r="A2606" s="368"/>
    </row>
    <row r="2607" spans="1:1">
      <c r="A2607" s="368"/>
    </row>
    <row r="2608" spans="1:1">
      <c r="A2608" s="368"/>
    </row>
    <row r="2609" spans="1:1">
      <c r="A2609" s="368"/>
    </row>
    <row r="2610" spans="1:1">
      <c r="A2610" s="368"/>
    </row>
    <row r="2611" spans="1:1">
      <c r="A2611" s="368"/>
    </row>
    <row r="2612" spans="1:1">
      <c r="A2612" s="368"/>
    </row>
    <row r="2613" spans="1:1">
      <c r="A2613" s="368"/>
    </row>
    <row r="2614" spans="1:1">
      <c r="A2614" s="368"/>
    </row>
    <row r="2615" spans="1:1">
      <c r="A2615" s="368"/>
    </row>
    <row r="2616" spans="1:1">
      <c r="A2616" s="368"/>
    </row>
    <row r="2617" spans="1:1">
      <c r="A2617" s="368"/>
    </row>
    <row r="2618" spans="1:1">
      <c r="A2618" s="368"/>
    </row>
    <row r="2619" spans="1:1">
      <c r="A2619" s="368"/>
    </row>
    <row r="2620" spans="1:1">
      <c r="A2620" s="368"/>
    </row>
    <row r="2621" spans="1:1">
      <c r="A2621" s="368"/>
    </row>
    <row r="2622" spans="1:1">
      <c r="A2622" s="368"/>
    </row>
    <row r="2623" spans="1:1">
      <c r="A2623" s="368"/>
    </row>
    <row r="2624" spans="1:1">
      <c r="A2624" s="368"/>
    </row>
    <row r="2625" spans="1:1">
      <c r="A2625" s="368"/>
    </row>
    <row r="2626" spans="1:1">
      <c r="A2626" s="368"/>
    </row>
    <row r="2627" spans="1:1">
      <c r="A2627" s="368"/>
    </row>
    <row r="2628" spans="1:1">
      <c r="A2628" s="368"/>
    </row>
    <row r="2629" spans="1:1">
      <c r="A2629" s="368"/>
    </row>
    <row r="2630" spans="1:1">
      <c r="A2630" s="368"/>
    </row>
    <row r="2631" spans="1:1">
      <c r="A2631" s="368"/>
    </row>
    <row r="2632" spans="1:1">
      <c r="A2632" s="368"/>
    </row>
    <row r="2633" spans="1:1">
      <c r="A2633" s="368"/>
    </row>
    <row r="2634" spans="1:1">
      <c r="A2634" s="368"/>
    </row>
    <row r="2635" spans="1:1">
      <c r="A2635" s="368"/>
    </row>
    <row r="2636" spans="1:1">
      <c r="A2636" s="368"/>
    </row>
    <row r="2637" spans="1:1">
      <c r="A2637" s="368"/>
    </row>
    <row r="2638" spans="1:1">
      <c r="A2638" s="368"/>
    </row>
    <row r="2639" spans="1:1">
      <c r="A2639" s="368"/>
    </row>
    <row r="2640" spans="1:1">
      <c r="A2640" s="368"/>
    </row>
    <row r="2641" spans="1:1">
      <c r="A2641" s="368"/>
    </row>
    <row r="2642" spans="1:1">
      <c r="A2642" s="368"/>
    </row>
    <row r="2643" spans="1:1">
      <c r="A2643" s="368"/>
    </row>
    <row r="2644" spans="1:1">
      <c r="A2644" s="368"/>
    </row>
    <row r="2645" spans="1:1">
      <c r="A2645" s="368"/>
    </row>
    <row r="2646" spans="1:1">
      <c r="A2646" s="368"/>
    </row>
    <row r="2647" spans="1:1">
      <c r="A2647" s="368"/>
    </row>
    <row r="2648" spans="1:1">
      <c r="A2648" s="368"/>
    </row>
    <row r="2649" spans="1:1">
      <c r="A2649" s="368"/>
    </row>
    <row r="2650" spans="1:1">
      <c r="A2650" s="368"/>
    </row>
    <row r="2651" spans="1:1">
      <c r="A2651" s="368"/>
    </row>
    <row r="2652" spans="1:1">
      <c r="A2652" s="368"/>
    </row>
    <row r="2653" spans="1:1">
      <c r="A2653" s="368"/>
    </row>
    <row r="2654" spans="1:1">
      <c r="A2654" s="368"/>
    </row>
    <row r="2655" spans="1:1">
      <c r="A2655" s="368"/>
    </row>
    <row r="2656" spans="1:1">
      <c r="A2656" s="368"/>
    </row>
    <row r="2657" spans="1:1">
      <c r="A2657" s="368"/>
    </row>
    <row r="2658" spans="1:1">
      <c r="A2658" s="368"/>
    </row>
    <row r="2659" spans="1:1">
      <c r="A2659" s="368"/>
    </row>
    <row r="2660" spans="1:1">
      <c r="A2660" s="368"/>
    </row>
    <row r="2661" spans="1:1">
      <c r="A2661" s="368"/>
    </row>
    <row r="2662" spans="1:1">
      <c r="A2662" s="368"/>
    </row>
    <row r="2663" spans="1:1">
      <c r="A2663" s="368"/>
    </row>
    <row r="2664" spans="1:1">
      <c r="A2664" s="368"/>
    </row>
    <row r="2665" spans="1:1">
      <c r="A2665" s="368"/>
    </row>
    <row r="2666" spans="1:1">
      <c r="A2666" s="368"/>
    </row>
    <row r="2667" spans="1:1">
      <c r="A2667" s="368"/>
    </row>
    <row r="2668" spans="1:1">
      <c r="A2668" s="368"/>
    </row>
    <row r="2669" spans="1:1">
      <c r="A2669" s="368"/>
    </row>
    <row r="2670" spans="1:1">
      <c r="A2670" s="368"/>
    </row>
    <row r="2671" spans="1:1">
      <c r="A2671" s="368"/>
    </row>
    <row r="2672" spans="1:1">
      <c r="A2672" s="368"/>
    </row>
    <row r="2673" spans="1:1">
      <c r="A2673" s="368"/>
    </row>
    <row r="2674" spans="1:1">
      <c r="A2674" s="368"/>
    </row>
    <row r="2675" spans="1:1">
      <c r="A2675" s="368"/>
    </row>
    <row r="2676" spans="1:1">
      <c r="A2676" s="368"/>
    </row>
    <row r="2677" spans="1:1">
      <c r="A2677" s="368"/>
    </row>
    <row r="2678" spans="1:1">
      <c r="A2678" s="368"/>
    </row>
    <row r="2679" spans="1:1">
      <c r="A2679" s="368"/>
    </row>
    <row r="2680" spans="1:1">
      <c r="A2680" s="368"/>
    </row>
    <row r="2681" spans="1:1">
      <c r="A2681" s="368"/>
    </row>
    <row r="2682" spans="1:1">
      <c r="A2682" s="368"/>
    </row>
    <row r="2683" spans="1:1">
      <c r="A2683" s="368"/>
    </row>
    <row r="2684" spans="1:1">
      <c r="A2684" s="368"/>
    </row>
    <row r="2685" spans="1:1">
      <c r="A2685" s="368"/>
    </row>
    <row r="2686" spans="1:1">
      <c r="A2686" s="368"/>
    </row>
    <row r="2687" spans="1:1">
      <c r="A2687" s="368"/>
    </row>
    <row r="2688" spans="1:1">
      <c r="A2688" s="368"/>
    </row>
    <row r="2689" spans="1:1">
      <c r="A2689" s="368"/>
    </row>
    <row r="2690" spans="1:1">
      <c r="A2690" s="368"/>
    </row>
    <row r="2691" spans="1:1">
      <c r="A2691" s="368"/>
    </row>
    <row r="2692" spans="1:1">
      <c r="A2692" s="368"/>
    </row>
    <row r="2693" spans="1:1">
      <c r="A2693" s="368"/>
    </row>
    <row r="2694" spans="1:1">
      <c r="A2694" s="368"/>
    </row>
    <row r="2695" spans="1:1">
      <c r="A2695" s="368"/>
    </row>
    <row r="2696" spans="1:1">
      <c r="A2696" s="368"/>
    </row>
    <row r="2697" spans="1:1">
      <c r="A2697" s="368"/>
    </row>
    <row r="2698" spans="1:1">
      <c r="A2698" s="368"/>
    </row>
    <row r="2699" spans="1:1">
      <c r="A2699" s="368"/>
    </row>
    <row r="2700" spans="1:1">
      <c r="A2700" s="368"/>
    </row>
    <row r="2701" spans="1:1">
      <c r="A2701" s="368"/>
    </row>
    <row r="2702" spans="1:1">
      <c r="A2702" s="368"/>
    </row>
    <row r="2703" spans="1:1">
      <c r="A2703" s="368"/>
    </row>
    <row r="2704" spans="1:1">
      <c r="A2704" s="368"/>
    </row>
    <row r="2705" spans="1:1">
      <c r="A2705" s="368"/>
    </row>
    <row r="2706" spans="1:1">
      <c r="A2706" s="368"/>
    </row>
    <row r="2707" spans="1:1">
      <c r="A2707" s="368"/>
    </row>
    <row r="2708" spans="1:1">
      <c r="A2708" s="368"/>
    </row>
    <row r="2709" spans="1:1">
      <c r="A2709" s="368"/>
    </row>
    <row r="2710" spans="1:1">
      <c r="A2710" s="368"/>
    </row>
    <row r="2711" spans="1:1">
      <c r="A2711" s="368"/>
    </row>
    <row r="2712" spans="1:1">
      <c r="A2712" s="368"/>
    </row>
    <row r="2713" spans="1:1">
      <c r="A2713" s="368"/>
    </row>
    <row r="2714" spans="1:1">
      <c r="A2714" s="368"/>
    </row>
    <row r="2715" spans="1:1">
      <c r="A2715" s="368"/>
    </row>
    <row r="2716" spans="1:1">
      <c r="A2716" s="368"/>
    </row>
    <row r="2717" spans="1:1">
      <c r="A2717" s="368"/>
    </row>
    <row r="2718" spans="1:1">
      <c r="A2718" s="368"/>
    </row>
    <row r="2719" spans="1:1">
      <c r="A2719" s="368"/>
    </row>
    <row r="2720" spans="1:1">
      <c r="A2720" s="368"/>
    </row>
    <row r="2721" spans="1:1">
      <c r="A2721" s="368"/>
    </row>
    <row r="2722" spans="1:1">
      <c r="A2722" s="368"/>
    </row>
    <row r="2723" spans="1:1">
      <c r="A2723" s="368"/>
    </row>
    <row r="2724" spans="1:1">
      <c r="A2724" s="368"/>
    </row>
    <row r="2725" spans="1:1">
      <c r="A2725" s="368"/>
    </row>
    <row r="2726" spans="1:1">
      <c r="A2726" s="368"/>
    </row>
    <row r="2727" spans="1:1">
      <c r="A2727" s="368"/>
    </row>
    <row r="2728" spans="1:1">
      <c r="A2728" s="368"/>
    </row>
    <row r="2729" spans="1:1">
      <c r="A2729" s="368"/>
    </row>
    <row r="2730" spans="1:1">
      <c r="A2730" s="368"/>
    </row>
    <row r="2731" spans="1:1">
      <c r="A2731" s="368"/>
    </row>
    <row r="2732" spans="1:1">
      <c r="A2732" s="368"/>
    </row>
    <row r="2733" spans="1:1">
      <c r="A2733" s="368"/>
    </row>
    <row r="2734" spans="1:1">
      <c r="A2734" s="368"/>
    </row>
    <row r="2735" spans="1:1">
      <c r="A2735" s="368"/>
    </row>
    <row r="2736" spans="1:1">
      <c r="A2736" s="368"/>
    </row>
    <row r="2737" spans="1:1">
      <c r="A2737" s="368"/>
    </row>
    <row r="2738" spans="1:1">
      <c r="A2738" s="368"/>
    </row>
    <row r="2739" spans="1:1">
      <c r="A2739" s="368"/>
    </row>
    <row r="2740" spans="1:1">
      <c r="A2740" s="368"/>
    </row>
    <row r="2741" spans="1:1">
      <c r="A2741" s="368"/>
    </row>
    <row r="2742" spans="1:1">
      <c r="A2742" s="368"/>
    </row>
    <row r="2743" spans="1:1">
      <c r="A2743" s="368"/>
    </row>
    <row r="2744" spans="1:1">
      <c r="A2744" s="368"/>
    </row>
    <row r="2745" spans="1:1">
      <c r="A2745" s="368"/>
    </row>
    <row r="2746" spans="1:1">
      <c r="A2746" s="368"/>
    </row>
    <row r="2747" spans="1:1">
      <c r="A2747" s="368"/>
    </row>
    <row r="2748" spans="1:1">
      <c r="A2748" s="368"/>
    </row>
    <row r="2749" spans="1:1">
      <c r="A2749" s="368"/>
    </row>
    <row r="2750" spans="1:1">
      <c r="A2750" s="368"/>
    </row>
    <row r="2751" spans="1:1">
      <c r="A2751" s="368"/>
    </row>
    <row r="2752" spans="1:1">
      <c r="A2752" s="368"/>
    </row>
    <row r="2753" spans="1:1">
      <c r="A2753" s="368"/>
    </row>
    <row r="2754" spans="1:1">
      <c r="A2754" s="368"/>
    </row>
    <row r="2755" spans="1:1">
      <c r="A2755" s="368"/>
    </row>
    <row r="2756" spans="1:1">
      <c r="A2756" s="368"/>
    </row>
    <row r="2757" spans="1:1">
      <c r="A2757" s="368"/>
    </row>
    <row r="2758" spans="1:1">
      <c r="A2758" s="368"/>
    </row>
    <row r="2759" spans="1:1">
      <c r="A2759" s="368"/>
    </row>
    <row r="2760" spans="1:1">
      <c r="A2760" s="368"/>
    </row>
    <row r="2761" spans="1:1">
      <c r="A2761" s="368"/>
    </row>
    <row r="2762" spans="1:1">
      <c r="A2762" s="368"/>
    </row>
    <row r="2763" spans="1:1">
      <c r="A2763" s="368"/>
    </row>
    <row r="2764" spans="1:1">
      <c r="A2764" s="368"/>
    </row>
    <row r="2765" spans="1:1">
      <c r="A2765" s="368"/>
    </row>
    <row r="2766" spans="1:1">
      <c r="A2766" s="368"/>
    </row>
    <row r="2767" spans="1:1">
      <c r="A2767" s="368"/>
    </row>
    <row r="2768" spans="1:1">
      <c r="A2768" s="368"/>
    </row>
    <row r="2769" spans="1:1">
      <c r="A2769" s="368"/>
    </row>
    <row r="2770" spans="1:1">
      <c r="A2770" s="368"/>
    </row>
    <row r="2771" spans="1:1">
      <c r="A2771" s="368"/>
    </row>
    <row r="2772" spans="1:1">
      <c r="A2772" s="368"/>
    </row>
    <row r="2773" spans="1:1">
      <c r="A2773" s="368"/>
    </row>
    <row r="2774" spans="1:1">
      <c r="A2774" s="368"/>
    </row>
    <row r="2775" spans="1:1">
      <c r="A2775" s="368"/>
    </row>
    <row r="2776" spans="1:1">
      <c r="A2776" s="368"/>
    </row>
    <row r="2777" spans="1:1">
      <c r="A2777" s="368"/>
    </row>
    <row r="2778" spans="1:1">
      <c r="A2778" s="368"/>
    </row>
    <row r="2779" spans="1:1">
      <c r="A2779" s="368"/>
    </row>
    <row r="2780" spans="1:1">
      <c r="A2780" s="368"/>
    </row>
    <row r="2781" spans="1:1">
      <c r="A2781" s="368"/>
    </row>
    <row r="2782" spans="1:1">
      <c r="A2782" s="368"/>
    </row>
    <row r="2783" spans="1:1">
      <c r="A2783" s="368"/>
    </row>
    <row r="2784" spans="1:1">
      <c r="A2784" s="368"/>
    </row>
    <row r="2785" spans="1:1">
      <c r="A2785" s="368"/>
    </row>
    <row r="2786" spans="1:1">
      <c r="A2786" s="368"/>
    </row>
    <row r="2787" spans="1:1">
      <c r="A2787" s="368"/>
    </row>
    <row r="2788" spans="1:1">
      <c r="A2788" s="368"/>
    </row>
    <row r="2789" spans="1:1">
      <c r="A2789" s="368"/>
    </row>
    <row r="2790" spans="1:1">
      <c r="A2790" s="368"/>
    </row>
    <row r="2791" spans="1:1">
      <c r="A2791" s="368"/>
    </row>
    <row r="2792" spans="1:1">
      <c r="A2792" s="368"/>
    </row>
    <row r="2793" spans="1:1">
      <c r="A2793" s="368"/>
    </row>
    <row r="2794" spans="1:1">
      <c r="A2794" s="368"/>
    </row>
    <row r="2795" spans="1:1">
      <c r="A2795" s="368"/>
    </row>
    <row r="2796" spans="1:1">
      <c r="A2796" s="368"/>
    </row>
    <row r="2797" spans="1:1">
      <c r="A2797" s="368"/>
    </row>
    <row r="2798" spans="1:1">
      <c r="A2798" s="368"/>
    </row>
    <row r="2799" spans="1:1">
      <c r="A2799" s="368"/>
    </row>
    <row r="2800" spans="1:1">
      <c r="A2800" s="368"/>
    </row>
    <row r="2801" spans="1:1">
      <c r="A2801" s="368"/>
    </row>
    <row r="2802" spans="1:1">
      <c r="A2802" s="368"/>
    </row>
    <row r="2803" spans="1:1">
      <c r="A2803" s="368"/>
    </row>
    <row r="2804" spans="1:1">
      <c r="A2804" s="368"/>
    </row>
    <row r="2805" spans="1:1">
      <c r="A2805" s="368"/>
    </row>
    <row r="2806" spans="1:1">
      <c r="A2806" s="368"/>
    </row>
    <row r="2807" spans="1:1">
      <c r="A2807" s="368"/>
    </row>
    <row r="2808" spans="1:1">
      <c r="A2808" s="368"/>
    </row>
    <row r="2809" spans="1:1">
      <c r="A2809" s="368"/>
    </row>
    <row r="2810" spans="1:1">
      <c r="A2810" s="368"/>
    </row>
    <row r="2811" spans="1:1">
      <c r="A2811" s="368"/>
    </row>
    <row r="2812" spans="1:1">
      <c r="A2812" s="368"/>
    </row>
    <row r="2813" spans="1:1">
      <c r="A2813" s="368"/>
    </row>
    <row r="2814" spans="1:1">
      <c r="A2814" s="368"/>
    </row>
    <row r="2815" spans="1:1">
      <c r="A2815" s="368"/>
    </row>
    <row r="2816" spans="1:1">
      <c r="A2816" s="368"/>
    </row>
    <row r="2817" spans="1:1">
      <c r="A2817" s="368"/>
    </row>
    <row r="2818" spans="1:1">
      <c r="A2818" s="368"/>
    </row>
    <row r="2819" spans="1:1">
      <c r="A2819" s="368"/>
    </row>
    <row r="2820" spans="1:1">
      <c r="A2820" s="368"/>
    </row>
    <row r="2821" spans="1:1">
      <c r="A2821" s="368"/>
    </row>
    <row r="2822" spans="1:1">
      <c r="A2822" s="368"/>
    </row>
    <row r="2823" spans="1:1">
      <c r="A2823" s="368"/>
    </row>
    <row r="2824" spans="1:1">
      <c r="A2824" s="368"/>
    </row>
    <row r="2825" spans="1:1">
      <c r="A2825" s="368"/>
    </row>
    <row r="2826" spans="1:1">
      <c r="A2826" s="368"/>
    </row>
    <row r="2827" spans="1:1">
      <c r="A2827" s="368"/>
    </row>
    <row r="2828" spans="1:1">
      <c r="A2828" s="368"/>
    </row>
    <row r="2829" spans="1:1">
      <c r="A2829" s="368"/>
    </row>
    <row r="2830" spans="1:1">
      <c r="A2830" s="368"/>
    </row>
    <row r="2831" spans="1:1">
      <c r="A2831" s="368"/>
    </row>
    <row r="2832" spans="1:1">
      <c r="A2832" s="368"/>
    </row>
    <row r="2833" spans="1:1">
      <c r="A2833" s="368"/>
    </row>
    <row r="2834" spans="1:1">
      <c r="A2834" s="368"/>
    </row>
    <row r="2835" spans="1:1">
      <c r="A2835" s="368"/>
    </row>
    <row r="2836" spans="1:1">
      <c r="A2836" s="368"/>
    </row>
    <row r="2837" spans="1:1">
      <c r="A2837" s="368"/>
    </row>
    <row r="2838" spans="1:1">
      <c r="A2838" s="368"/>
    </row>
    <row r="2839" spans="1:1">
      <c r="A2839" s="368"/>
    </row>
    <row r="2840" spans="1:1">
      <c r="A2840" s="368"/>
    </row>
    <row r="2841" spans="1:1">
      <c r="A2841" s="368"/>
    </row>
    <row r="2842" spans="1:1">
      <c r="A2842" s="368"/>
    </row>
    <row r="2843" spans="1:1">
      <c r="A2843" s="368"/>
    </row>
    <row r="2844" spans="1:1">
      <c r="A2844" s="368"/>
    </row>
    <row r="2845" spans="1:1">
      <c r="A2845" s="368"/>
    </row>
    <row r="2846" spans="1:1">
      <c r="A2846" s="368"/>
    </row>
    <row r="2847" spans="1:1">
      <c r="A2847" s="368"/>
    </row>
    <row r="2848" spans="1:1">
      <c r="A2848" s="368"/>
    </row>
    <row r="2849" spans="1:1">
      <c r="A2849" s="368"/>
    </row>
    <row r="2850" spans="1:1">
      <c r="A2850" s="368"/>
    </row>
    <row r="2851" spans="1:1">
      <c r="A2851" s="368"/>
    </row>
    <row r="2852" spans="1:1">
      <c r="A2852" s="368"/>
    </row>
    <row r="2853" spans="1:1">
      <c r="A2853" s="368"/>
    </row>
    <row r="2854" spans="1:1">
      <c r="A2854" s="368"/>
    </row>
    <row r="2855" spans="1:1">
      <c r="A2855" s="368"/>
    </row>
    <row r="2856" spans="1:1">
      <c r="A2856" s="368"/>
    </row>
    <row r="2857" spans="1:1">
      <c r="A2857" s="368"/>
    </row>
    <row r="2858" spans="1:1">
      <c r="A2858" s="368"/>
    </row>
    <row r="2859" spans="1:1">
      <c r="A2859" s="368"/>
    </row>
    <row r="2860" spans="1:1">
      <c r="A2860" s="368"/>
    </row>
    <row r="2861" spans="1:1">
      <c r="A2861" s="368"/>
    </row>
    <row r="2862" spans="1:1">
      <c r="A2862" s="368"/>
    </row>
    <row r="2863" spans="1:1">
      <c r="A2863" s="368"/>
    </row>
    <row r="2864" spans="1:1">
      <c r="A2864" s="368"/>
    </row>
    <row r="2865" spans="1:1">
      <c r="A2865" s="368"/>
    </row>
    <row r="2866" spans="1:1">
      <c r="A2866" s="368"/>
    </row>
    <row r="2867" spans="1:1">
      <c r="A2867" s="368"/>
    </row>
    <row r="2868" spans="1:1">
      <c r="A2868" s="368"/>
    </row>
    <row r="2869" spans="1:1">
      <c r="A2869" s="368"/>
    </row>
    <row r="2870" spans="1:1">
      <c r="A2870" s="368"/>
    </row>
    <row r="2871" spans="1:1">
      <c r="A2871" s="368"/>
    </row>
    <row r="2872" spans="1:1">
      <c r="A2872" s="368"/>
    </row>
    <row r="2873" spans="1:1">
      <c r="A2873" s="368"/>
    </row>
    <row r="2874" spans="1:1">
      <c r="A2874" s="368"/>
    </row>
    <row r="2875" spans="1:1">
      <c r="A2875" s="368"/>
    </row>
    <row r="2876" spans="1:1">
      <c r="A2876" s="368"/>
    </row>
    <row r="2877" spans="1:1">
      <c r="A2877" s="368"/>
    </row>
    <row r="2878" spans="1:1">
      <c r="A2878" s="368"/>
    </row>
    <row r="2879" spans="1:1">
      <c r="A2879" s="368"/>
    </row>
    <row r="2880" spans="1:1">
      <c r="A2880" s="368"/>
    </row>
    <row r="2881" spans="1:1">
      <c r="A2881" s="368"/>
    </row>
    <row r="2882" spans="1:1">
      <c r="A2882" s="368"/>
    </row>
    <row r="2883" spans="1:1">
      <c r="A2883" s="368"/>
    </row>
    <row r="2884" spans="1:1">
      <c r="A2884" s="368"/>
    </row>
    <row r="2885" spans="1:1">
      <c r="A2885" s="368"/>
    </row>
    <row r="2886" spans="1:1">
      <c r="A2886" s="368"/>
    </row>
    <row r="2887" spans="1:1">
      <c r="A2887" s="368"/>
    </row>
    <row r="2888" spans="1:1">
      <c r="A2888" s="368"/>
    </row>
    <row r="2889" spans="1:1">
      <c r="A2889" s="368"/>
    </row>
    <row r="2890" spans="1:1">
      <c r="A2890" s="368"/>
    </row>
    <row r="2891" spans="1:1">
      <c r="A2891" s="368"/>
    </row>
    <row r="2892" spans="1:1">
      <c r="A2892" s="368"/>
    </row>
    <row r="2893" spans="1:1">
      <c r="A2893" s="368"/>
    </row>
    <row r="2894" spans="1:1">
      <c r="A2894" s="368"/>
    </row>
    <row r="2895" spans="1:1">
      <c r="A2895" s="368"/>
    </row>
    <row r="2896" spans="1:1">
      <c r="A2896" s="368"/>
    </row>
    <row r="2897" spans="1:1">
      <c r="A2897" s="368"/>
    </row>
    <row r="2898" spans="1:1">
      <c r="A2898" s="368"/>
    </row>
    <row r="2899" spans="1:1">
      <c r="A2899" s="368"/>
    </row>
    <row r="2900" spans="1:1">
      <c r="A2900" s="368"/>
    </row>
    <row r="2901" spans="1:1">
      <c r="A2901" s="368"/>
    </row>
    <row r="2902" spans="1:1">
      <c r="A2902" s="368"/>
    </row>
    <row r="2903" spans="1:1">
      <c r="A2903" s="368"/>
    </row>
    <row r="2904" spans="1:1">
      <c r="A2904" s="368"/>
    </row>
    <row r="2905" spans="1:1">
      <c r="A2905" s="368"/>
    </row>
    <row r="2906" spans="1:1">
      <c r="A2906" s="368"/>
    </row>
    <row r="2907" spans="1:1">
      <c r="A2907" s="368"/>
    </row>
    <row r="2908" spans="1:1">
      <c r="A2908" s="368"/>
    </row>
    <row r="2909" spans="1:1">
      <c r="A2909" s="368"/>
    </row>
    <row r="2910" spans="1:1">
      <c r="A2910" s="368"/>
    </row>
    <row r="2911" spans="1:1">
      <c r="A2911" s="368"/>
    </row>
    <row r="2912" spans="1:1">
      <c r="A2912" s="368"/>
    </row>
    <row r="2913" spans="1:1">
      <c r="A2913" s="368"/>
    </row>
    <row r="2914" spans="1:1">
      <c r="A2914" s="368"/>
    </row>
    <row r="2915" spans="1:1">
      <c r="A2915" s="368"/>
    </row>
    <row r="2916" spans="1:1">
      <c r="A2916" s="368"/>
    </row>
    <row r="2917" spans="1:1">
      <c r="A2917" s="368"/>
    </row>
    <row r="2918" spans="1:1">
      <c r="A2918" s="368"/>
    </row>
    <row r="2919" spans="1:1">
      <c r="A2919" s="368"/>
    </row>
    <row r="2920" spans="1:1">
      <c r="A2920" s="368"/>
    </row>
    <row r="2921" spans="1:1">
      <c r="A2921" s="368"/>
    </row>
    <row r="2922" spans="1:1">
      <c r="A2922" s="368"/>
    </row>
    <row r="2923" spans="1:1">
      <c r="A2923" s="368"/>
    </row>
    <row r="2924" spans="1:1">
      <c r="A2924" s="368"/>
    </row>
    <row r="2925" spans="1:1">
      <c r="A2925" s="368"/>
    </row>
    <row r="2926" spans="1:1">
      <c r="A2926" s="368"/>
    </row>
    <row r="2927" spans="1:1">
      <c r="A2927" s="368"/>
    </row>
    <row r="2928" spans="1:1">
      <c r="A2928" s="368"/>
    </row>
    <row r="2929" spans="1:1">
      <c r="A2929" s="368"/>
    </row>
    <row r="2930" spans="1:1">
      <c r="A2930" s="368"/>
    </row>
    <row r="2931" spans="1:1">
      <c r="A2931" s="368"/>
    </row>
    <row r="2932" spans="1:1">
      <c r="A2932" s="368"/>
    </row>
    <row r="2933" spans="1:1">
      <c r="A2933" s="368"/>
    </row>
    <row r="2934" spans="1:1">
      <c r="A2934" s="368"/>
    </row>
    <row r="2935" spans="1:1">
      <c r="A2935" s="368"/>
    </row>
    <row r="2936" spans="1:1">
      <c r="A2936" s="368"/>
    </row>
    <row r="2937" spans="1:1">
      <c r="A2937" s="368"/>
    </row>
    <row r="2938" spans="1:1">
      <c r="A2938" s="368"/>
    </row>
    <row r="2939" spans="1:1">
      <c r="A2939" s="368"/>
    </row>
    <row r="2940" spans="1:1">
      <c r="A2940" s="368"/>
    </row>
    <row r="2941" spans="1:1">
      <c r="A2941" s="368"/>
    </row>
    <row r="2942" spans="1:1">
      <c r="A2942" s="368"/>
    </row>
    <row r="2943" spans="1:1">
      <c r="A2943" s="368"/>
    </row>
    <row r="2944" spans="1:1">
      <c r="A2944" s="368"/>
    </row>
    <row r="2945" spans="1:1">
      <c r="A2945" s="368"/>
    </row>
    <row r="2946" spans="1:1">
      <c r="A2946" s="368"/>
    </row>
    <row r="2947" spans="1:1">
      <c r="A2947" s="368"/>
    </row>
    <row r="2948" spans="1:1">
      <c r="A2948" s="368"/>
    </row>
    <row r="2949" spans="1:1">
      <c r="A2949" s="368"/>
    </row>
    <row r="2950" spans="1:1">
      <c r="A2950" s="368"/>
    </row>
    <row r="2951" spans="1:1">
      <c r="A2951" s="368"/>
    </row>
    <row r="2952" spans="1:1">
      <c r="A2952" s="368"/>
    </row>
    <row r="2953" spans="1:1">
      <c r="A2953" s="368"/>
    </row>
    <row r="2954" spans="1:1">
      <c r="A2954" s="368"/>
    </row>
    <row r="2955" spans="1:1">
      <c r="A2955" s="368"/>
    </row>
    <row r="2956" spans="1:1">
      <c r="A2956" s="368"/>
    </row>
    <row r="2957" spans="1:1">
      <c r="A2957" s="368"/>
    </row>
    <row r="2958" spans="1:1">
      <c r="A2958" s="368"/>
    </row>
    <row r="2959" spans="1:1">
      <c r="A2959" s="368"/>
    </row>
    <row r="2960" spans="1:1">
      <c r="A2960" s="368"/>
    </row>
    <row r="2961" spans="1:1">
      <c r="A2961" s="368"/>
    </row>
    <row r="2962" spans="1:1">
      <c r="A2962" s="368"/>
    </row>
    <row r="2963" spans="1:1">
      <c r="A2963" s="368"/>
    </row>
    <row r="2964" spans="1:1">
      <c r="A2964" s="368"/>
    </row>
    <row r="2965" spans="1:1">
      <c r="A2965" s="368"/>
    </row>
    <row r="2966" spans="1:1">
      <c r="A2966" s="368"/>
    </row>
    <row r="2967" spans="1:1">
      <c r="A2967" s="368"/>
    </row>
    <row r="2968" spans="1:1">
      <c r="A2968" s="368"/>
    </row>
    <row r="2969" spans="1:1">
      <c r="A2969" s="368"/>
    </row>
    <row r="2970" spans="1:1">
      <c r="A2970" s="368"/>
    </row>
    <row r="2971" spans="1:1">
      <c r="A2971" s="368"/>
    </row>
    <row r="2972" spans="1:1">
      <c r="A2972" s="368"/>
    </row>
    <row r="2973" spans="1:1">
      <c r="A2973" s="368"/>
    </row>
    <row r="2974" spans="1:1">
      <c r="A2974" s="368"/>
    </row>
    <row r="2975" spans="1:1">
      <c r="A2975" s="368"/>
    </row>
    <row r="2976" spans="1:1">
      <c r="A2976" s="368"/>
    </row>
    <row r="2977" spans="1:1">
      <c r="A2977" s="368"/>
    </row>
    <row r="2978" spans="1:1">
      <c r="A2978" s="368"/>
    </row>
  </sheetData>
  <protectedRanges>
    <protectedRange sqref="E1984:F1984 E1966:F1966" name="Range1_3"/>
    <protectedRange sqref="E2002:F2002" name="Range1_3_1"/>
  </protectedRanges>
  <dataConsolidate/>
  <mergeCells count="2244">
    <mergeCell ref="I122:K122"/>
    <mergeCell ref="C2109:D2109"/>
    <mergeCell ref="C2110:D2110"/>
    <mergeCell ref="G2110:G2125"/>
    <mergeCell ref="C2111:D2111"/>
    <mergeCell ref="C2112:D2112"/>
    <mergeCell ref="C2113:D2113"/>
    <mergeCell ref="C2114:D2114"/>
    <mergeCell ref="C2115:D2115"/>
    <mergeCell ref="C2116:D2116"/>
    <mergeCell ref="C2117:D2117"/>
    <mergeCell ref="C2118:D2118"/>
    <mergeCell ref="C2119:D2119"/>
    <mergeCell ref="C2120:D2120"/>
    <mergeCell ref="C2121:D2121"/>
    <mergeCell ref="C2122:D2122"/>
    <mergeCell ref="C2123:D2123"/>
    <mergeCell ref="C2124:D2124"/>
    <mergeCell ref="C2125:D2125"/>
    <mergeCell ref="C2091:D2091"/>
    <mergeCell ref="C2092:D2092"/>
    <mergeCell ref="G2092:G2107"/>
    <mergeCell ref="C2093:D2093"/>
    <mergeCell ref="C2094:D2094"/>
    <mergeCell ref="C2095:D2095"/>
    <mergeCell ref="C2096:D2096"/>
    <mergeCell ref="C2097:D2097"/>
    <mergeCell ref="C2098:D2098"/>
    <mergeCell ref="C2099:D2099"/>
    <mergeCell ref="C2100:D2100"/>
    <mergeCell ref="C2101:D2101"/>
    <mergeCell ref="C2102:D2102"/>
    <mergeCell ref="C2103:D2103"/>
    <mergeCell ref="C2104:D2104"/>
    <mergeCell ref="C2105:D2105"/>
    <mergeCell ref="C2106:D2106"/>
    <mergeCell ref="C2107:D2107"/>
    <mergeCell ref="C2043:D2043"/>
    <mergeCell ref="C2044:D2044"/>
    <mergeCell ref="C2045:D2045"/>
    <mergeCell ref="C2073:D2073"/>
    <mergeCell ref="C2074:D2074"/>
    <mergeCell ref="G2074:G2089"/>
    <mergeCell ref="C2075:D2075"/>
    <mergeCell ref="C2076:D2076"/>
    <mergeCell ref="C2077:D2077"/>
    <mergeCell ref="C2078:D2078"/>
    <mergeCell ref="C2079:D2079"/>
    <mergeCell ref="C2080:D2080"/>
    <mergeCell ref="C2081:D2081"/>
    <mergeCell ref="C2082:D2082"/>
    <mergeCell ref="C2083:D2083"/>
    <mergeCell ref="C2084:D2084"/>
    <mergeCell ref="C2085:D2085"/>
    <mergeCell ref="C2086:D2086"/>
    <mergeCell ref="C2087:D2087"/>
    <mergeCell ref="C2088:D2088"/>
    <mergeCell ref="C2089:D2089"/>
    <mergeCell ref="C22:D22"/>
    <mergeCell ref="C52:D52"/>
    <mergeCell ref="C53:D53"/>
    <mergeCell ref="I118:K118"/>
    <mergeCell ref="C2055:D2055"/>
    <mergeCell ref="C2056:D2056"/>
    <mergeCell ref="G2056:G2071"/>
    <mergeCell ref="C2057:D2057"/>
    <mergeCell ref="C2058:D2058"/>
    <mergeCell ref="C2059:D2059"/>
    <mergeCell ref="C2060:D2060"/>
    <mergeCell ref="C2061:D2061"/>
    <mergeCell ref="C2062:D2062"/>
    <mergeCell ref="C2063:D2063"/>
    <mergeCell ref="C2064:D2064"/>
    <mergeCell ref="C2065:D2065"/>
    <mergeCell ref="C2066:D2066"/>
    <mergeCell ref="C2067:D2067"/>
    <mergeCell ref="C2068:D2068"/>
    <mergeCell ref="C2069:D2069"/>
    <mergeCell ref="C2070:D2070"/>
    <mergeCell ref="C2071:D2071"/>
    <mergeCell ref="I119:K119"/>
    <mergeCell ref="I120:K120"/>
    <mergeCell ref="I121:K121"/>
    <mergeCell ref="C2037:D2037"/>
    <mergeCell ref="C2038:D2038"/>
    <mergeCell ref="G2038:G2053"/>
    <mergeCell ref="C2039:D2039"/>
    <mergeCell ref="C2040:D2040"/>
    <mergeCell ref="C2041:D2041"/>
    <mergeCell ref="C2042:D2042"/>
    <mergeCell ref="G40:G55"/>
    <mergeCell ref="C41:D41"/>
    <mergeCell ref="C42:D42"/>
    <mergeCell ref="C2046:D2046"/>
    <mergeCell ref="C2047:D2047"/>
    <mergeCell ref="C2048:D2048"/>
    <mergeCell ref="C2049:D2049"/>
    <mergeCell ref="C2050:D2050"/>
    <mergeCell ref="C2051:D2051"/>
    <mergeCell ref="C2052:D2052"/>
    <mergeCell ref="C2053:D2053"/>
    <mergeCell ref="I3:K3"/>
    <mergeCell ref="I4:K4"/>
    <mergeCell ref="G4:G19"/>
    <mergeCell ref="C5:D5"/>
    <mergeCell ref="C6:D6"/>
    <mergeCell ref="C7:D7"/>
    <mergeCell ref="C8:D8"/>
    <mergeCell ref="C9:D9"/>
    <mergeCell ref="C10:D10"/>
    <mergeCell ref="C11:D11"/>
    <mergeCell ref="C12:D12"/>
    <mergeCell ref="C13:D13"/>
    <mergeCell ref="C15:D15"/>
    <mergeCell ref="C16:D16"/>
    <mergeCell ref="C17:D17"/>
    <mergeCell ref="C19:D19"/>
    <mergeCell ref="C14:D14"/>
    <mergeCell ref="C3:D3"/>
    <mergeCell ref="C4:D4"/>
    <mergeCell ref="C18:D18"/>
    <mergeCell ref="C21:D21"/>
    <mergeCell ref="C31:D31"/>
    <mergeCell ref="C32:D32"/>
    <mergeCell ref="C33:D33"/>
    <mergeCell ref="C34:D34"/>
    <mergeCell ref="C35:D35"/>
    <mergeCell ref="C57:D57"/>
    <mergeCell ref="G22:G37"/>
    <mergeCell ref="C23:D23"/>
    <mergeCell ref="C24:D24"/>
    <mergeCell ref="C25:D25"/>
    <mergeCell ref="C26:D26"/>
    <mergeCell ref="C27:D27"/>
    <mergeCell ref="C28:D28"/>
    <mergeCell ref="C29:D29"/>
    <mergeCell ref="C30:D30"/>
    <mergeCell ref="C73:D73"/>
    <mergeCell ref="C75:D75"/>
    <mergeCell ref="C54:D54"/>
    <mergeCell ref="C55:D55"/>
    <mergeCell ref="C43:D43"/>
    <mergeCell ref="C44:D44"/>
    <mergeCell ref="C45:D45"/>
    <mergeCell ref="C46:D46"/>
    <mergeCell ref="C47:D47"/>
    <mergeCell ref="C48:D48"/>
    <mergeCell ref="C49:D49"/>
    <mergeCell ref="C50:D50"/>
    <mergeCell ref="C51:D51"/>
    <mergeCell ref="C36:D36"/>
    <mergeCell ref="C37:D37"/>
    <mergeCell ref="C39:D39"/>
    <mergeCell ref="C40:D40"/>
    <mergeCell ref="C76:D76"/>
    <mergeCell ref="G76:G91"/>
    <mergeCell ref="C77:D77"/>
    <mergeCell ref="C78:D78"/>
    <mergeCell ref="C79:D79"/>
    <mergeCell ref="C80:D80"/>
    <mergeCell ref="C81:D81"/>
    <mergeCell ref="C82:D82"/>
    <mergeCell ref="C83:D83"/>
    <mergeCell ref="C84:D84"/>
    <mergeCell ref="C85:D85"/>
    <mergeCell ref="C86:D86"/>
    <mergeCell ref="C87:D87"/>
    <mergeCell ref="C58:D58"/>
    <mergeCell ref="G58:G73"/>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94:D94"/>
    <mergeCell ref="G94:G109"/>
    <mergeCell ref="C95:D95"/>
    <mergeCell ref="C96:D96"/>
    <mergeCell ref="C88:D88"/>
    <mergeCell ref="C160:D160"/>
    <mergeCell ref="C109:D109"/>
    <mergeCell ref="C111:D111"/>
    <mergeCell ref="C112:D112"/>
    <mergeCell ref="C130:D130"/>
    <mergeCell ref="C97:D97"/>
    <mergeCell ref="C98:D98"/>
    <mergeCell ref="C99:D99"/>
    <mergeCell ref="C100:D100"/>
    <mergeCell ref="C101:D101"/>
    <mergeCell ref="C102:D102"/>
    <mergeCell ref="C103:D103"/>
    <mergeCell ref="C104:D104"/>
    <mergeCell ref="C105:D105"/>
    <mergeCell ref="C89:D89"/>
    <mergeCell ref="C90:D90"/>
    <mergeCell ref="C91:D91"/>
    <mergeCell ref="C93:D93"/>
    <mergeCell ref="C124:D124"/>
    <mergeCell ref="C143:D143"/>
    <mergeCell ref="C144:D144"/>
    <mergeCell ref="G112:G127"/>
    <mergeCell ref="C113:D113"/>
    <mergeCell ref="C114:D114"/>
    <mergeCell ref="C115:D115"/>
    <mergeCell ref="C116:D116"/>
    <mergeCell ref="C117:D117"/>
    <mergeCell ref="C118:D118"/>
    <mergeCell ref="C119:D119"/>
    <mergeCell ref="C120:D120"/>
    <mergeCell ref="C121:D121"/>
    <mergeCell ref="C122:D122"/>
    <mergeCell ref="C123:D123"/>
    <mergeCell ref="C106:D106"/>
    <mergeCell ref="C107:D107"/>
    <mergeCell ref="C108:D108"/>
    <mergeCell ref="C125:D125"/>
    <mergeCell ref="C126:D126"/>
    <mergeCell ref="C127:D127"/>
    <mergeCell ref="C129:D129"/>
    <mergeCell ref="C145:D145"/>
    <mergeCell ref="C147:D147"/>
    <mergeCell ref="C148:D148"/>
    <mergeCell ref="G148:G163"/>
    <mergeCell ref="C149:D149"/>
    <mergeCell ref="C150:D150"/>
    <mergeCell ref="C151:D151"/>
    <mergeCell ref="C152:D152"/>
    <mergeCell ref="C153:D153"/>
    <mergeCell ref="C154:D154"/>
    <mergeCell ref="C155:D155"/>
    <mergeCell ref="C156:D156"/>
    <mergeCell ref="C157:D157"/>
    <mergeCell ref="C158:D158"/>
    <mergeCell ref="C159:D159"/>
    <mergeCell ref="C161:D161"/>
    <mergeCell ref="C162:D162"/>
    <mergeCell ref="C163:D163"/>
    <mergeCell ref="C165:D165"/>
    <mergeCell ref="C196:D196"/>
    <mergeCell ref="C215:D215"/>
    <mergeCell ref="C216:D216"/>
    <mergeCell ref="C201:D201"/>
    <mergeCell ref="C217:D217"/>
    <mergeCell ref="C219:D219"/>
    <mergeCell ref="C220:D220"/>
    <mergeCell ref="C166:D166"/>
    <mergeCell ref="G166:G181"/>
    <mergeCell ref="C167:D167"/>
    <mergeCell ref="C168:D168"/>
    <mergeCell ref="G130:G145"/>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78:D178"/>
    <mergeCell ref="C179:D179"/>
    <mergeCell ref="C180:D180"/>
    <mergeCell ref="C197:D197"/>
    <mergeCell ref="C198:D198"/>
    <mergeCell ref="C199:D199"/>
    <mergeCell ref="C189:D189"/>
    <mergeCell ref="C232:D232"/>
    <mergeCell ref="C181:D181"/>
    <mergeCell ref="C183:D183"/>
    <mergeCell ref="C184:D184"/>
    <mergeCell ref="C202:D202"/>
    <mergeCell ref="C169:D169"/>
    <mergeCell ref="C170:D170"/>
    <mergeCell ref="C171:D171"/>
    <mergeCell ref="C172:D172"/>
    <mergeCell ref="C173:D173"/>
    <mergeCell ref="C174:D174"/>
    <mergeCell ref="C175:D175"/>
    <mergeCell ref="C176:D176"/>
    <mergeCell ref="C177:D177"/>
    <mergeCell ref="G202:G217"/>
    <mergeCell ref="C203:D203"/>
    <mergeCell ref="C204:D204"/>
    <mergeCell ref="C205:D205"/>
    <mergeCell ref="C206:D206"/>
    <mergeCell ref="C207:D207"/>
    <mergeCell ref="C208:D208"/>
    <mergeCell ref="C209:D209"/>
    <mergeCell ref="C210:D210"/>
    <mergeCell ref="C211:D211"/>
    <mergeCell ref="C212:D212"/>
    <mergeCell ref="C213:D213"/>
    <mergeCell ref="C214:D214"/>
    <mergeCell ref="G184:G199"/>
    <mergeCell ref="C185:D185"/>
    <mergeCell ref="C186:D186"/>
    <mergeCell ref="C187:D187"/>
    <mergeCell ref="C188:D188"/>
    <mergeCell ref="C190:D190"/>
    <mergeCell ref="C191:D191"/>
    <mergeCell ref="C192:D192"/>
    <mergeCell ref="C193:D193"/>
    <mergeCell ref="C194:D194"/>
    <mergeCell ref="C195:D195"/>
    <mergeCell ref="C291:D291"/>
    <mergeCell ref="C292:D292"/>
    <mergeCell ref="G220:G235"/>
    <mergeCell ref="C221:D221"/>
    <mergeCell ref="C222:D222"/>
    <mergeCell ref="C223:D223"/>
    <mergeCell ref="C224:D224"/>
    <mergeCell ref="C225:D225"/>
    <mergeCell ref="C226:D226"/>
    <mergeCell ref="C227:D227"/>
    <mergeCell ref="C228:D228"/>
    <mergeCell ref="C229:D229"/>
    <mergeCell ref="C230:D230"/>
    <mergeCell ref="C231:D231"/>
    <mergeCell ref="C238:D238"/>
    <mergeCell ref="G238:G253"/>
    <mergeCell ref="C239:D239"/>
    <mergeCell ref="C240:D240"/>
    <mergeCell ref="C241:D241"/>
    <mergeCell ref="C242:D242"/>
    <mergeCell ref="C243:D243"/>
    <mergeCell ref="C244:D244"/>
    <mergeCell ref="C245:D245"/>
    <mergeCell ref="C246:D246"/>
    <mergeCell ref="C247:D247"/>
    <mergeCell ref="C248:D248"/>
    <mergeCell ref="C249:D249"/>
    <mergeCell ref="C233:D233"/>
    <mergeCell ref="C234:D234"/>
    <mergeCell ref="C235:D235"/>
    <mergeCell ref="C237:D237"/>
    <mergeCell ref="C268:D268"/>
    <mergeCell ref="C287:D287"/>
    <mergeCell ref="C288:D288"/>
    <mergeCell ref="C273:D273"/>
    <mergeCell ref="G256:G271"/>
    <mergeCell ref="C257:D257"/>
    <mergeCell ref="C258:D258"/>
    <mergeCell ref="C259:D259"/>
    <mergeCell ref="C260:D260"/>
    <mergeCell ref="C261:D261"/>
    <mergeCell ref="C262:D262"/>
    <mergeCell ref="C263:D263"/>
    <mergeCell ref="C264:D264"/>
    <mergeCell ref="C265:D265"/>
    <mergeCell ref="C266:D266"/>
    <mergeCell ref="C267:D267"/>
    <mergeCell ref="C250:D250"/>
    <mergeCell ref="C251:D251"/>
    <mergeCell ref="C252:D252"/>
    <mergeCell ref="C269:D269"/>
    <mergeCell ref="C270:D270"/>
    <mergeCell ref="C271:D271"/>
    <mergeCell ref="C253:D253"/>
    <mergeCell ref="C255:D255"/>
    <mergeCell ref="C256:D256"/>
    <mergeCell ref="G292:G307"/>
    <mergeCell ref="C293:D293"/>
    <mergeCell ref="C294:D294"/>
    <mergeCell ref="C295:D295"/>
    <mergeCell ref="C296:D296"/>
    <mergeCell ref="C297:D297"/>
    <mergeCell ref="C298:D298"/>
    <mergeCell ref="C299:D299"/>
    <mergeCell ref="C300:D300"/>
    <mergeCell ref="C301:D301"/>
    <mergeCell ref="C302:D302"/>
    <mergeCell ref="C303:D303"/>
    <mergeCell ref="C310:D310"/>
    <mergeCell ref="G310:G325"/>
    <mergeCell ref="C311:D311"/>
    <mergeCell ref="C312:D312"/>
    <mergeCell ref="G274:G289"/>
    <mergeCell ref="C275:D275"/>
    <mergeCell ref="C276:D276"/>
    <mergeCell ref="C277:D277"/>
    <mergeCell ref="C278:D278"/>
    <mergeCell ref="C279:D279"/>
    <mergeCell ref="C280:D280"/>
    <mergeCell ref="C281:D281"/>
    <mergeCell ref="C282:D282"/>
    <mergeCell ref="C283:D283"/>
    <mergeCell ref="C284:D284"/>
    <mergeCell ref="C285:D285"/>
    <mergeCell ref="C286:D286"/>
    <mergeCell ref="C304:D304"/>
    <mergeCell ref="C274:D274"/>
    <mergeCell ref="C289:D289"/>
    <mergeCell ref="C345:D345"/>
    <mergeCell ref="C376:D376"/>
    <mergeCell ref="C325:D325"/>
    <mergeCell ref="C327:D327"/>
    <mergeCell ref="C328:D328"/>
    <mergeCell ref="C346:D346"/>
    <mergeCell ref="C313:D313"/>
    <mergeCell ref="C314:D314"/>
    <mergeCell ref="C315:D315"/>
    <mergeCell ref="C316:D316"/>
    <mergeCell ref="C317:D317"/>
    <mergeCell ref="C318:D318"/>
    <mergeCell ref="C319:D319"/>
    <mergeCell ref="C320:D320"/>
    <mergeCell ref="C321:D321"/>
    <mergeCell ref="C305:D305"/>
    <mergeCell ref="C306:D306"/>
    <mergeCell ref="C307:D307"/>
    <mergeCell ref="C309:D309"/>
    <mergeCell ref="C340:D340"/>
    <mergeCell ref="G328:G343"/>
    <mergeCell ref="C329:D329"/>
    <mergeCell ref="C330:D330"/>
    <mergeCell ref="C331:D331"/>
    <mergeCell ref="C332:D332"/>
    <mergeCell ref="C333:D333"/>
    <mergeCell ref="C334:D334"/>
    <mergeCell ref="C335:D335"/>
    <mergeCell ref="C336:D336"/>
    <mergeCell ref="C337:D337"/>
    <mergeCell ref="C338:D338"/>
    <mergeCell ref="C339:D339"/>
    <mergeCell ref="C322:D322"/>
    <mergeCell ref="C323:D323"/>
    <mergeCell ref="C324:D324"/>
    <mergeCell ref="C341:D341"/>
    <mergeCell ref="C342:D342"/>
    <mergeCell ref="C343:D343"/>
    <mergeCell ref="G364:G379"/>
    <mergeCell ref="C365:D365"/>
    <mergeCell ref="C366:D366"/>
    <mergeCell ref="C367:D367"/>
    <mergeCell ref="C368:D368"/>
    <mergeCell ref="C369:D369"/>
    <mergeCell ref="C370:D370"/>
    <mergeCell ref="C371:D371"/>
    <mergeCell ref="C372:D372"/>
    <mergeCell ref="C373:D373"/>
    <mergeCell ref="C374:D374"/>
    <mergeCell ref="C375:D375"/>
    <mergeCell ref="C382:D382"/>
    <mergeCell ref="G382:G397"/>
    <mergeCell ref="C383:D383"/>
    <mergeCell ref="C384:D384"/>
    <mergeCell ref="G346:G361"/>
    <mergeCell ref="C347:D347"/>
    <mergeCell ref="C348:D348"/>
    <mergeCell ref="C349:D349"/>
    <mergeCell ref="C350:D350"/>
    <mergeCell ref="C351:D351"/>
    <mergeCell ref="C352:D352"/>
    <mergeCell ref="C353:D353"/>
    <mergeCell ref="C354:D354"/>
    <mergeCell ref="C355:D355"/>
    <mergeCell ref="C356:D356"/>
    <mergeCell ref="C357:D357"/>
    <mergeCell ref="C358:D358"/>
    <mergeCell ref="C359:D359"/>
    <mergeCell ref="C360:D360"/>
    <mergeCell ref="C385:D385"/>
    <mergeCell ref="C386:D386"/>
    <mergeCell ref="C387:D387"/>
    <mergeCell ref="C388:D388"/>
    <mergeCell ref="C389:D389"/>
    <mergeCell ref="C390:D390"/>
    <mergeCell ref="C391:D391"/>
    <mergeCell ref="C392:D392"/>
    <mergeCell ref="C393:D393"/>
    <mergeCell ref="C377:D377"/>
    <mergeCell ref="C378:D378"/>
    <mergeCell ref="C379:D379"/>
    <mergeCell ref="C381:D381"/>
    <mergeCell ref="C412:D412"/>
    <mergeCell ref="C361:D361"/>
    <mergeCell ref="C363:D363"/>
    <mergeCell ref="C364:D364"/>
    <mergeCell ref="C448:D448"/>
    <mergeCell ref="C397:D397"/>
    <mergeCell ref="C399:D399"/>
    <mergeCell ref="C400:D400"/>
    <mergeCell ref="C418:D418"/>
    <mergeCell ref="C430:D430"/>
    <mergeCell ref="C431:D431"/>
    <mergeCell ref="C432:D432"/>
    <mergeCell ref="C421:D421"/>
    <mergeCell ref="C422:D422"/>
    <mergeCell ref="C423:D423"/>
    <mergeCell ref="C424:D424"/>
    <mergeCell ref="C425:D425"/>
    <mergeCell ref="C426:D426"/>
    <mergeCell ref="C427:D427"/>
    <mergeCell ref="C428:D428"/>
    <mergeCell ref="C429:D429"/>
    <mergeCell ref="G418:G433"/>
    <mergeCell ref="C419:D419"/>
    <mergeCell ref="C420:D420"/>
    <mergeCell ref="G400:G415"/>
    <mergeCell ref="C401:D401"/>
    <mergeCell ref="C402:D402"/>
    <mergeCell ref="C403:D403"/>
    <mergeCell ref="C404:D404"/>
    <mergeCell ref="C405:D405"/>
    <mergeCell ref="C406:D406"/>
    <mergeCell ref="C407:D407"/>
    <mergeCell ref="C408:D408"/>
    <mergeCell ref="C409:D409"/>
    <mergeCell ref="C410:D410"/>
    <mergeCell ref="C411:D411"/>
    <mergeCell ref="C394:D394"/>
    <mergeCell ref="C395:D395"/>
    <mergeCell ref="C396:D396"/>
    <mergeCell ref="C413:D413"/>
    <mergeCell ref="C414:D414"/>
    <mergeCell ref="C415:D415"/>
    <mergeCell ref="C417:D417"/>
    <mergeCell ref="C449:D449"/>
    <mergeCell ref="C450:D450"/>
    <mergeCell ref="C451:D451"/>
    <mergeCell ref="C453:D453"/>
    <mergeCell ref="C484:D484"/>
    <mergeCell ref="C433:D433"/>
    <mergeCell ref="C435:D435"/>
    <mergeCell ref="C436:D436"/>
    <mergeCell ref="G436:G451"/>
    <mergeCell ref="C437:D437"/>
    <mergeCell ref="C438:D438"/>
    <mergeCell ref="C439:D439"/>
    <mergeCell ref="C440:D440"/>
    <mergeCell ref="C441:D441"/>
    <mergeCell ref="C442:D442"/>
    <mergeCell ref="C443:D443"/>
    <mergeCell ref="C444:D444"/>
    <mergeCell ref="C445:D445"/>
    <mergeCell ref="C446:D446"/>
    <mergeCell ref="C447:D447"/>
    <mergeCell ref="C477:D477"/>
    <mergeCell ref="C478:D478"/>
    <mergeCell ref="C479:D479"/>
    <mergeCell ref="C480:D480"/>
    <mergeCell ref="C566:D566"/>
    <mergeCell ref="C567:D567"/>
    <mergeCell ref="C568:D568"/>
    <mergeCell ref="C569:D569"/>
    <mergeCell ref="C570:D570"/>
    <mergeCell ref="C571:D571"/>
    <mergeCell ref="C572:D572"/>
    <mergeCell ref="C573:D573"/>
    <mergeCell ref="C574:D574"/>
    <mergeCell ref="C575:D575"/>
    <mergeCell ref="C576:D576"/>
    <mergeCell ref="C577:D577"/>
    <mergeCell ref="C481:D481"/>
    <mergeCell ref="C482:D482"/>
    <mergeCell ref="C483:D483"/>
    <mergeCell ref="C489:D489"/>
    <mergeCell ref="C490:D490"/>
    <mergeCell ref="C558:D558"/>
    <mergeCell ref="C559:D559"/>
    <mergeCell ref="C519:D519"/>
    <mergeCell ref="C520:D520"/>
    <mergeCell ref="C521:D521"/>
    <mergeCell ref="C522:D522"/>
    <mergeCell ref="C523:D523"/>
    <mergeCell ref="I117:K117"/>
    <mergeCell ref="C651:D651"/>
    <mergeCell ref="C485:D485"/>
    <mergeCell ref="C486:D486"/>
    <mergeCell ref="C487:D487"/>
    <mergeCell ref="C469:D469"/>
    <mergeCell ref="C471:D471"/>
    <mergeCell ref="C472:D472"/>
    <mergeCell ref="G472:G487"/>
    <mergeCell ref="C473:D473"/>
    <mergeCell ref="C474:D474"/>
    <mergeCell ref="C475:D475"/>
    <mergeCell ref="C507:D507"/>
    <mergeCell ref="C508:D508"/>
    <mergeCell ref="G508:G523"/>
    <mergeCell ref="C509:D509"/>
    <mergeCell ref="C510:D510"/>
    <mergeCell ref="C511:D511"/>
    <mergeCell ref="C512:D512"/>
    <mergeCell ref="C513:D513"/>
    <mergeCell ref="C514:D514"/>
    <mergeCell ref="C515:D515"/>
    <mergeCell ref="C516:D516"/>
    <mergeCell ref="C517:D517"/>
    <mergeCell ref="C518:D518"/>
    <mergeCell ref="C476:D476"/>
    <mergeCell ref="C561:D561"/>
    <mergeCell ref="C562:D562"/>
    <mergeCell ref="G562:G577"/>
    <mergeCell ref="C563:D563"/>
    <mergeCell ref="C564:D564"/>
    <mergeCell ref="C565:D565"/>
    <mergeCell ref="G490:G505"/>
    <mergeCell ref="C491:D491"/>
    <mergeCell ref="C492:D492"/>
    <mergeCell ref="C493:D493"/>
    <mergeCell ref="C494:D494"/>
    <mergeCell ref="C495:D495"/>
    <mergeCell ref="C496:D496"/>
    <mergeCell ref="C497:D497"/>
    <mergeCell ref="C498:D498"/>
    <mergeCell ref="C499:D499"/>
    <mergeCell ref="C500:D500"/>
    <mergeCell ref="C501:D501"/>
    <mergeCell ref="C502:D502"/>
    <mergeCell ref="C503:D503"/>
    <mergeCell ref="C504:D504"/>
    <mergeCell ref="C505:D505"/>
    <mergeCell ref="C454:D454"/>
    <mergeCell ref="G454:G469"/>
    <mergeCell ref="C455:D455"/>
    <mergeCell ref="C456:D456"/>
    <mergeCell ref="C457:D457"/>
    <mergeCell ref="C458:D458"/>
    <mergeCell ref="C459:D459"/>
    <mergeCell ref="C460:D460"/>
    <mergeCell ref="C461:D461"/>
    <mergeCell ref="C462:D462"/>
    <mergeCell ref="C463:D463"/>
    <mergeCell ref="C464:D464"/>
    <mergeCell ref="C465:D465"/>
    <mergeCell ref="C466:D466"/>
    <mergeCell ref="C467:D467"/>
    <mergeCell ref="C468:D468"/>
    <mergeCell ref="G544:G559"/>
    <mergeCell ref="C545:D545"/>
    <mergeCell ref="C546:D546"/>
    <mergeCell ref="C547:D547"/>
    <mergeCell ref="C548:D548"/>
    <mergeCell ref="C549:D549"/>
    <mergeCell ref="C550:D550"/>
    <mergeCell ref="C551:D551"/>
    <mergeCell ref="C552:D552"/>
    <mergeCell ref="C553:D553"/>
    <mergeCell ref="C554:D554"/>
    <mergeCell ref="C555:D555"/>
    <mergeCell ref="C556:D556"/>
    <mergeCell ref="C557:D557"/>
    <mergeCell ref="C525:D525"/>
    <mergeCell ref="C526:D526"/>
    <mergeCell ref="G526:G541"/>
    <mergeCell ref="C527:D527"/>
    <mergeCell ref="C528:D528"/>
    <mergeCell ref="C529:D529"/>
    <mergeCell ref="C530:D530"/>
    <mergeCell ref="C531:D531"/>
    <mergeCell ref="C532:D532"/>
    <mergeCell ref="C533:D533"/>
    <mergeCell ref="C534:D534"/>
    <mergeCell ref="C535:D535"/>
    <mergeCell ref="C536:D536"/>
    <mergeCell ref="C537:D537"/>
    <mergeCell ref="C538:D538"/>
    <mergeCell ref="C539:D539"/>
    <mergeCell ref="C540:D540"/>
    <mergeCell ref="C541:D541"/>
    <mergeCell ref="C579:D579"/>
    <mergeCell ref="C580:D580"/>
    <mergeCell ref="I102:K102"/>
    <mergeCell ref="I103:K103"/>
    <mergeCell ref="I104:K104"/>
    <mergeCell ref="I105:K105"/>
    <mergeCell ref="I106:K106"/>
    <mergeCell ref="I107:K107"/>
    <mergeCell ref="I108:K108"/>
    <mergeCell ref="I109:K109"/>
    <mergeCell ref="I110:K110"/>
    <mergeCell ref="I111:K111"/>
    <mergeCell ref="I112:K112"/>
    <mergeCell ref="I113:K113"/>
    <mergeCell ref="G580:G595"/>
    <mergeCell ref="C581:D581"/>
    <mergeCell ref="C582:D582"/>
    <mergeCell ref="C583:D583"/>
    <mergeCell ref="C584:D584"/>
    <mergeCell ref="C585:D585"/>
    <mergeCell ref="C586:D586"/>
    <mergeCell ref="C587:D587"/>
    <mergeCell ref="C588:D588"/>
    <mergeCell ref="C589:D589"/>
    <mergeCell ref="C590:D590"/>
    <mergeCell ref="C591:D591"/>
    <mergeCell ref="C592:D592"/>
    <mergeCell ref="C593:D593"/>
    <mergeCell ref="C594:D594"/>
    <mergeCell ref="C595:D595"/>
    <mergeCell ref="C543:D543"/>
    <mergeCell ref="C544:D544"/>
    <mergeCell ref="C597:D597"/>
    <mergeCell ref="C598:D598"/>
    <mergeCell ref="G598:G613"/>
    <mergeCell ref="C599:D599"/>
    <mergeCell ref="C600:D600"/>
    <mergeCell ref="C601:D601"/>
    <mergeCell ref="C602:D602"/>
    <mergeCell ref="C603:D603"/>
    <mergeCell ref="C604:D604"/>
    <mergeCell ref="C605:D605"/>
    <mergeCell ref="C606:D606"/>
    <mergeCell ref="C607:D607"/>
    <mergeCell ref="C608:D608"/>
    <mergeCell ref="C609:D609"/>
    <mergeCell ref="C610:D610"/>
    <mergeCell ref="C611:D611"/>
    <mergeCell ref="C612:D612"/>
    <mergeCell ref="C613:D613"/>
    <mergeCell ref="C615:D615"/>
    <mergeCell ref="C616:D616"/>
    <mergeCell ref="G616:G631"/>
    <mergeCell ref="C617:D617"/>
    <mergeCell ref="C618:D618"/>
    <mergeCell ref="C619:D619"/>
    <mergeCell ref="C620:D620"/>
    <mergeCell ref="C621:D621"/>
    <mergeCell ref="C622:D622"/>
    <mergeCell ref="C623:D623"/>
    <mergeCell ref="C624:D624"/>
    <mergeCell ref="C625:D625"/>
    <mergeCell ref="C626:D626"/>
    <mergeCell ref="C627:D627"/>
    <mergeCell ref="C628:D628"/>
    <mergeCell ref="C629:D629"/>
    <mergeCell ref="C630:D630"/>
    <mergeCell ref="C631:D631"/>
    <mergeCell ref="G634:G649"/>
    <mergeCell ref="C635:D635"/>
    <mergeCell ref="C636:D636"/>
    <mergeCell ref="C637:D637"/>
    <mergeCell ref="C638:D638"/>
    <mergeCell ref="C639:D639"/>
    <mergeCell ref="C640:D640"/>
    <mergeCell ref="C641:D641"/>
    <mergeCell ref="C642:D642"/>
    <mergeCell ref="C643:D643"/>
    <mergeCell ref="C644:D644"/>
    <mergeCell ref="C645:D645"/>
    <mergeCell ref="C646:D646"/>
    <mergeCell ref="C647:D647"/>
    <mergeCell ref="C648:D648"/>
    <mergeCell ref="C649:D649"/>
    <mergeCell ref="C652:D652"/>
    <mergeCell ref="G652:G667"/>
    <mergeCell ref="C653:D653"/>
    <mergeCell ref="C654:D654"/>
    <mergeCell ref="C655:D655"/>
    <mergeCell ref="C683:D683"/>
    <mergeCell ref="C684:D684"/>
    <mergeCell ref="C659:D659"/>
    <mergeCell ref="C660:D660"/>
    <mergeCell ref="C661:D661"/>
    <mergeCell ref="C662:D662"/>
    <mergeCell ref="C663:D663"/>
    <mergeCell ref="C664:D664"/>
    <mergeCell ref="C665:D665"/>
    <mergeCell ref="C666:D666"/>
    <mergeCell ref="C667:D667"/>
    <mergeCell ref="C633:D633"/>
    <mergeCell ref="C634:D634"/>
    <mergeCell ref="C656:D656"/>
    <mergeCell ref="C657:D657"/>
    <mergeCell ref="C658:D658"/>
    <mergeCell ref="C669:D669"/>
    <mergeCell ref="C670:D670"/>
    <mergeCell ref="C685:D685"/>
    <mergeCell ref="C687:D687"/>
    <mergeCell ref="C688:D688"/>
    <mergeCell ref="G688:G703"/>
    <mergeCell ref="C689:D689"/>
    <mergeCell ref="C690:D690"/>
    <mergeCell ref="C691:D691"/>
    <mergeCell ref="C692:D692"/>
    <mergeCell ref="C693:D693"/>
    <mergeCell ref="C694:D694"/>
    <mergeCell ref="C695:D695"/>
    <mergeCell ref="C696:D696"/>
    <mergeCell ref="C697:D697"/>
    <mergeCell ref="C698:D698"/>
    <mergeCell ref="C699:D699"/>
    <mergeCell ref="C700:D700"/>
    <mergeCell ref="C701:D701"/>
    <mergeCell ref="C702:D702"/>
    <mergeCell ref="C703:D703"/>
    <mergeCell ref="G670:G685"/>
    <mergeCell ref="C671:D671"/>
    <mergeCell ref="C672:D672"/>
    <mergeCell ref="C673:D673"/>
    <mergeCell ref="C674:D674"/>
    <mergeCell ref="C675:D675"/>
    <mergeCell ref="C676:D676"/>
    <mergeCell ref="C677:D677"/>
    <mergeCell ref="C678:D678"/>
    <mergeCell ref="C679:D679"/>
    <mergeCell ref="C680:D680"/>
    <mergeCell ref="C681:D681"/>
    <mergeCell ref="C682:D682"/>
    <mergeCell ref="C705:D705"/>
    <mergeCell ref="C706:D706"/>
    <mergeCell ref="G706:G721"/>
    <mergeCell ref="C707:D707"/>
    <mergeCell ref="C708:D708"/>
    <mergeCell ref="C709:D709"/>
    <mergeCell ref="C710:D710"/>
    <mergeCell ref="C711:D711"/>
    <mergeCell ref="C712:D712"/>
    <mergeCell ref="C713:D713"/>
    <mergeCell ref="C714:D714"/>
    <mergeCell ref="C715:D715"/>
    <mergeCell ref="C716:D716"/>
    <mergeCell ref="C717:D717"/>
    <mergeCell ref="C718:D718"/>
    <mergeCell ref="C719:D719"/>
    <mergeCell ref="C720:D720"/>
    <mergeCell ref="C721:D721"/>
    <mergeCell ref="C723:D723"/>
    <mergeCell ref="C724:D724"/>
    <mergeCell ref="G724:G739"/>
    <mergeCell ref="C725:D725"/>
    <mergeCell ref="C726:D726"/>
    <mergeCell ref="C727:D727"/>
    <mergeCell ref="C728:D728"/>
    <mergeCell ref="C729:D729"/>
    <mergeCell ref="C730:D730"/>
    <mergeCell ref="C731:D731"/>
    <mergeCell ref="C732:D732"/>
    <mergeCell ref="C733:D733"/>
    <mergeCell ref="C734:D734"/>
    <mergeCell ref="C735:D735"/>
    <mergeCell ref="C736:D736"/>
    <mergeCell ref="C737:D737"/>
    <mergeCell ref="C738:D738"/>
    <mergeCell ref="C739:D739"/>
    <mergeCell ref="C741:D741"/>
    <mergeCell ref="C742:D742"/>
    <mergeCell ref="G742:G757"/>
    <mergeCell ref="C743:D743"/>
    <mergeCell ref="C744:D744"/>
    <mergeCell ref="C745:D745"/>
    <mergeCell ref="C746:D746"/>
    <mergeCell ref="C747:D747"/>
    <mergeCell ref="C748:D748"/>
    <mergeCell ref="C749:D749"/>
    <mergeCell ref="C750:D750"/>
    <mergeCell ref="C751:D751"/>
    <mergeCell ref="C752:D752"/>
    <mergeCell ref="C753:D753"/>
    <mergeCell ref="C754:D754"/>
    <mergeCell ref="C755:D755"/>
    <mergeCell ref="C756:D756"/>
    <mergeCell ref="C757:D757"/>
    <mergeCell ref="C759:D759"/>
    <mergeCell ref="C760:D760"/>
    <mergeCell ref="G760:G775"/>
    <mergeCell ref="C761:D761"/>
    <mergeCell ref="C762:D762"/>
    <mergeCell ref="C763:D763"/>
    <mergeCell ref="C764:D764"/>
    <mergeCell ref="C765:D765"/>
    <mergeCell ref="C766:D766"/>
    <mergeCell ref="C767:D767"/>
    <mergeCell ref="C768:D768"/>
    <mergeCell ref="C769:D769"/>
    <mergeCell ref="C770:D770"/>
    <mergeCell ref="C771:D771"/>
    <mergeCell ref="C772:D772"/>
    <mergeCell ref="C773:D773"/>
    <mergeCell ref="C774:D774"/>
    <mergeCell ref="C775:D775"/>
    <mergeCell ref="C777:D777"/>
    <mergeCell ref="C778:D778"/>
    <mergeCell ref="G778:G793"/>
    <mergeCell ref="C779:D779"/>
    <mergeCell ref="C780:D780"/>
    <mergeCell ref="C781:D781"/>
    <mergeCell ref="C782:D782"/>
    <mergeCell ref="C783:D783"/>
    <mergeCell ref="C784:D784"/>
    <mergeCell ref="C785:D785"/>
    <mergeCell ref="C786:D786"/>
    <mergeCell ref="C787:D787"/>
    <mergeCell ref="C788:D788"/>
    <mergeCell ref="C789:D789"/>
    <mergeCell ref="C790:D790"/>
    <mergeCell ref="C791:D791"/>
    <mergeCell ref="C792:D792"/>
    <mergeCell ref="C793:D793"/>
    <mergeCell ref="C795:D795"/>
    <mergeCell ref="C796:D796"/>
    <mergeCell ref="G796:G811"/>
    <mergeCell ref="C797:D797"/>
    <mergeCell ref="C798:D798"/>
    <mergeCell ref="C799:D799"/>
    <mergeCell ref="C800:D800"/>
    <mergeCell ref="C801:D801"/>
    <mergeCell ref="C802:D802"/>
    <mergeCell ref="C803:D803"/>
    <mergeCell ref="C804:D804"/>
    <mergeCell ref="C805:D805"/>
    <mergeCell ref="C806:D806"/>
    <mergeCell ref="C807:D807"/>
    <mergeCell ref="C808:D808"/>
    <mergeCell ref="C809:D809"/>
    <mergeCell ref="C810:D810"/>
    <mergeCell ref="C811:D811"/>
    <mergeCell ref="C813:D813"/>
    <mergeCell ref="C814:D814"/>
    <mergeCell ref="G814:G829"/>
    <mergeCell ref="C815:D815"/>
    <mergeCell ref="C816:D816"/>
    <mergeCell ref="C817:D817"/>
    <mergeCell ref="C818:D818"/>
    <mergeCell ref="C819:D819"/>
    <mergeCell ref="C820:D820"/>
    <mergeCell ref="C821:D821"/>
    <mergeCell ref="C822:D822"/>
    <mergeCell ref="C823:D823"/>
    <mergeCell ref="C824:D824"/>
    <mergeCell ref="C825:D825"/>
    <mergeCell ref="C826:D826"/>
    <mergeCell ref="C827:D827"/>
    <mergeCell ref="C828:D828"/>
    <mergeCell ref="C829:D829"/>
    <mergeCell ref="C831:D831"/>
    <mergeCell ref="C832:D832"/>
    <mergeCell ref="G832:G847"/>
    <mergeCell ref="C833:D833"/>
    <mergeCell ref="C834:D834"/>
    <mergeCell ref="C835:D835"/>
    <mergeCell ref="C836:D836"/>
    <mergeCell ref="C837:D837"/>
    <mergeCell ref="C838:D838"/>
    <mergeCell ref="C839:D839"/>
    <mergeCell ref="C840:D840"/>
    <mergeCell ref="C841:D841"/>
    <mergeCell ref="C842:D842"/>
    <mergeCell ref="C843:D843"/>
    <mergeCell ref="C844:D844"/>
    <mergeCell ref="C845:D845"/>
    <mergeCell ref="C846:D846"/>
    <mergeCell ref="C847:D847"/>
    <mergeCell ref="C849:D849"/>
    <mergeCell ref="C850:D850"/>
    <mergeCell ref="G850:G865"/>
    <mergeCell ref="C851:D851"/>
    <mergeCell ref="C852:D852"/>
    <mergeCell ref="C853:D853"/>
    <mergeCell ref="C854:D854"/>
    <mergeCell ref="C855:D855"/>
    <mergeCell ref="C856:D856"/>
    <mergeCell ref="C857:D857"/>
    <mergeCell ref="C858:D858"/>
    <mergeCell ref="C859:D859"/>
    <mergeCell ref="C860:D860"/>
    <mergeCell ref="C861:D861"/>
    <mergeCell ref="C862:D862"/>
    <mergeCell ref="C863:D863"/>
    <mergeCell ref="C864:D864"/>
    <mergeCell ref="C865:D865"/>
    <mergeCell ref="C867:D867"/>
    <mergeCell ref="C868:D868"/>
    <mergeCell ref="G868:G883"/>
    <mergeCell ref="C869:D869"/>
    <mergeCell ref="C870:D870"/>
    <mergeCell ref="C871:D871"/>
    <mergeCell ref="C872:D872"/>
    <mergeCell ref="C873:D873"/>
    <mergeCell ref="C874:D874"/>
    <mergeCell ref="C875:D875"/>
    <mergeCell ref="C876:D876"/>
    <mergeCell ref="C877:D877"/>
    <mergeCell ref="C878:D878"/>
    <mergeCell ref="C879:D879"/>
    <mergeCell ref="C880:D880"/>
    <mergeCell ref="C881:D881"/>
    <mergeCell ref="C882:D882"/>
    <mergeCell ref="C883:D883"/>
    <mergeCell ref="C885:D885"/>
    <mergeCell ref="C886:D886"/>
    <mergeCell ref="G886:G901"/>
    <mergeCell ref="C887:D887"/>
    <mergeCell ref="C888:D888"/>
    <mergeCell ref="C889:D889"/>
    <mergeCell ref="C890:D890"/>
    <mergeCell ref="C891:D891"/>
    <mergeCell ref="C892:D892"/>
    <mergeCell ref="C893:D893"/>
    <mergeCell ref="C894:D894"/>
    <mergeCell ref="C895:D895"/>
    <mergeCell ref="C896:D896"/>
    <mergeCell ref="C897:D897"/>
    <mergeCell ref="C898:D898"/>
    <mergeCell ref="C899:D899"/>
    <mergeCell ref="C900:D900"/>
    <mergeCell ref="C901:D901"/>
    <mergeCell ref="C903:D903"/>
    <mergeCell ref="C904:D904"/>
    <mergeCell ref="G904:G919"/>
    <mergeCell ref="C905:D905"/>
    <mergeCell ref="C906:D906"/>
    <mergeCell ref="C907:D907"/>
    <mergeCell ref="C908:D908"/>
    <mergeCell ref="C909:D909"/>
    <mergeCell ref="C910:D910"/>
    <mergeCell ref="C911:D911"/>
    <mergeCell ref="C912:D912"/>
    <mergeCell ref="C913:D913"/>
    <mergeCell ref="C914:D914"/>
    <mergeCell ref="C915:D915"/>
    <mergeCell ref="C916:D916"/>
    <mergeCell ref="C917:D917"/>
    <mergeCell ref="C918:D918"/>
    <mergeCell ref="C919:D919"/>
    <mergeCell ref="C921:D921"/>
    <mergeCell ref="C922:D922"/>
    <mergeCell ref="G922:G937"/>
    <mergeCell ref="C923:D923"/>
    <mergeCell ref="C924:D924"/>
    <mergeCell ref="C925:D925"/>
    <mergeCell ref="C926:D926"/>
    <mergeCell ref="C927:D927"/>
    <mergeCell ref="C928:D928"/>
    <mergeCell ref="C929:D929"/>
    <mergeCell ref="C930:D930"/>
    <mergeCell ref="C931:D931"/>
    <mergeCell ref="C932:D932"/>
    <mergeCell ref="C933:D933"/>
    <mergeCell ref="C934:D934"/>
    <mergeCell ref="C935:D935"/>
    <mergeCell ref="C936:D936"/>
    <mergeCell ref="C937:D937"/>
    <mergeCell ref="C939:D939"/>
    <mergeCell ref="C940:D940"/>
    <mergeCell ref="G940:G955"/>
    <mergeCell ref="C941:D941"/>
    <mergeCell ref="C942:D942"/>
    <mergeCell ref="C943:D943"/>
    <mergeCell ref="C944:D944"/>
    <mergeCell ref="C945:D945"/>
    <mergeCell ref="C946:D946"/>
    <mergeCell ref="C947:D947"/>
    <mergeCell ref="C948:D948"/>
    <mergeCell ref="C949:D949"/>
    <mergeCell ref="C950:D950"/>
    <mergeCell ref="C951:D951"/>
    <mergeCell ref="C952:D952"/>
    <mergeCell ref="C953:D953"/>
    <mergeCell ref="C954:D954"/>
    <mergeCell ref="C955:D955"/>
    <mergeCell ref="C957:D957"/>
    <mergeCell ref="C958:D958"/>
    <mergeCell ref="G958:G973"/>
    <mergeCell ref="C959:D959"/>
    <mergeCell ref="C960:D960"/>
    <mergeCell ref="C961:D961"/>
    <mergeCell ref="C962:D962"/>
    <mergeCell ref="C963:D963"/>
    <mergeCell ref="C964:D964"/>
    <mergeCell ref="C965:D965"/>
    <mergeCell ref="C966:D966"/>
    <mergeCell ref="C967:D967"/>
    <mergeCell ref="C968:D968"/>
    <mergeCell ref="C969:D969"/>
    <mergeCell ref="C970:D970"/>
    <mergeCell ref="C971:D971"/>
    <mergeCell ref="C972:D972"/>
    <mergeCell ref="C973:D973"/>
    <mergeCell ref="C975:D975"/>
    <mergeCell ref="C976:D976"/>
    <mergeCell ref="G976:G991"/>
    <mergeCell ref="C977:D977"/>
    <mergeCell ref="C978:D978"/>
    <mergeCell ref="C979:D979"/>
    <mergeCell ref="C980:D980"/>
    <mergeCell ref="C981:D981"/>
    <mergeCell ref="C982:D982"/>
    <mergeCell ref="C983:D983"/>
    <mergeCell ref="C984:D984"/>
    <mergeCell ref="C985:D985"/>
    <mergeCell ref="C986:D986"/>
    <mergeCell ref="C987:D987"/>
    <mergeCell ref="C988:D988"/>
    <mergeCell ref="C989:D989"/>
    <mergeCell ref="C990:D990"/>
    <mergeCell ref="C991:D991"/>
    <mergeCell ref="C993:D993"/>
    <mergeCell ref="C994:D994"/>
    <mergeCell ref="G994:G1009"/>
    <mergeCell ref="C995:D995"/>
    <mergeCell ref="C996:D996"/>
    <mergeCell ref="C997:D997"/>
    <mergeCell ref="C998:D998"/>
    <mergeCell ref="C999:D999"/>
    <mergeCell ref="C1000:D1000"/>
    <mergeCell ref="C1001:D1001"/>
    <mergeCell ref="C1002:D1002"/>
    <mergeCell ref="C1003:D1003"/>
    <mergeCell ref="C1004:D1004"/>
    <mergeCell ref="C1005:D1005"/>
    <mergeCell ref="C1006:D1006"/>
    <mergeCell ref="C1007:D1007"/>
    <mergeCell ref="C1008:D1008"/>
    <mergeCell ref="C1009:D1009"/>
    <mergeCell ref="C1011:D1011"/>
    <mergeCell ref="C1012:D1012"/>
    <mergeCell ref="G1012:G1027"/>
    <mergeCell ref="C1013:D1013"/>
    <mergeCell ref="C1014:D1014"/>
    <mergeCell ref="C1015:D1015"/>
    <mergeCell ref="C1016:D1016"/>
    <mergeCell ref="C1017:D1017"/>
    <mergeCell ref="C1018:D1018"/>
    <mergeCell ref="C1019:D1019"/>
    <mergeCell ref="C1020:D1020"/>
    <mergeCell ref="C1021:D1021"/>
    <mergeCell ref="C1022:D1022"/>
    <mergeCell ref="C1023:D1023"/>
    <mergeCell ref="C1024:D1024"/>
    <mergeCell ref="C1025:D1025"/>
    <mergeCell ref="C1026:D1026"/>
    <mergeCell ref="C1027:D1027"/>
    <mergeCell ref="C1029:D1029"/>
    <mergeCell ref="C1030:D1030"/>
    <mergeCell ref="G1030:G1045"/>
    <mergeCell ref="C1031:D1031"/>
    <mergeCell ref="C1032:D1032"/>
    <mergeCell ref="C1033:D1033"/>
    <mergeCell ref="C1034:D1034"/>
    <mergeCell ref="C1035:D1035"/>
    <mergeCell ref="C1036:D1036"/>
    <mergeCell ref="C1037:D1037"/>
    <mergeCell ref="C1038:D1038"/>
    <mergeCell ref="C1039:D1039"/>
    <mergeCell ref="C1040:D1040"/>
    <mergeCell ref="C1041:D1041"/>
    <mergeCell ref="C1042:D1042"/>
    <mergeCell ref="C1043:D1043"/>
    <mergeCell ref="C1044:D1044"/>
    <mergeCell ref="C1045:D1045"/>
    <mergeCell ref="C1047:D1047"/>
    <mergeCell ref="C1048:D1048"/>
    <mergeCell ref="G1048:G1063"/>
    <mergeCell ref="C1049:D1049"/>
    <mergeCell ref="C1050:D1050"/>
    <mergeCell ref="C1051:D1051"/>
    <mergeCell ref="C1052:D1052"/>
    <mergeCell ref="C1053:D1053"/>
    <mergeCell ref="C1054:D1054"/>
    <mergeCell ref="C1055:D1055"/>
    <mergeCell ref="C1056:D1056"/>
    <mergeCell ref="C1057:D1057"/>
    <mergeCell ref="C1058:D1058"/>
    <mergeCell ref="C1059:D1059"/>
    <mergeCell ref="C1060:D1060"/>
    <mergeCell ref="C1061:D1061"/>
    <mergeCell ref="C1062:D1062"/>
    <mergeCell ref="C1063:D1063"/>
    <mergeCell ref="C1065:D1065"/>
    <mergeCell ref="C1066:D1066"/>
    <mergeCell ref="G1066:G1081"/>
    <mergeCell ref="C1067:D1067"/>
    <mergeCell ref="C1068:D1068"/>
    <mergeCell ref="C1069:D1069"/>
    <mergeCell ref="C1070:D1070"/>
    <mergeCell ref="C1071:D1071"/>
    <mergeCell ref="C1072:D1072"/>
    <mergeCell ref="C1073:D1073"/>
    <mergeCell ref="C1074:D1074"/>
    <mergeCell ref="C1075:D1075"/>
    <mergeCell ref="C1076:D1076"/>
    <mergeCell ref="C1077:D1077"/>
    <mergeCell ref="C1078:D1078"/>
    <mergeCell ref="C1079:D1079"/>
    <mergeCell ref="C1080:D1080"/>
    <mergeCell ref="C1081:D1081"/>
    <mergeCell ref="C1083:D1083"/>
    <mergeCell ref="C1084:D1084"/>
    <mergeCell ref="G1084:G1099"/>
    <mergeCell ref="C1085:D1085"/>
    <mergeCell ref="C1086:D1086"/>
    <mergeCell ref="C1087:D1087"/>
    <mergeCell ref="C1088:D1088"/>
    <mergeCell ref="C1089:D1089"/>
    <mergeCell ref="C1090:D1090"/>
    <mergeCell ref="C1091:D1091"/>
    <mergeCell ref="C1092:D1092"/>
    <mergeCell ref="C1093:D1093"/>
    <mergeCell ref="C1094:D1094"/>
    <mergeCell ref="C1095:D1095"/>
    <mergeCell ref="C1096:D1096"/>
    <mergeCell ref="C1097:D1097"/>
    <mergeCell ref="C1098:D1098"/>
    <mergeCell ref="C1099:D1099"/>
    <mergeCell ref="C1101:D1101"/>
    <mergeCell ref="C1102:D1102"/>
    <mergeCell ref="G1102:G1117"/>
    <mergeCell ref="C1103:D1103"/>
    <mergeCell ref="C1104:D1104"/>
    <mergeCell ref="C1105:D1105"/>
    <mergeCell ref="C1106:D1106"/>
    <mergeCell ref="C1107:D1107"/>
    <mergeCell ref="C1108:D1108"/>
    <mergeCell ref="C1109:D1109"/>
    <mergeCell ref="C1110:D1110"/>
    <mergeCell ref="C1111:D1111"/>
    <mergeCell ref="C1112:D1112"/>
    <mergeCell ref="C1113:D1113"/>
    <mergeCell ref="C1114:D1114"/>
    <mergeCell ref="C1115:D1115"/>
    <mergeCell ref="C1116:D1116"/>
    <mergeCell ref="C1117:D1117"/>
    <mergeCell ref="C1119:D1119"/>
    <mergeCell ref="C1120:D1120"/>
    <mergeCell ref="G1120:G1135"/>
    <mergeCell ref="C1121:D1121"/>
    <mergeCell ref="C1122:D1122"/>
    <mergeCell ref="C1123:D1123"/>
    <mergeCell ref="C1124:D1124"/>
    <mergeCell ref="C1125:D1125"/>
    <mergeCell ref="C1126:D1126"/>
    <mergeCell ref="C1127:D1127"/>
    <mergeCell ref="C1128:D1128"/>
    <mergeCell ref="C1129:D1129"/>
    <mergeCell ref="C1130:D1130"/>
    <mergeCell ref="C1131:D1131"/>
    <mergeCell ref="C1132:D1132"/>
    <mergeCell ref="C1133:D1133"/>
    <mergeCell ref="C1134:D1134"/>
    <mergeCell ref="C1135:D1135"/>
    <mergeCell ref="C1137:D1137"/>
    <mergeCell ref="C1138:D1138"/>
    <mergeCell ref="G1138:G1153"/>
    <mergeCell ref="C1139:D1139"/>
    <mergeCell ref="C1140:D1140"/>
    <mergeCell ref="C1141:D1141"/>
    <mergeCell ref="C1142:D1142"/>
    <mergeCell ref="C1143:D1143"/>
    <mergeCell ref="C1144:D1144"/>
    <mergeCell ref="C1145:D1145"/>
    <mergeCell ref="C1146:D1146"/>
    <mergeCell ref="C1147:D1147"/>
    <mergeCell ref="C1148:D1148"/>
    <mergeCell ref="C1149:D1149"/>
    <mergeCell ref="C1150:D1150"/>
    <mergeCell ref="C1151:D1151"/>
    <mergeCell ref="C1152:D1152"/>
    <mergeCell ref="C1153:D1153"/>
    <mergeCell ref="C1155:D1155"/>
    <mergeCell ref="C1156:D1156"/>
    <mergeCell ref="G1156:G1171"/>
    <mergeCell ref="C1157:D1157"/>
    <mergeCell ref="C1158:D1158"/>
    <mergeCell ref="C1159:D1159"/>
    <mergeCell ref="C1160:D1160"/>
    <mergeCell ref="C1161:D1161"/>
    <mergeCell ref="C1162:D1162"/>
    <mergeCell ref="C1163:D1163"/>
    <mergeCell ref="C1164:D1164"/>
    <mergeCell ref="C1165:D1165"/>
    <mergeCell ref="C1166:D1166"/>
    <mergeCell ref="C1167:D1167"/>
    <mergeCell ref="C1168:D1168"/>
    <mergeCell ref="C1169:D1169"/>
    <mergeCell ref="C1170:D1170"/>
    <mergeCell ref="C1171:D1171"/>
    <mergeCell ref="C1173:D1173"/>
    <mergeCell ref="C1174:D1174"/>
    <mergeCell ref="G1174:G1189"/>
    <mergeCell ref="C1175:D1175"/>
    <mergeCell ref="C1176:D1176"/>
    <mergeCell ref="C1177:D1177"/>
    <mergeCell ref="C1178:D1178"/>
    <mergeCell ref="C1179:D1179"/>
    <mergeCell ref="C1180:D1180"/>
    <mergeCell ref="C1181:D1181"/>
    <mergeCell ref="C1182:D1182"/>
    <mergeCell ref="C1183:D1183"/>
    <mergeCell ref="C1184:D1184"/>
    <mergeCell ref="C1185:D1185"/>
    <mergeCell ref="C1186:D1186"/>
    <mergeCell ref="C1187:D1187"/>
    <mergeCell ref="C1188:D1188"/>
    <mergeCell ref="C1189:D1189"/>
    <mergeCell ref="C1191:D1191"/>
    <mergeCell ref="C1192:D1192"/>
    <mergeCell ref="G1192:G1207"/>
    <mergeCell ref="C1193:D1193"/>
    <mergeCell ref="C1194:D1194"/>
    <mergeCell ref="C1195:D1195"/>
    <mergeCell ref="C1196:D1196"/>
    <mergeCell ref="C1197:D1197"/>
    <mergeCell ref="C1198:D1198"/>
    <mergeCell ref="C1199:D1199"/>
    <mergeCell ref="C1200:D1200"/>
    <mergeCell ref="C1201:D1201"/>
    <mergeCell ref="C1202:D1202"/>
    <mergeCell ref="C1203:D1203"/>
    <mergeCell ref="C1204:D1204"/>
    <mergeCell ref="C1205:D1205"/>
    <mergeCell ref="C1206:D1206"/>
    <mergeCell ref="C1207:D1207"/>
    <mergeCell ref="C1209:D1209"/>
    <mergeCell ref="C1210:D1210"/>
    <mergeCell ref="G1210:G1225"/>
    <mergeCell ref="C1211:D1211"/>
    <mergeCell ref="C1212:D1212"/>
    <mergeCell ref="C1213:D1213"/>
    <mergeCell ref="C1214:D1214"/>
    <mergeCell ref="C1215:D1215"/>
    <mergeCell ref="C1216:D1216"/>
    <mergeCell ref="C1217:D1217"/>
    <mergeCell ref="C1218:D1218"/>
    <mergeCell ref="C1219:D1219"/>
    <mergeCell ref="C1220:D1220"/>
    <mergeCell ref="C1221:D1221"/>
    <mergeCell ref="C1222:D1222"/>
    <mergeCell ref="C1223:D1223"/>
    <mergeCell ref="C1224:D1224"/>
    <mergeCell ref="C1225:D1225"/>
    <mergeCell ref="C1227:D1227"/>
    <mergeCell ref="C1228:D1228"/>
    <mergeCell ref="G1228:G1243"/>
    <mergeCell ref="C1229:D1229"/>
    <mergeCell ref="C1230:D1230"/>
    <mergeCell ref="C1231:D1231"/>
    <mergeCell ref="C1232:D1232"/>
    <mergeCell ref="C1233:D1233"/>
    <mergeCell ref="C1234:D1234"/>
    <mergeCell ref="C1235:D1235"/>
    <mergeCell ref="C1236:D1236"/>
    <mergeCell ref="C1237:D1237"/>
    <mergeCell ref="C1238:D1238"/>
    <mergeCell ref="C1239:D1239"/>
    <mergeCell ref="C1240:D1240"/>
    <mergeCell ref="C1241:D1241"/>
    <mergeCell ref="C1242:D1242"/>
    <mergeCell ref="C1243:D1243"/>
    <mergeCell ref="C1245:D1245"/>
    <mergeCell ref="C1246:D1246"/>
    <mergeCell ref="G1246:G1261"/>
    <mergeCell ref="C1247:D1247"/>
    <mergeCell ref="C1248:D1248"/>
    <mergeCell ref="C1249:D1249"/>
    <mergeCell ref="C1250:D1250"/>
    <mergeCell ref="C1251:D1251"/>
    <mergeCell ref="C1252:D1252"/>
    <mergeCell ref="C1253:D1253"/>
    <mergeCell ref="C1254:D1254"/>
    <mergeCell ref="C1255:D1255"/>
    <mergeCell ref="C1256:D1256"/>
    <mergeCell ref="C1257:D1257"/>
    <mergeCell ref="C1258:D1258"/>
    <mergeCell ref="C1259:D1259"/>
    <mergeCell ref="C1260:D1260"/>
    <mergeCell ref="C1261:D1261"/>
    <mergeCell ref="C1263:D1263"/>
    <mergeCell ref="C1264:D1264"/>
    <mergeCell ref="G1264:G1279"/>
    <mergeCell ref="C1265:D1265"/>
    <mergeCell ref="C1266:D1266"/>
    <mergeCell ref="C1267:D1267"/>
    <mergeCell ref="C1268:D1268"/>
    <mergeCell ref="C1269:D1269"/>
    <mergeCell ref="C1270:D1270"/>
    <mergeCell ref="C1271:D1271"/>
    <mergeCell ref="C1272:D1272"/>
    <mergeCell ref="C1273:D1273"/>
    <mergeCell ref="C1274:D1274"/>
    <mergeCell ref="C1275:D1275"/>
    <mergeCell ref="C1276:D1276"/>
    <mergeCell ref="C1277:D1277"/>
    <mergeCell ref="C1278:D1278"/>
    <mergeCell ref="C1279:D1279"/>
    <mergeCell ref="C1281:D1281"/>
    <mergeCell ref="C1282:D1282"/>
    <mergeCell ref="G1282:G1297"/>
    <mergeCell ref="C1283:D1283"/>
    <mergeCell ref="C1284:D1284"/>
    <mergeCell ref="C1285:D1285"/>
    <mergeCell ref="C1286:D1286"/>
    <mergeCell ref="C1287:D1287"/>
    <mergeCell ref="C1288:D1288"/>
    <mergeCell ref="C1289:D1289"/>
    <mergeCell ref="C1290:D1290"/>
    <mergeCell ref="C1291:D1291"/>
    <mergeCell ref="C1292:D1292"/>
    <mergeCell ref="C1293:D1293"/>
    <mergeCell ref="C1294:D1294"/>
    <mergeCell ref="C1295:D1295"/>
    <mergeCell ref="C1296:D1296"/>
    <mergeCell ref="C1297:D1297"/>
    <mergeCell ref="C1299:D1299"/>
    <mergeCell ref="C1300:D1300"/>
    <mergeCell ref="G1300:G1315"/>
    <mergeCell ref="C1301:D1301"/>
    <mergeCell ref="C1302:D1302"/>
    <mergeCell ref="C1303:D1303"/>
    <mergeCell ref="C1304:D1304"/>
    <mergeCell ref="C1305:D1305"/>
    <mergeCell ref="C1306:D1306"/>
    <mergeCell ref="C1307:D1307"/>
    <mergeCell ref="C1308:D1308"/>
    <mergeCell ref="C1309:D1309"/>
    <mergeCell ref="C1310:D1310"/>
    <mergeCell ref="C1311:D1311"/>
    <mergeCell ref="C1312:D1312"/>
    <mergeCell ref="C1313:D1313"/>
    <mergeCell ref="C1314:D1314"/>
    <mergeCell ref="C1315:D1315"/>
    <mergeCell ref="C1317:D1317"/>
    <mergeCell ref="C1318:D1318"/>
    <mergeCell ref="G1318:G1333"/>
    <mergeCell ref="C1319:D1319"/>
    <mergeCell ref="C1320:D1320"/>
    <mergeCell ref="C1321:D1321"/>
    <mergeCell ref="C1322:D1322"/>
    <mergeCell ref="C1323:D1323"/>
    <mergeCell ref="C1324:D1324"/>
    <mergeCell ref="C1325:D1325"/>
    <mergeCell ref="C1326:D1326"/>
    <mergeCell ref="C1327:D1327"/>
    <mergeCell ref="C1328:D1328"/>
    <mergeCell ref="C1329:D1329"/>
    <mergeCell ref="C1330:D1330"/>
    <mergeCell ref="C1331:D1331"/>
    <mergeCell ref="C1332:D1332"/>
    <mergeCell ref="C1333:D1333"/>
    <mergeCell ref="C1335:D1335"/>
    <mergeCell ref="C1336:D1336"/>
    <mergeCell ref="G1336:G1351"/>
    <mergeCell ref="C1337:D1337"/>
    <mergeCell ref="C1338:D1338"/>
    <mergeCell ref="C1339:D1339"/>
    <mergeCell ref="C1340:D1340"/>
    <mergeCell ref="C1341:D1341"/>
    <mergeCell ref="C1342:D1342"/>
    <mergeCell ref="C1343:D1343"/>
    <mergeCell ref="C1344:D1344"/>
    <mergeCell ref="C1345:D1345"/>
    <mergeCell ref="C1346:D1346"/>
    <mergeCell ref="C1347:D1347"/>
    <mergeCell ref="C1348:D1348"/>
    <mergeCell ref="C1349:D1349"/>
    <mergeCell ref="C1350:D1350"/>
    <mergeCell ref="C1351:D1351"/>
    <mergeCell ref="C1353:D1353"/>
    <mergeCell ref="C1354:D1354"/>
    <mergeCell ref="G1354:G1369"/>
    <mergeCell ref="C1355:D1355"/>
    <mergeCell ref="C1356:D1356"/>
    <mergeCell ref="C1357:D1357"/>
    <mergeCell ref="C1358:D1358"/>
    <mergeCell ref="C1359:D1359"/>
    <mergeCell ref="C1360:D1360"/>
    <mergeCell ref="C1361:D1361"/>
    <mergeCell ref="C1362:D1362"/>
    <mergeCell ref="C1363:D1363"/>
    <mergeCell ref="C1364:D1364"/>
    <mergeCell ref="C1365:D1365"/>
    <mergeCell ref="C1366:D1366"/>
    <mergeCell ref="C1367:D1367"/>
    <mergeCell ref="C1368:D1368"/>
    <mergeCell ref="C1369:D1369"/>
    <mergeCell ref="C1371:D1371"/>
    <mergeCell ref="C1372:D1372"/>
    <mergeCell ref="G1372:G1387"/>
    <mergeCell ref="C1373:D1373"/>
    <mergeCell ref="C1374:D1374"/>
    <mergeCell ref="C1375:D1375"/>
    <mergeCell ref="C1376:D1376"/>
    <mergeCell ref="C1377:D1377"/>
    <mergeCell ref="C1378:D1378"/>
    <mergeCell ref="C1379:D1379"/>
    <mergeCell ref="C1380:D1380"/>
    <mergeCell ref="C1381:D1381"/>
    <mergeCell ref="C1382:D1382"/>
    <mergeCell ref="C1383:D1383"/>
    <mergeCell ref="C1384:D1384"/>
    <mergeCell ref="C1385:D1385"/>
    <mergeCell ref="C1386:D1386"/>
    <mergeCell ref="C1387:D1387"/>
    <mergeCell ref="C1389:D1389"/>
    <mergeCell ref="C1390:D1390"/>
    <mergeCell ref="G1390:G1405"/>
    <mergeCell ref="C1391:D1391"/>
    <mergeCell ref="C1392:D1392"/>
    <mergeCell ref="C1393:D1393"/>
    <mergeCell ref="C1394:D1394"/>
    <mergeCell ref="C1395:D1395"/>
    <mergeCell ref="C1396:D1396"/>
    <mergeCell ref="C1397:D1397"/>
    <mergeCell ref="C1398:D1398"/>
    <mergeCell ref="C1399:D1399"/>
    <mergeCell ref="C1400:D1400"/>
    <mergeCell ref="C1401:D1401"/>
    <mergeCell ref="C1402:D1402"/>
    <mergeCell ref="C1403:D1403"/>
    <mergeCell ref="C1404:D1404"/>
    <mergeCell ref="C1405:D1405"/>
    <mergeCell ref="C1407:D1407"/>
    <mergeCell ref="C1408:D1408"/>
    <mergeCell ref="G1408:G1423"/>
    <mergeCell ref="C1409:D1409"/>
    <mergeCell ref="C1410:D1410"/>
    <mergeCell ref="C1411:D1411"/>
    <mergeCell ref="C1412:D1412"/>
    <mergeCell ref="C1413:D1413"/>
    <mergeCell ref="C1414:D1414"/>
    <mergeCell ref="C1415:D1415"/>
    <mergeCell ref="C1416:D1416"/>
    <mergeCell ref="C1417:D1417"/>
    <mergeCell ref="C1418:D1418"/>
    <mergeCell ref="C1419:D1419"/>
    <mergeCell ref="C1420:D1420"/>
    <mergeCell ref="C1421:D1421"/>
    <mergeCell ref="C1422:D1422"/>
    <mergeCell ref="C1423:D1423"/>
    <mergeCell ref="C1425:D1425"/>
    <mergeCell ref="C1426:D1426"/>
    <mergeCell ref="G1426:G1441"/>
    <mergeCell ref="C1427:D1427"/>
    <mergeCell ref="C1428:D1428"/>
    <mergeCell ref="C1429:D1429"/>
    <mergeCell ref="C1430:D1430"/>
    <mergeCell ref="C1431:D1431"/>
    <mergeCell ref="C1432:D1432"/>
    <mergeCell ref="C1433:D1433"/>
    <mergeCell ref="C1434:D1434"/>
    <mergeCell ref="C1435:D1435"/>
    <mergeCell ref="C1436:D1436"/>
    <mergeCell ref="C1437:D1437"/>
    <mergeCell ref="C1438:D1438"/>
    <mergeCell ref="C1439:D1439"/>
    <mergeCell ref="C1440:D1440"/>
    <mergeCell ref="C1441:D1441"/>
    <mergeCell ref="C1443:D1443"/>
    <mergeCell ref="C1444:D1444"/>
    <mergeCell ref="G1444:G1459"/>
    <mergeCell ref="C1445:D1445"/>
    <mergeCell ref="C1446:D1446"/>
    <mergeCell ref="C1447:D1447"/>
    <mergeCell ref="C1448:D1448"/>
    <mergeCell ref="C1449:D1449"/>
    <mergeCell ref="C1450:D1450"/>
    <mergeCell ref="C1451:D1451"/>
    <mergeCell ref="C1452:D1452"/>
    <mergeCell ref="C1453:D1453"/>
    <mergeCell ref="C1454:D1454"/>
    <mergeCell ref="C1455:D1455"/>
    <mergeCell ref="C1456:D1456"/>
    <mergeCell ref="C1457:D1457"/>
    <mergeCell ref="C1458:D1458"/>
    <mergeCell ref="C1459:D1459"/>
    <mergeCell ref="C1461:D1461"/>
    <mergeCell ref="C1462:D1462"/>
    <mergeCell ref="G1462:G1477"/>
    <mergeCell ref="C1463:D1463"/>
    <mergeCell ref="C1464:D1464"/>
    <mergeCell ref="C1465:D1465"/>
    <mergeCell ref="C1466:D1466"/>
    <mergeCell ref="C1467:D1467"/>
    <mergeCell ref="C1468:D1468"/>
    <mergeCell ref="C1469:D1469"/>
    <mergeCell ref="C1470:D1470"/>
    <mergeCell ref="C1471:D1471"/>
    <mergeCell ref="C1472:D1472"/>
    <mergeCell ref="C1473:D1473"/>
    <mergeCell ref="C1474:D1474"/>
    <mergeCell ref="C1475:D1475"/>
    <mergeCell ref="C1476:D1476"/>
    <mergeCell ref="C1477:D1477"/>
    <mergeCell ref="C1479:D1479"/>
    <mergeCell ref="C1480:D1480"/>
    <mergeCell ref="G1480:G1495"/>
    <mergeCell ref="C1481:D1481"/>
    <mergeCell ref="C1482:D1482"/>
    <mergeCell ref="C1483:D1483"/>
    <mergeCell ref="C1484:D1484"/>
    <mergeCell ref="C1485:D1485"/>
    <mergeCell ref="C1486:D1486"/>
    <mergeCell ref="C1487:D1487"/>
    <mergeCell ref="C1488:D1488"/>
    <mergeCell ref="C1489:D1489"/>
    <mergeCell ref="C1490:D1490"/>
    <mergeCell ref="C1491:D1491"/>
    <mergeCell ref="C1492:D1492"/>
    <mergeCell ref="C1493:D1493"/>
    <mergeCell ref="C1494:D1494"/>
    <mergeCell ref="C1495:D1495"/>
    <mergeCell ref="C1497:D1497"/>
    <mergeCell ref="C1498:D1498"/>
    <mergeCell ref="G1498:G1513"/>
    <mergeCell ref="C1499:D1499"/>
    <mergeCell ref="C1500:D1500"/>
    <mergeCell ref="C1501:D1501"/>
    <mergeCell ref="C1502:D1502"/>
    <mergeCell ref="C1503:D1503"/>
    <mergeCell ref="C1504:D1504"/>
    <mergeCell ref="C1505:D1505"/>
    <mergeCell ref="C1506:D1506"/>
    <mergeCell ref="C1507:D1507"/>
    <mergeCell ref="C1508:D1508"/>
    <mergeCell ref="C1509:D1509"/>
    <mergeCell ref="C1510:D1510"/>
    <mergeCell ref="C1511:D1511"/>
    <mergeCell ref="C1512:D1512"/>
    <mergeCell ref="C1513:D1513"/>
    <mergeCell ref="C1515:D1515"/>
    <mergeCell ref="C1516:D1516"/>
    <mergeCell ref="G1516:G1531"/>
    <mergeCell ref="C1517:D1517"/>
    <mergeCell ref="C1518:D1518"/>
    <mergeCell ref="C1519:D1519"/>
    <mergeCell ref="C1520:D1520"/>
    <mergeCell ref="C1521:D1521"/>
    <mergeCell ref="C1522:D1522"/>
    <mergeCell ref="C1523:D1523"/>
    <mergeCell ref="C1524:D1524"/>
    <mergeCell ref="C1525:D1525"/>
    <mergeCell ref="C1526:D1526"/>
    <mergeCell ref="C1527:D1527"/>
    <mergeCell ref="C1528:D1528"/>
    <mergeCell ref="C1529:D1529"/>
    <mergeCell ref="C1530:D1530"/>
    <mergeCell ref="C1531:D1531"/>
    <mergeCell ref="C1533:D1533"/>
    <mergeCell ref="C1534:D1534"/>
    <mergeCell ref="G1534:G1549"/>
    <mergeCell ref="C1535:D1535"/>
    <mergeCell ref="C1536:D1536"/>
    <mergeCell ref="C1537:D1537"/>
    <mergeCell ref="C1538:D1538"/>
    <mergeCell ref="C1539:D1539"/>
    <mergeCell ref="C1540:D1540"/>
    <mergeCell ref="C1541:D1541"/>
    <mergeCell ref="C1542:D1542"/>
    <mergeCell ref="C1543:D1543"/>
    <mergeCell ref="C1544:D1544"/>
    <mergeCell ref="C1545:D1545"/>
    <mergeCell ref="C1546:D1546"/>
    <mergeCell ref="C1547:D1547"/>
    <mergeCell ref="C1548:D1548"/>
    <mergeCell ref="C1549:D1549"/>
    <mergeCell ref="C1551:D1551"/>
    <mergeCell ref="C1552:D1552"/>
    <mergeCell ref="G1552:G1567"/>
    <mergeCell ref="C1553:D1553"/>
    <mergeCell ref="C1554:D1554"/>
    <mergeCell ref="C1555:D1555"/>
    <mergeCell ref="C1556:D1556"/>
    <mergeCell ref="C1557:D1557"/>
    <mergeCell ref="C1558:D1558"/>
    <mergeCell ref="C1559:D1559"/>
    <mergeCell ref="C1560:D1560"/>
    <mergeCell ref="C1561:D1561"/>
    <mergeCell ref="C1562:D1562"/>
    <mergeCell ref="C1563:D1563"/>
    <mergeCell ref="C1564:D1564"/>
    <mergeCell ref="C1565:D1565"/>
    <mergeCell ref="C1566:D1566"/>
    <mergeCell ref="C1567:D1567"/>
    <mergeCell ref="C1569:D1569"/>
    <mergeCell ref="C1570:D1570"/>
    <mergeCell ref="G1570:G1585"/>
    <mergeCell ref="C1571:D1571"/>
    <mergeCell ref="C1572:D1572"/>
    <mergeCell ref="C1573:D1573"/>
    <mergeCell ref="C1574:D1574"/>
    <mergeCell ref="C1575:D1575"/>
    <mergeCell ref="C1576:D1576"/>
    <mergeCell ref="C1577:D1577"/>
    <mergeCell ref="C1578:D1578"/>
    <mergeCell ref="C1579:D1579"/>
    <mergeCell ref="C1580:D1580"/>
    <mergeCell ref="C1581:D1581"/>
    <mergeCell ref="C1582:D1582"/>
    <mergeCell ref="C1583:D1583"/>
    <mergeCell ref="C1584:D1584"/>
    <mergeCell ref="C1585:D1585"/>
    <mergeCell ref="C1587:D1587"/>
    <mergeCell ref="C1588:D1588"/>
    <mergeCell ref="G1588:G1603"/>
    <mergeCell ref="C1589:D1589"/>
    <mergeCell ref="C1590:D1590"/>
    <mergeCell ref="C1591:D1591"/>
    <mergeCell ref="C1592:D1592"/>
    <mergeCell ref="C1593:D1593"/>
    <mergeCell ref="C1594:D1594"/>
    <mergeCell ref="C1595:D1595"/>
    <mergeCell ref="C1596:D1596"/>
    <mergeCell ref="C1597:D1597"/>
    <mergeCell ref="C1598:D1598"/>
    <mergeCell ref="C1599:D1599"/>
    <mergeCell ref="C1600:D1600"/>
    <mergeCell ref="C1601:D1601"/>
    <mergeCell ref="C1602:D1602"/>
    <mergeCell ref="C1603:D1603"/>
    <mergeCell ref="C1605:D1605"/>
    <mergeCell ref="C1606:D1606"/>
    <mergeCell ref="G1606:G1621"/>
    <mergeCell ref="C1607:D1607"/>
    <mergeCell ref="C1608:D1608"/>
    <mergeCell ref="C1609:D1609"/>
    <mergeCell ref="C1610:D1610"/>
    <mergeCell ref="C1611:D1611"/>
    <mergeCell ref="C1612:D1612"/>
    <mergeCell ref="C1613:D1613"/>
    <mergeCell ref="C1614:D1614"/>
    <mergeCell ref="C1615:D1615"/>
    <mergeCell ref="C1616:D1616"/>
    <mergeCell ref="C1617:D1617"/>
    <mergeCell ref="C1618:D1618"/>
    <mergeCell ref="C1619:D1619"/>
    <mergeCell ref="C1620:D1620"/>
    <mergeCell ref="C1621:D1621"/>
    <mergeCell ref="C1623:D1623"/>
    <mergeCell ref="C1624:D1624"/>
    <mergeCell ref="G1624:G1639"/>
    <mergeCell ref="C1625:D1625"/>
    <mergeCell ref="C1626:D1626"/>
    <mergeCell ref="C1627:D1627"/>
    <mergeCell ref="C1628:D1628"/>
    <mergeCell ref="C1629:D1629"/>
    <mergeCell ref="C1630:D1630"/>
    <mergeCell ref="C1631:D1631"/>
    <mergeCell ref="C1632:D1632"/>
    <mergeCell ref="C1633:D1633"/>
    <mergeCell ref="C1634:D1634"/>
    <mergeCell ref="C1635:D1635"/>
    <mergeCell ref="C1636:D1636"/>
    <mergeCell ref="C1637:D1637"/>
    <mergeCell ref="C1638:D1638"/>
    <mergeCell ref="C1639:D1639"/>
    <mergeCell ref="C1641:D1641"/>
    <mergeCell ref="C1642:D1642"/>
    <mergeCell ref="G1642:G1657"/>
    <mergeCell ref="C1643:D1643"/>
    <mergeCell ref="C1644:D1644"/>
    <mergeCell ref="C1645:D1645"/>
    <mergeCell ref="C1646:D1646"/>
    <mergeCell ref="C1647:D1647"/>
    <mergeCell ref="C1648:D1648"/>
    <mergeCell ref="C1649:D1649"/>
    <mergeCell ref="C1650:D1650"/>
    <mergeCell ref="C1651:D1651"/>
    <mergeCell ref="C1652:D1652"/>
    <mergeCell ref="C1653:D1653"/>
    <mergeCell ref="C1654:D1654"/>
    <mergeCell ref="C1655:D1655"/>
    <mergeCell ref="C1656:D1656"/>
    <mergeCell ref="C1657:D1657"/>
    <mergeCell ref="C1659:D1659"/>
    <mergeCell ref="C1660:D1660"/>
    <mergeCell ref="G1660:G1675"/>
    <mergeCell ref="C1661:D1661"/>
    <mergeCell ref="C1662:D1662"/>
    <mergeCell ref="C1663:D1663"/>
    <mergeCell ref="C1664:D1664"/>
    <mergeCell ref="C1665:D1665"/>
    <mergeCell ref="C1666:D1666"/>
    <mergeCell ref="C1667:D1667"/>
    <mergeCell ref="C1668:D1668"/>
    <mergeCell ref="C1669:D1669"/>
    <mergeCell ref="C1670:D1670"/>
    <mergeCell ref="C1671:D1671"/>
    <mergeCell ref="C1672:D1672"/>
    <mergeCell ref="C1673:D1673"/>
    <mergeCell ref="C1674:D1674"/>
    <mergeCell ref="C1675:D1675"/>
    <mergeCell ref="C1677:D1677"/>
    <mergeCell ref="C1678:D1678"/>
    <mergeCell ref="G1678:G1693"/>
    <mergeCell ref="C1679:D1679"/>
    <mergeCell ref="C1680:D1680"/>
    <mergeCell ref="C1681:D1681"/>
    <mergeCell ref="C1682:D1682"/>
    <mergeCell ref="C1683:D1683"/>
    <mergeCell ref="C1684:D1684"/>
    <mergeCell ref="C1685:D1685"/>
    <mergeCell ref="C1686:D1686"/>
    <mergeCell ref="C1687:D1687"/>
    <mergeCell ref="C1688:D1688"/>
    <mergeCell ref="C1689:D1689"/>
    <mergeCell ref="C1690:D1690"/>
    <mergeCell ref="C1691:D1691"/>
    <mergeCell ref="C1692:D1692"/>
    <mergeCell ref="C1693:D1693"/>
    <mergeCell ref="C1695:D1695"/>
    <mergeCell ref="C1696:D1696"/>
    <mergeCell ref="G1696:G1711"/>
    <mergeCell ref="C1697:D1697"/>
    <mergeCell ref="C1698:D1698"/>
    <mergeCell ref="C1699:D1699"/>
    <mergeCell ref="C1700:D1700"/>
    <mergeCell ref="C1701:D1701"/>
    <mergeCell ref="C1702:D1702"/>
    <mergeCell ref="C1703:D1703"/>
    <mergeCell ref="C1704:D1704"/>
    <mergeCell ref="C1705:D1705"/>
    <mergeCell ref="C1706:D1706"/>
    <mergeCell ref="C1707:D1707"/>
    <mergeCell ref="C1708:D1708"/>
    <mergeCell ref="C1709:D1709"/>
    <mergeCell ref="C1710:D1710"/>
    <mergeCell ref="C1711:D1711"/>
    <mergeCell ref="C1713:D1713"/>
    <mergeCell ref="C1714:D1714"/>
    <mergeCell ref="G1714:G1729"/>
    <mergeCell ref="C1715:D1715"/>
    <mergeCell ref="C1716:D1716"/>
    <mergeCell ref="C1717:D1717"/>
    <mergeCell ref="C1718:D1718"/>
    <mergeCell ref="C1719:D1719"/>
    <mergeCell ref="C1720:D1720"/>
    <mergeCell ref="C1721:D1721"/>
    <mergeCell ref="C1722:D1722"/>
    <mergeCell ref="C1723:D1723"/>
    <mergeCell ref="C1724:D1724"/>
    <mergeCell ref="C1725:D1725"/>
    <mergeCell ref="C1726:D1726"/>
    <mergeCell ref="C1727:D1727"/>
    <mergeCell ref="C1728:D1728"/>
    <mergeCell ref="C1729:D1729"/>
    <mergeCell ref="C1731:D1731"/>
    <mergeCell ref="C1732:D1732"/>
    <mergeCell ref="G1732:G1747"/>
    <mergeCell ref="C1733:D1733"/>
    <mergeCell ref="C1734:D1734"/>
    <mergeCell ref="C1735:D1735"/>
    <mergeCell ref="C1736:D1736"/>
    <mergeCell ref="C1737:D1737"/>
    <mergeCell ref="C1738:D1738"/>
    <mergeCell ref="C1739:D1739"/>
    <mergeCell ref="C1740:D1740"/>
    <mergeCell ref="C1741:D1741"/>
    <mergeCell ref="C1742:D1742"/>
    <mergeCell ref="C1743:D1743"/>
    <mergeCell ref="C1744:D1744"/>
    <mergeCell ref="C1745:D1745"/>
    <mergeCell ref="C1746:D1746"/>
    <mergeCell ref="C1747:D1747"/>
    <mergeCell ref="C1749:D1749"/>
    <mergeCell ref="C1750:D1750"/>
    <mergeCell ref="G1750:G1765"/>
    <mergeCell ref="C1751:D1751"/>
    <mergeCell ref="C1752:D1752"/>
    <mergeCell ref="C1753:D1753"/>
    <mergeCell ref="C1754:D1754"/>
    <mergeCell ref="C1755:D1755"/>
    <mergeCell ref="C1756:D1756"/>
    <mergeCell ref="C1757:D1757"/>
    <mergeCell ref="C1758:D1758"/>
    <mergeCell ref="C1759:D1759"/>
    <mergeCell ref="C1760:D1760"/>
    <mergeCell ref="C1761:D1761"/>
    <mergeCell ref="C1762:D1762"/>
    <mergeCell ref="C1763:D1763"/>
    <mergeCell ref="C1764:D1764"/>
    <mergeCell ref="C1765:D1765"/>
    <mergeCell ref="C1767:D1767"/>
    <mergeCell ref="C1768:D1768"/>
    <mergeCell ref="G1768:G1783"/>
    <mergeCell ref="C1769:D1769"/>
    <mergeCell ref="C1770:D1770"/>
    <mergeCell ref="C1771:D1771"/>
    <mergeCell ref="C1772:D1772"/>
    <mergeCell ref="C1773:D1773"/>
    <mergeCell ref="C1774:D1774"/>
    <mergeCell ref="C1775:D1775"/>
    <mergeCell ref="C1776:D1776"/>
    <mergeCell ref="C1777:D1777"/>
    <mergeCell ref="C1778:D1778"/>
    <mergeCell ref="C1779:D1779"/>
    <mergeCell ref="C1780:D1780"/>
    <mergeCell ref="C1781:D1781"/>
    <mergeCell ref="C1782:D1782"/>
    <mergeCell ref="C1783:D1783"/>
    <mergeCell ref="C1785:D1785"/>
    <mergeCell ref="C1786:D1786"/>
    <mergeCell ref="G1786:G1801"/>
    <mergeCell ref="C1787:D1787"/>
    <mergeCell ref="C1788:D1788"/>
    <mergeCell ref="C1789:D1789"/>
    <mergeCell ref="C1790:D1790"/>
    <mergeCell ref="C1791:D1791"/>
    <mergeCell ref="C1792:D1792"/>
    <mergeCell ref="C1793:D1793"/>
    <mergeCell ref="C1794:D1794"/>
    <mergeCell ref="C1795:D1795"/>
    <mergeCell ref="C1796:D1796"/>
    <mergeCell ref="C1797:D1797"/>
    <mergeCell ref="C1798:D1798"/>
    <mergeCell ref="C1799:D1799"/>
    <mergeCell ref="C1800:D1800"/>
    <mergeCell ref="C1801:D1801"/>
    <mergeCell ref="C1803:D1803"/>
    <mergeCell ref="C1804:D1804"/>
    <mergeCell ref="G1804:G1819"/>
    <mergeCell ref="C1805:D1805"/>
    <mergeCell ref="C1806:D1806"/>
    <mergeCell ref="C1807:D1807"/>
    <mergeCell ref="C1808:D1808"/>
    <mergeCell ref="C1809:D1809"/>
    <mergeCell ref="C1810:D1810"/>
    <mergeCell ref="C1811:D1811"/>
    <mergeCell ref="C1812:D1812"/>
    <mergeCell ref="C1813:D1813"/>
    <mergeCell ref="C1814:D1814"/>
    <mergeCell ref="C1815:D1815"/>
    <mergeCell ref="C1816:D1816"/>
    <mergeCell ref="C1817:D1817"/>
    <mergeCell ref="C1818:D1818"/>
    <mergeCell ref="C1819:D1819"/>
    <mergeCell ref="C1821:D1821"/>
    <mergeCell ref="C1822:D1822"/>
    <mergeCell ref="G1822:G1837"/>
    <mergeCell ref="C1823:D1823"/>
    <mergeCell ref="C1824:D1824"/>
    <mergeCell ref="C1825:D1825"/>
    <mergeCell ref="C1826:D1826"/>
    <mergeCell ref="C1827:D1827"/>
    <mergeCell ref="C1828:D1828"/>
    <mergeCell ref="C1829:D1829"/>
    <mergeCell ref="C1830:D1830"/>
    <mergeCell ref="C1831:D1831"/>
    <mergeCell ref="C1832:D1832"/>
    <mergeCell ref="C1833:D1833"/>
    <mergeCell ref="C1834:D1834"/>
    <mergeCell ref="C1835:D1835"/>
    <mergeCell ref="C1836:D1836"/>
    <mergeCell ref="C1837:D1837"/>
    <mergeCell ref="C1839:D1839"/>
    <mergeCell ref="C1840:D1840"/>
    <mergeCell ref="G1840:G1855"/>
    <mergeCell ref="C1841:D1841"/>
    <mergeCell ref="C1842:D1842"/>
    <mergeCell ref="C1843:D1843"/>
    <mergeCell ref="C1844:D1844"/>
    <mergeCell ref="C1845:D1845"/>
    <mergeCell ref="C1846:D1846"/>
    <mergeCell ref="C1847:D1847"/>
    <mergeCell ref="C1848:D1848"/>
    <mergeCell ref="C1849:D1849"/>
    <mergeCell ref="C1850:D1850"/>
    <mergeCell ref="C1851:D1851"/>
    <mergeCell ref="C1852:D1852"/>
    <mergeCell ref="C1853:D1853"/>
    <mergeCell ref="C1854:D1854"/>
    <mergeCell ref="C1855:D1855"/>
    <mergeCell ref="C1857:D1857"/>
    <mergeCell ref="C1858:D1858"/>
    <mergeCell ref="G1858:G1873"/>
    <mergeCell ref="C1859:D1859"/>
    <mergeCell ref="C1860:D1860"/>
    <mergeCell ref="C1861:D1861"/>
    <mergeCell ref="C1862:D1862"/>
    <mergeCell ref="C1863:D1863"/>
    <mergeCell ref="C1864:D1864"/>
    <mergeCell ref="C1865:D1865"/>
    <mergeCell ref="C1866:D1866"/>
    <mergeCell ref="C1867:D1867"/>
    <mergeCell ref="C1868:D1868"/>
    <mergeCell ref="C1869:D1869"/>
    <mergeCell ref="C1870:D1870"/>
    <mergeCell ref="C1871:D1871"/>
    <mergeCell ref="C1872:D1872"/>
    <mergeCell ref="C1873:D1873"/>
    <mergeCell ref="C1876:D1876"/>
    <mergeCell ref="G1876:G1891"/>
    <mergeCell ref="C1877:D1877"/>
    <mergeCell ref="C1878:D1878"/>
    <mergeCell ref="C1879:D1879"/>
    <mergeCell ref="C1880:D1880"/>
    <mergeCell ref="C1881:D1881"/>
    <mergeCell ref="C1882:D1882"/>
    <mergeCell ref="C1883:D1883"/>
    <mergeCell ref="C1884:D1884"/>
    <mergeCell ref="C1885:D1885"/>
    <mergeCell ref="C1886:D1886"/>
    <mergeCell ref="C1887:D1887"/>
    <mergeCell ref="C1888:D1888"/>
    <mergeCell ref="C1889:D1889"/>
    <mergeCell ref="C1890:D1890"/>
    <mergeCell ref="C1891:D1891"/>
    <mergeCell ref="I100:K100"/>
    <mergeCell ref="I101:K101"/>
    <mergeCell ref="C1916:D1916"/>
    <mergeCell ref="C1917:D1917"/>
    <mergeCell ref="C1918:D1918"/>
    <mergeCell ref="C1919:D1919"/>
    <mergeCell ref="C1920:D1920"/>
    <mergeCell ref="C1921:D1921"/>
    <mergeCell ref="C1922:D1922"/>
    <mergeCell ref="C1923:D1923"/>
    <mergeCell ref="C1924:D1924"/>
    <mergeCell ref="C1925:D1925"/>
    <mergeCell ref="C1926:D1926"/>
    <mergeCell ref="C1927:D1927"/>
    <mergeCell ref="C1893:D1893"/>
    <mergeCell ref="C1894:D1894"/>
    <mergeCell ref="G1894:G1909"/>
    <mergeCell ref="C1895:D1895"/>
    <mergeCell ref="C1896:D1896"/>
    <mergeCell ref="C1897:D1897"/>
    <mergeCell ref="C1898:D1898"/>
    <mergeCell ref="C1899:D1899"/>
    <mergeCell ref="C1900:D1900"/>
    <mergeCell ref="C1901:D1901"/>
    <mergeCell ref="C1902:D1902"/>
    <mergeCell ref="C1903:D1903"/>
    <mergeCell ref="C1904:D1904"/>
    <mergeCell ref="C1905:D1905"/>
    <mergeCell ref="C1906:D1906"/>
    <mergeCell ref="C1907:D1907"/>
    <mergeCell ref="C1908:D1908"/>
    <mergeCell ref="C1909:D1909"/>
    <mergeCell ref="I91:K91"/>
    <mergeCell ref="I92:K92"/>
    <mergeCell ref="C1947:D1947"/>
    <mergeCell ref="C1948:D1948"/>
    <mergeCell ref="G1948:G1963"/>
    <mergeCell ref="C1949:D1949"/>
    <mergeCell ref="C1950:D1950"/>
    <mergeCell ref="C1951:D1951"/>
    <mergeCell ref="C1952:D1952"/>
    <mergeCell ref="C1953:D1953"/>
    <mergeCell ref="C1954:D1954"/>
    <mergeCell ref="C1955:D1955"/>
    <mergeCell ref="C1956:D1956"/>
    <mergeCell ref="C1957:D1957"/>
    <mergeCell ref="C1958:D1958"/>
    <mergeCell ref="C1959:D1959"/>
    <mergeCell ref="C1960:D1960"/>
    <mergeCell ref="C1961:D1961"/>
    <mergeCell ref="C1962:D1962"/>
    <mergeCell ref="C1963:D1963"/>
    <mergeCell ref="C1929:D1929"/>
    <mergeCell ref="C1930:D1930"/>
    <mergeCell ref="G1930:G1945"/>
    <mergeCell ref="C1931:D1931"/>
    <mergeCell ref="C1932:D1932"/>
    <mergeCell ref="I93:K93"/>
    <mergeCell ref="I94:K94"/>
    <mergeCell ref="I95:K95"/>
    <mergeCell ref="I96:K96"/>
    <mergeCell ref="I97:K97"/>
    <mergeCell ref="I98:K98"/>
    <mergeCell ref="I99:K99"/>
    <mergeCell ref="I74:K74"/>
    <mergeCell ref="I75:K75"/>
    <mergeCell ref="I76:K76"/>
    <mergeCell ref="I77:K77"/>
    <mergeCell ref="I78:K78"/>
    <mergeCell ref="I79:K79"/>
    <mergeCell ref="I80:K80"/>
    <mergeCell ref="I81:K81"/>
    <mergeCell ref="I82:K82"/>
    <mergeCell ref="I83:K83"/>
    <mergeCell ref="I84:K84"/>
    <mergeCell ref="I85:K85"/>
    <mergeCell ref="I86:K86"/>
    <mergeCell ref="I87:K87"/>
    <mergeCell ref="I88:K88"/>
    <mergeCell ref="I89:K89"/>
    <mergeCell ref="I90:K90"/>
    <mergeCell ref="I57:K57"/>
    <mergeCell ref="I58:K58"/>
    <mergeCell ref="I59:K59"/>
    <mergeCell ref="I60:K60"/>
    <mergeCell ref="I61:K61"/>
    <mergeCell ref="I62:K62"/>
    <mergeCell ref="I63:K63"/>
    <mergeCell ref="I64:K64"/>
    <mergeCell ref="I65:K65"/>
    <mergeCell ref="I66:K66"/>
    <mergeCell ref="I67:K67"/>
    <mergeCell ref="I68:K68"/>
    <mergeCell ref="I69:K69"/>
    <mergeCell ref="I70:K70"/>
    <mergeCell ref="I71:K71"/>
    <mergeCell ref="I72:K72"/>
    <mergeCell ref="I73:K73"/>
    <mergeCell ref="I114:K114"/>
    <mergeCell ref="I115:K115"/>
    <mergeCell ref="C2001:D2001"/>
    <mergeCell ref="C2002:D2002"/>
    <mergeCell ref="C1984:D1984"/>
    <mergeCell ref="C1965:D1965"/>
    <mergeCell ref="C1966:D1966"/>
    <mergeCell ref="C1933:D1933"/>
    <mergeCell ref="C1934:D1934"/>
    <mergeCell ref="C1935:D1935"/>
    <mergeCell ref="C1936:D1936"/>
    <mergeCell ref="C1937:D1937"/>
    <mergeCell ref="C1938:D1938"/>
    <mergeCell ref="C1939:D1939"/>
    <mergeCell ref="I39:K39"/>
    <mergeCell ref="I40:K40"/>
    <mergeCell ref="I41:K41"/>
    <mergeCell ref="I42:K42"/>
    <mergeCell ref="I43:K43"/>
    <mergeCell ref="I44:K44"/>
    <mergeCell ref="I45:K45"/>
    <mergeCell ref="I46:K46"/>
    <mergeCell ref="I47:K47"/>
    <mergeCell ref="I48:K48"/>
    <mergeCell ref="I49:K49"/>
    <mergeCell ref="I50:K50"/>
    <mergeCell ref="I51:K51"/>
    <mergeCell ref="I52:K52"/>
    <mergeCell ref="I53:K53"/>
    <mergeCell ref="I54:K54"/>
    <mergeCell ref="I55:K55"/>
    <mergeCell ref="I56:K56"/>
    <mergeCell ref="I116:K116"/>
    <mergeCell ref="C1999:D1999"/>
    <mergeCell ref="G1966:G1981"/>
    <mergeCell ref="C1967:D1967"/>
    <mergeCell ref="C1968:D1968"/>
    <mergeCell ref="C1969:D1969"/>
    <mergeCell ref="C1970:D1970"/>
    <mergeCell ref="C1971:D1971"/>
    <mergeCell ref="C1972:D1972"/>
    <mergeCell ref="C1973:D1973"/>
    <mergeCell ref="C1974:D1974"/>
    <mergeCell ref="C1975:D1975"/>
    <mergeCell ref="C1976:D1976"/>
    <mergeCell ref="C1977:D1977"/>
    <mergeCell ref="C1978:D1978"/>
    <mergeCell ref="C1979:D1979"/>
    <mergeCell ref="C1980:D1980"/>
    <mergeCell ref="C1981:D1981"/>
    <mergeCell ref="C1983:D1983"/>
    <mergeCell ref="C1940:D1940"/>
    <mergeCell ref="C1941:D1941"/>
    <mergeCell ref="C1942:D1942"/>
    <mergeCell ref="C1943:D1943"/>
    <mergeCell ref="C1944:D1944"/>
    <mergeCell ref="C1945:D1945"/>
    <mergeCell ref="C1911:D1911"/>
    <mergeCell ref="C1912:D1912"/>
    <mergeCell ref="G1912:G1927"/>
    <mergeCell ref="C1913:D1913"/>
    <mergeCell ref="C1914:D1914"/>
    <mergeCell ref="C1915:D1915"/>
    <mergeCell ref="C1875:D1875"/>
    <mergeCell ref="G2002:G2017"/>
    <mergeCell ref="C2003:D2003"/>
    <mergeCell ref="C2004:D2004"/>
    <mergeCell ref="C2005:D2005"/>
    <mergeCell ref="C2006:D2006"/>
    <mergeCell ref="C2007:D2007"/>
    <mergeCell ref="C2008:D2008"/>
    <mergeCell ref="C2009:D2009"/>
    <mergeCell ref="C2010:D2010"/>
    <mergeCell ref="C2011:D2011"/>
    <mergeCell ref="C2012:D2012"/>
    <mergeCell ref="C2013:D2013"/>
    <mergeCell ref="C2014:D2014"/>
    <mergeCell ref="C2015:D2015"/>
    <mergeCell ref="C2016:D2016"/>
    <mergeCell ref="C2017:D2017"/>
    <mergeCell ref="G1984:G1999"/>
    <mergeCell ref="C1985:D1985"/>
    <mergeCell ref="C1986:D1986"/>
    <mergeCell ref="C1987:D1987"/>
    <mergeCell ref="C1988:D1988"/>
    <mergeCell ref="C1989:D1989"/>
    <mergeCell ref="C1990:D1990"/>
    <mergeCell ref="C1991:D1991"/>
    <mergeCell ref="C1992:D1992"/>
    <mergeCell ref="C1993:D1993"/>
    <mergeCell ref="C1994:D1994"/>
    <mergeCell ref="C1995:D1995"/>
    <mergeCell ref="C1996:D1996"/>
    <mergeCell ref="C1997:D1997"/>
    <mergeCell ref="C1998:D1998"/>
    <mergeCell ref="C2019:D2019"/>
    <mergeCell ref="C2020:D2020"/>
    <mergeCell ref="G2020:G2035"/>
    <mergeCell ref="C2021:D2021"/>
    <mergeCell ref="C2022:D2022"/>
    <mergeCell ref="C2023:D2023"/>
    <mergeCell ref="C2024:D2024"/>
    <mergeCell ref="C2025:D2025"/>
    <mergeCell ref="C2026:D2026"/>
    <mergeCell ref="C2027:D2027"/>
    <mergeCell ref="C2028:D2028"/>
    <mergeCell ref="C2029:D2029"/>
    <mergeCell ref="C2030:D2030"/>
    <mergeCell ref="C2031:D2031"/>
    <mergeCell ref="C2032:D2032"/>
    <mergeCell ref="C2033:D2033"/>
    <mergeCell ref="C2034:D2034"/>
    <mergeCell ref="C2035:D2035"/>
    <mergeCell ref="I22:K22"/>
    <mergeCell ref="I23:K23"/>
    <mergeCell ref="I24:K24"/>
    <mergeCell ref="I25:K25"/>
    <mergeCell ref="I26:K26"/>
    <mergeCell ref="I27:K27"/>
    <mergeCell ref="I28:K28"/>
    <mergeCell ref="I29:K29"/>
    <mergeCell ref="I30:K30"/>
    <mergeCell ref="I31:K31"/>
    <mergeCell ref="I32:K32"/>
    <mergeCell ref="I33:K33"/>
    <mergeCell ref="I34:K34"/>
    <mergeCell ref="I35:K35"/>
    <mergeCell ref="I36:K36"/>
    <mergeCell ref="I37:K37"/>
    <mergeCell ref="I38:K38"/>
    <mergeCell ref="I5:K5"/>
    <mergeCell ref="I6:K6"/>
    <mergeCell ref="I7:K7"/>
    <mergeCell ref="I8:K8"/>
    <mergeCell ref="I9:K9"/>
    <mergeCell ref="I10:K10"/>
    <mergeCell ref="I11:K11"/>
    <mergeCell ref="I12:K12"/>
    <mergeCell ref="I13:K13"/>
    <mergeCell ref="I14:K14"/>
    <mergeCell ref="I15:K15"/>
    <mergeCell ref="I16:K16"/>
    <mergeCell ref="I17:K17"/>
    <mergeCell ref="I18:K18"/>
    <mergeCell ref="I19:K19"/>
    <mergeCell ref="I20:K20"/>
    <mergeCell ref="I21:K21"/>
  </mergeCells>
  <conditionalFormatting sqref="A4:A722 A1964:A5653">
    <cfRule type="cellIs" dxfId="142" priority="41" operator="equal">
      <formula>" "</formula>
    </cfRule>
    <cfRule type="cellIs" dxfId="141" priority="42" operator="equal">
      <formula>"W"</formula>
    </cfRule>
    <cfRule type="cellIs" dxfId="140" priority="43" operator="equal">
      <formula>"E"</formula>
    </cfRule>
    <cfRule type="cellIs" dxfId="139" priority="44" operator="equal">
      <formula>"X"</formula>
    </cfRule>
  </conditionalFormatting>
  <conditionalFormatting sqref="A724:A740 A776">
    <cfRule type="cellIs" dxfId="138" priority="9" operator="equal">
      <formula>" "</formula>
    </cfRule>
    <cfRule type="cellIs" dxfId="137" priority="10" operator="equal">
      <formula>"W"</formula>
    </cfRule>
    <cfRule type="cellIs" dxfId="136" priority="11" operator="equal">
      <formula>"E"</formula>
    </cfRule>
    <cfRule type="cellIs" dxfId="135" priority="12" operator="equal">
      <formula>"X"</formula>
    </cfRule>
  </conditionalFormatting>
  <conditionalFormatting sqref="A741:A775">
    <cfRule type="cellIs" dxfId="134" priority="5" operator="equal">
      <formula>" "</formula>
    </cfRule>
    <cfRule type="cellIs" dxfId="133" priority="6" operator="equal">
      <formula>"W"</formula>
    </cfRule>
    <cfRule type="cellIs" dxfId="132" priority="7" operator="equal">
      <formula>"E"</formula>
    </cfRule>
    <cfRule type="cellIs" dxfId="131" priority="8" operator="equal">
      <formula>"X"</formula>
    </cfRule>
  </conditionalFormatting>
  <conditionalFormatting sqref="A777:A1963">
    <cfRule type="cellIs" dxfId="130" priority="1" operator="equal">
      <formula>" "</formula>
    </cfRule>
    <cfRule type="cellIs" dxfId="129" priority="2" operator="equal">
      <formula>"W"</formula>
    </cfRule>
    <cfRule type="cellIs" dxfId="128" priority="3" operator="equal">
      <formula>"E"</formula>
    </cfRule>
    <cfRule type="cellIs" dxfId="127" priority="4" operator="equal">
      <formula>"X"</formula>
    </cfRule>
  </conditionalFormatting>
  <dataValidations count="3">
    <dataValidation type="decimal" allowBlank="1" showInputMessage="1" showErrorMessage="1" errorTitle="Incorrect Value for ABP/HP" error="The entered value does not meet the criteria for 'ABP' or 'HP' values._x000a__x000a_Only decimal values ​​between 0.25 and 100 in increments of 0.25 are supported." sqref="E4:F19 E472:F487 E27:F37 E44:F55 E67:F73 E83:F91 E100:F109 E119:F127 E137:F145 E155:F163 E176:F181 E190:F199 E209:F217 E226:F235 E256:F271 E274:F289 E292:F307 E246:F253 E317:F325 E336:F343 E354:F361 E382:F397 E400:F415 E418:F433 E436:F451 E454:F469 E22:F22 E40:F40 E58:F58 E76:F76 E94:F94 E112:F112 E130:F130 E148:F148 E166:F166 E184:F184 E202:F202 E220:F220 E238:F238 E310:F310 E328:F328 E346:F346 E364:F364 E372:F379 E490:F505 E508:F523 E526:F541 E544:F559 E562:F577 E580:F595 E598:F613 E616:F631 E634:F649 E652:F667 E670:F685 E688:F703 E706:F721 E724:F739 E742:F757 E760:F775 E778:F793 E796:F811 E814:F829 E832:F847 E850:F865 E868:F883 E904:F919 E922:F937 E940:F955 E958:F973 E976:F991 E994:F1009 E1012:F1027 E1030:F1045 E1048:F1063 E1066:F1081 E1084:F1099 E1102:F1117 E1120:F1135 E1138:F1153 E1156:F1171 E1174:F1189 E1192:F1207 E1210:F1225 E1228:F1243 E1246:F1261 E1264:F1279 E1282:F1297 E1300:F1315 E1318:F1333 E1336:F1351 E1354:F1369 E1372:F1387 E1390:F1405 E1408:F1423 E1426:F1441 E1444:F1459 E1462:F1477 E1480:F1495 E1498:F1513 E898:F901 E1534:F1549 E1552:F1567 E1570:F1585 E1588:F1603 E1606:F1621 E1624:F1639 E1642:F1657 E1660:F1675 E1678:F1693 E1696:F1711 E1714:F1729 E1732:F1747 E1750:F1765 E1768:F1783 E1786:F1801 E1804:F1819 E1822:F1837 E1840:F1855 E1858:F1873 E1876:F1891 E1894:F1909 E1912:F1927 E1930:F1945 E1948:F1963 E886:F886 E1516:F1516 E1522:F1531 E2020:F2035 E2038:F2038 E2047:F2053 E2056:F2056 E2065:F2071 E2074:F2074 E2083:F2089 E2092:F2107 E2110:F2125">
      <formula1>0.25</formula1>
      <formula2>100</formula2>
    </dataValidation>
    <dataValidation showInputMessage="1" showErrorMessage="1" sqref="E59 E63:E66 E77:E82 E95 E97:E99 E116:E118 E113 E131 E134:E136 E149 E152:E154 E167:E172 E185:E189 E203:E208 E221:E225 E239:E245 E311:E316 E329:E335 E347:E353 E365:E371 E1517:E1521 E1967:E1981 E1985:E1999 E2003:E2017 E2039:F2046 E2057:F2064 E2075:F2082"/>
    <dataValidation type="custom" allowBlank="1" showInputMessage="1" showErrorMessage="1" sqref="E1984:F1984 E1966:F1966 E2002:F2002">
      <formula1>""</formula1>
    </dataValidation>
  </dataValidations>
  <pageMargins left="0.39370078740157499" right="0.39370078740157499" top="0.59055118110236204" bottom="0.59055118110236204" header="0.196850393700787" footer="0.196850393700787"/>
  <pageSetup scale="67" orientation="portrait"/>
  <headerFooter>
    <oddFooter>&amp;L&amp;"Calibri,Regular"&amp;9&amp;D&amp;C&amp;"Calibri,Regular"&amp;9&amp;GSapient Confidential
        &amp;6  Estimation Tool V5.0.0&amp;R&amp;"Calibri,Regular"&amp;9Page &amp;P</oddFooter>
  </headerFooter>
  <drawing r:id="rId1"/>
  <legacyDrawing r:id="rId2"/>
  <legacyDrawingHF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AddNewTasksMetricsBoxFromTemplate">
                <anchor moveWithCells="1" sizeWithCells="1">
                  <from>
                    <xdr:col>6</xdr:col>
                    <xdr:colOff>38100</xdr:colOff>
                    <xdr:row>0</xdr:row>
                    <xdr:rowOff>142875</xdr:rowOff>
                  </from>
                  <to>
                    <xdr:col>7</xdr:col>
                    <xdr:colOff>0</xdr:colOff>
                    <xdr:row>0</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W121"/>
  <sheetViews>
    <sheetView showGridLines="0" zoomScale="80" zoomScaleNormal="80" workbookViewId="0">
      <pane xSplit="4" ySplit="6" topLeftCell="E24" activePane="bottomRight" state="frozen"/>
      <selection pane="topRight" activeCell="E1" sqref="E1"/>
      <selection pane="bottomLeft" activeCell="A7" sqref="A7"/>
      <selection pane="bottomRight" activeCell="P6" sqref="P6"/>
    </sheetView>
  </sheetViews>
  <sheetFormatPr defaultColWidth="8.875" defaultRowHeight="15.75"/>
  <cols>
    <col min="1" max="2" width="1.875" customWidth="1"/>
    <col min="3" max="3" width="9.25" bestFit="1" customWidth="1"/>
    <col min="4" max="4" width="51" customWidth="1"/>
    <col min="5" max="5" width="15" customWidth="1"/>
    <col min="6" max="6" width="13.375" customWidth="1"/>
    <col min="7" max="7" width="31.25" style="4" customWidth="1"/>
    <col min="8" max="8" width="4.625" customWidth="1"/>
    <col min="9" max="9" width="10.875" hidden="1" customWidth="1"/>
    <col min="10" max="10" width="7.5" customWidth="1"/>
    <col min="11" max="11" width="7.5" hidden="1" customWidth="1"/>
    <col min="12" max="12" width="13.125" customWidth="1"/>
    <col min="13" max="13" width="8.875" customWidth="1"/>
    <col min="14" max="14" width="8.375" customWidth="1"/>
    <col min="15" max="15" width="8" customWidth="1"/>
    <col min="16" max="16" width="5.875" bestFit="1" customWidth="1"/>
    <col min="17" max="17" width="6.875" customWidth="1"/>
    <col min="18" max="18" width="5.125" bestFit="1" customWidth="1"/>
    <col min="19" max="19" width="6.875" customWidth="1"/>
    <col min="20" max="20" width="8" customWidth="1"/>
    <col min="21" max="21" width="8.625" customWidth="1"/>
    <col min="22" max="22" width="27.125" customWidth="1"/>
    <col min="23" max="23" width="1.875" customWidth="1"/>
    <col min="24" max="25" width="9" customWidth="1"/>
  </cols>
  <sheetData>
    <row r="1" spans="1:22">
      <c r="P1" s="89"/>
      <c r="Q1" s="90"/>
      <c r="R1" s="90"/>
      <c r="S1" s="90"/>
      <c r="T1" s="90"/>
      <c r="U1" s="91"/>
    </row>
    <row r="2" spans="1:22">
      <c r="B2" s="276" t="s">
        <v>55</v>
      </c>
      <c r="C2" s="277"/>
      <c r="D2" s="273" t="str">
        <f>project_headline</f>
        <v>PG&amp;E - CRs | Estimation</v>
      </c>
      <c r="E2" s="277"/>
      <c r="G2" s="7"/>
      <c r="O2" s="48"/>
      <c r="P2" s="92" t="s">
        <v>1174</v>
      </c>
      <c r="Q2" s="93"/>
      <c r="R2" s="93"/>
      <c r="S2" s="93"/>
      <c r="T2" s="93"/>
      <c r="U2" s="94"/>
    </row>
    <row r="3" spans="1:22">
      <c r="B3" s="10"/>
      <c r="C3" s="10"/>
      <c r="D3" s="10"/>
      <c r="E3" s="10"/>
      <c r="F3" s="10"/>
      <c r="G3" s="7"/>
      <c r="P3" s="359" t="s">
        <v>21</v>
      </c>
      <c r="Q3" s="360"/>
      <c r="R3" s="361" t="s">
        <v>22</v>
      </c>
      <c r="S3" s="360"/>
      <c r="T3" s="361" t="s">
        <v>64</v>
      </c>
      <c r="U3" s="362"/>
    </row>
    <row r="4" spans="1:22">
      <c r="B4" s="7" t="s">
        <v>1279</v>
      </c>
      <c r="C4" s="10"/>
      <c r="D4" s="10"/>
      <c r="E4" s="10"/>
      <c r="F4" s="10"/>
      <c r="G4" s="7"/>
      <c r="P4" s="363">
        <f>SUM(Q:Q)</f>
        <v>98.9</v>
      </c>
      <c r="Q4" s="364"/>
      <c r="R4" s="365">
        <f>SUM(S:S)</f>
        <v>116.9</v>
      </c>
      <c r="S4" s="364"/>
      <c r="T4" s="366">
        <f>ROUND(SUM(U:U),0)</f>
        <v>108</v>
      </c>
      <c r="U4" s="367"/>
    </row>
    <row r="5" spans="1:22">
      <c r="B5" t="s">
        <v>1279</v>
      </c>
    </row>
    <row r="6" spans="1:22" ht="38.25">
      <c r="B6" s="375" t="s">
        <v>56</v>
      </c>
      <c r="C6" s="63" t="s">
        <v>28</v>
      </c>
      <c r="D6" s="288" t="s">
        <v>1180</v>
      </c>
      <c r="E6" s="288" t="s">
        <v>1177</v>
      </c>
      <c r="F6" s="63" t="s">
        <v>29</v>
      </c>
      <c r="G6" s="416" t="s">
        <v>57</v>
      </c>
      <c r="H6" s="63" t="s">
        <v>61</v>
      </c>
      <c r="I6" s="63" t="s">
        <v>58</v>
      </c>
      <c r="J6" s="63" t="s">
        <v>62</v>
      </c>
      <c r="K6" s="288" t="s">
        <v>532</v>
      </c>
      <c r="L6" s="63" t="s">
        <v>20</v>
      </c>
      <c r="M6" s="60" t="s">
        <v>21</v>
      </c>
      <c r="N6" s="63" t="s">
        <v>22</v>
      </c>
      <c r="O6" s="60" t="s">
        <v>63</v>
      </c>
      <c r="P6" s="96" t="s">
        <v>800</v>
      </c>
      <c r="Q6" s="60" t="s">
        <v>21</v>
      </c>
      <c r="R6" s="96" t="s">
        <v>801</v>
      </c>
      <c r="S6" s="60" t="s">
        <v>22</v>
      </c>
      <c r="T6" s="96" t="s">
        <v>802</v>
      </c>
      <c r="U6" s="63" t="s">
        <v>64</v>
      </c>
      <c r="V6" s="61" t="s">
        <v>34</v>
      </c>
    </row>
    <row r="7" spans="1:22" ht="24.75" customHeight="1">
      <c r="A7" s="6"/>
      <c r="B7" s="503" t="s">
        <v>1926</v>
      </c>
      <c r="C7" s="504" t="s">
        <v>1850</v>
      </c>
      <c r="D7" s="508" t="s">
        <v>1875</v>
      </c>
      <c r="E7" s="82" t="s">
        <v>1385</v>
      </c>
      <c r="F7" s="82" t="s">
        <v>1379</v>
      </c>
      <c r="G7" s="82" t="s">
        <v>1913</v>
      </c>
      <c r="H7" s="83"/>
      <c r="I7" s="82"/>
      <c r="J7" s="82"/>
      <c r="K7" s="82"/>
      <c r="L7" s="82"/>
      <c r="M7" s="84"/>
      <c r="N7" s="85"/>
      <c r="O7" s="86"/>
      <c r="P7" s="78"/>
      <c r="Q7" s="81" t="str">
        <f t="shared" ref="Q7:Q41" si="0">IF(AND($J7="In",ISNUMBER($M7)),$O7*$M7,"")</f>
        <v/>
      </c>
      <c r="R7" s="76"/>
      <c r="S7" s="77" t="str">
        <f t="shared" ref="S7:S41" si="1">IF(AND($J7="In",ISNUMBER($N7)),$O7*$N7,"")</f>
        <v/>
      </c>
      <c r="T7" s="78"/>
      <c r="U7" s="79" t="str">
        <f t="shared" ref="U7" si="2">IF(AND(ISNUMBER(Q7),ISNUMBER(S7)),ROUND((Q7+S7)/2, 1),"")</f>
        <v/>
      </c>
      <c r="V7" s="519" t="s">
        <v>1903</v>
      </c>
    </row>
    <row r="8" spans="1:22" s="390" customFormat="1">
      <c r="A8" s="6"/>
      <c r="B8" s="503" t="s">
        <v>1926</v>
      </c>
      <c r="C8" s="504" t="s">
        <v>1850</v>
      </c>
      <c r="D8" s="508" t="s">
        <v>1875</v>
      </c>
      <c r="E8" s="82" t="s">
        <v>1385</v>
      </c>
      <c r="F8" s="82" t="s">
        <v>1482</v>
      </c>
      <c r="G8" s="82" t="s">
        <v>1914</v>
      </c>
      <c r="H8" s="83"/>
      <c r="I8" s="82"/>
      <c r="J8" s="82" t="s">
        <v>59</v>
      </c>
      <c r="K8" s="82"/>
      <c r="L8" s="82" t="s">
        <v>1710</v>
      </c>
      <c r="M8" s="84">
        <f>IF(NOT(ISBLANK(L8)),VLOOKUP(L8, metrics_lookup_table, 4, FALSE))</f>
        <v>0.4</v>
      </c>
      <c r="N8" s="85">
        <f>IF(NOT(ISBLANK(L8)),VLOOKUP(L8, metrics_lookup_table, 5, FALSE))</f>
        <v>0.7</v>
      </c>
      <c r="O8" s="86">
        <v>1</v>
      </c>
      <c r="P8" s="73">
        <v>0.4</v>
      </c>
      <c r="Q8" s="81">
        <f t="shared" si="0"/>
        <v>0.4</v>
      </c>
      <c r="R8" s="76">
        <v>0.7</v>
      </c>
      <c r="S8" s="77">
        <f t="shared" si="1"/>
        <v>0.7</v>
      </c>
      <c r="T8" s="78"/>
      <c r="U8" s="79">
        <f t="shared" ref="U8:U44" si="3">IF(AND(ISNUMBER(Q8),ISNUMBER(S8)),ROUND((Q8+S8)/2, 1),"")</f>
        <v>0.6</v>
      </c>
      <c r="V8" s="80"/>
    </row>
    <row r="9" spans="1:22">
      <c r="A9" s="6"/>
      <c r="B9" s="503" t="s">
        <v>1926</v>
      </c>
      <c r="C9" s="504" t="s">
        <v>1850</v>
      </c>
      <c r="D9" s="508" t="s">
        <v>1875</v>
      </c>
      <c r="E9" s="82" t="s">
        <v>1386</v>
      </c>
      <c r="F9" s="82" t="s">
        <v>1482</v>
      </c>
      <c r="G9" s="82" t="s">
        <v>1915</v>
      </c>
      <c r="H9" s="83"/>
      <c r="I9" s="82"/>
      <c r="J9" s="82" t="s">
        <v>59</v>
      </c>
      <c r="K9" s="82"/>
      <c r="L9" s="82" t="s">
        <v>1712</v>
      </c>
      <c r="M9" s="84">
        <f>IF(NOT(ISBLANK(L9)),VLOOKUP(L9, metrics_lookup_table, 4, FALSE))</f>
        <v>1</v>
      </c>
      <c r="N9" s="85">
        <f>IF(NOT(ISBLANK(L9)),VLOOKUP(L9, metrics_lookup_table, 5, FALSE))</f>
        <v>1.75</v>
      </c>
      <c r="O9" s="86">
        <v>1</v>
      </c>
      <c r="P9" s="78">
        <v>1</v>
      </c>
      <c r="Q9" s="81">
        <f t="shared" si="0"/>
        <v>1</v>
      </c>
      <c r="R9" s="76">
        <v>1.75</v>
      </c>
      <c r="S9" s="77">
        <f t="shared" si="1"/>
        <v>1.75</v>
      </c>
      <c r="T9" s="78"/>
      <c r="U9" s="79">
        <f t="shared" si="3"/>
        <v>1.4</v>
      </c>
      <c r="V9" s="80"/>
    </row>
    <row r="10" spans="1:22" s="390" customFormat="1">
      <c r="A10" s="6"/>
      <c r="B10" s="503" t="s">
        <v>1926</v>
      </c>
      <c r="C10" s="504" t="s">
        <v>1850</v>
      </c>
      <c r="D10" s="508" t="s">
        <v>1875</v>
      </c>
      <c r="E10" s="82" t="s">
        <v>1386</v>
      </c>
      <c r="F10" s="82" t="s">
        <v>1482</v>
      </c>
      <c r="G10" s="82" t="s">
        <v>1916</v>
      </c>
      <c r="H10" s="83"/>
      <c r="I10" s="82"/>
      <c r="J10" s="82" t="s">
        <v>59</v>
      </c>
      <c r="K10" s="82"/>
      <c r="L10" s="82"/>
      <c r="M10" s="84">
        <v>0.5</v>
      </c>
      <c r="N10" s="85">
        <v>1</v>
      </c>
      <c r="O10" s="86">
        <v>1</v>
      </c>
      <c r="P10" s="78">
        <v>1</v>
      </c>
      <c r="Q10" s="81">
        <f t="shared" si="0"/>
        <v>0.5</v>
      </c>
      <c r="R10" s="76">
        <v>1.75</v>
      </c>
      <c r="S10" s="77">
        <f t="shared" si="1"/>
        <v>1</v>
      </c>
      <c r="T10" s="78"/>
      <c r="U10" s="79">
        <f t="shared" ref="U10" si="4">IF(AND(ISNUMBER(Q10),ISNUMBER(S10)),ROUND((Q10+S10)/2, 1),"")</f>
        <v>0.8</v>
      </c>
      <c r="V10" s="80"/>
    </row>
    <row r="11" spans="1:22" ht="18.75" customHeight="1">
      <c r="A11" s="6"/>
      <c r="B11" s="503" t="s">
        <v>1926</v>
      </c>
      <c r="C11" s="504" t="s">
        <v>1850</v>
      </c>
      <c r="D11" s="508" t="s">
        <v>1875</v>
      </c>
      <c r="E11" s="82" t="s">
        <v>1386</v>
      </c>
      <c r="F11" s="82" t="s">
        <v>1462</v>
      </c>
      <c r="G11" s="82" t="s">
        <v>1872</v>
      </c>
      <c r="H11" s="83" t="s">
        <v>1874</v>
      </c>
      <c r="I11" s="82"/>
      <c r="J11" s="82" t="s">
        <v>59</v>
      </c>
      <c r="K11" s="82"/>
      <c r="L11" s="82"/>
      <c r="M11" s="84">
        <v>1</v>
      </c>
      <c r="N11" s="84">
        <v>2</v>
      </c>
      <c r="O11" s="86">
        <v>1</v>
      </c>
      <c r="P11" s="78"/>
      <c r="Q11" s="81">
        <f t="shared" si="0"/>
        <v>1</v>
      </c>
      <c r="R11" s="76"/>
      <c r="S11" s="77">
        <f t="shared" si="1"/>
        <v>2</v>
      </c>
      <c r="T11" s="78"/>
      <c r="U11" s="79">
        <f t="shared" si="3"/>
        <v>1.5</v>
      </c>
      <c r="V11" s="80"/>
    </row>
    <row r="12" spans="1:22" s="390" customFormat="1">
      <c r="A12" s="6"/>
      <c r="B12" s="503" t="s">
        <v>1926</v>
      </c>
      <c r="C12" s="504" t="s">
        <v>1850</v>
      </c>
      <c r="D12" s="508" t="s">
        <v>1875</v>
      </c>
      <c r="E12" s="82" t="s">
        <v>1849</v>
      </c>
      <c r="F12" s="82" t="s">
        <v>1487</v>
      </c>
      <c r="G12" s="82" t="s">
        <v>1872</v>
      </c>
      <c r="H12" s="83"/>
      <c r="I12" s="82"/>
      <c r="J12" s="82" t="s">
        <v>59</v>
      </c>
      <c r="K12" s="82"/>
      <c r="L12" s="82"/>
      <c r="M12" s="84">
        <v>1.5</v>
      </c>
      <c r="N12" s="84">
        <v>2.5</v>
      </c>
      <c r="O12" s="86">
        <v>1</v>
      </c>
      <c r="P12" s="78"/>
      <c r="Q12" s="81">
        <f t="shared" si="0"/>
        <v>1.5</v>
      </c>
      <c r="R12" s="76"/>
      <c r="S12" s="77">
        <f t="shared" si="1"/>
        <v>2.5</v>
      </c>
      <c r="T12" s="78"/>
      <c r="U12" s="79">
        <f t="shared" si="3"/>
        <v>2</v>
      </c>
      <c r="V12" s="80"/>
    </row>
    <row r="13" spans="1:22" s="390" customFormat="1" ht="15.75" customHeight="1">
      <c r="A13" s="6"/>
      <c r="B13" s="503"/>
      <c r="C13" s="504" t="s">
        <v>1850</v>
      </c>
      <c r="D13" s="510" t="s">
        <v>1877</v>
      </c>
      <c r="E13" s="82" t="s">
        <v>1386</v>
      </c>
      <c r="F13" s="82" t="s">
        <v>1462</v>
      </c>
      <c r="G13" s="68" t="s">
        <v>1904</v>
      </c>
      <c r="H13" s="69"/>
      <c r="I13" s="68"/>
      <c r="J13" s="82" t="s">
        <v>59</v>
      </c>
      <c r="K13" s="68"/>
      <c r="L13" s="68"/>
      <c r="M13" s="70">
        <v>0.5</v>
      </c>
      <c r="N13" s="71">
        <v>0.75</v>
      </c>
      <c r="O13" s="72">
        <v>1</v>
      </c>
      <c r="P13" s="73"/>
      <c r="Q13" s="81">
        <f t="shared" si="0"/>
        <v>0.5</v>
      </c>
      <c r="R13" s="76"/>
      <c r="S13" s="77">
        <f t="shared" si="1"/>
        <v>0.75</v>
      </c>
      <c r="T13" s="78"/>
      <c r="U13" s="79">
        <f t="shared" si="3"/>
        <v>0.6</v>
      </c>
      <c r="V13" s="80" t="s">
        <v>1878</v>
      </c>
    </row>
    <row r="14" spans="1:22" s="390" customFormat="1">
      <c r="A14" s="6"/>
      <c r="B14" s="503"/>
      <c r="C14" s="504" t="s">
        <v>1850</v>
      </c>
      <c r="D14" s="510" t="s">
        <v>1877</v>
      </c>
      <c r="E14" s="82" t="s">
        <v>1386</v>
      </c>
      <c r="F14" s="82" t="s">
        <v>1482</v>
      </c>
      <c r="G14" s="68" t="s">
        <v>1876</v>
      </c>
      <c r="H14" s="83"/>
      <c r="I14" s="68"/>
      <c r="J14" s="82" t="s">
        <v>59</v>
      </c>
      <c r="K14" s="68"/>
      <c r="L14" s="82"/>
      <c r="M14" s="70">
        <v>1</v>
      </c>
      <c r="N14" s="71">
        <v>1.25</v>
      </c>
      <c r="O14" s="72">
        <v>1</v>
      </c>
      <c r="P14" s="73"/>
      <c r="Q14" s="81">
        <f t="shared" si="0"/>
        <v>1</v>
      </c>
      <c r="R14" s="76"/>
      <c r="S14" s="77">
        <f t="shared" si="1"/>
        <v>1.25</v>
      </c>
      <c r="T14" s="78"/>
      <c r="U14" s="79">
        <f t="shared" si="3"/>
        <v>1.1000000000000001</v>
      </c>
      <c r="V14" s="80"/>
    </row>
    <row r="15" spans="1:22" s="390" customFormat="1">
      <c r="A15" s="6"/>
      <c r="B15" s="503"/>
      <c r="C15" s="504" t="s">
        <v>1850</v>
      </c>
      <c r="D15" s="510" t="s">
        <v>1877</v>
      </c>
      <c r="E15" s="82" t="s">
        <v>1849</v>
      </c>
      <c r="F15" s="82" t="s">
        <v>1487</v>
      </c>
      <c r="G15" s="68" t="s">
        <v>1873</v>
      </c>
      <c r="H15" s="83"/>
      <c r="I15" s="68"/>
      <c r="J15" s="82" t="s">
        <v>59</v>
      </c>
      <c r="K15" s="68"/>
      <c r="L15" s="68"/>
      <c r="M15" s="70">
        <v>0.5</v>
      </c>
      <c r="N15" s="71">
        <v>1</v>
      </c>
      <c r="O15" s="72">
        <v>1</v>
      </c>
      <c r="P15" s="73"/>
      <c r="Q15" s="81">
        <f t="shared" si="0"/>
        <v>0.5</v>
      </c>
      <c r="R15" s="76"/>
      <c r="S15" s="77">
        <f t="shared" si="1"/>
        <v>1</v>
      </c>
      <c r="T15" s="78"/>
      <c r="U15" s="79">
        <f t="shared" si="3"/>
        <v>0.8</v>
      </c>
      <c r="V15" s="80"/>
    </row>
    <row r="16" spans="1:22" s="390" customFormat="1">
      <c r="A16" s="6"/>
      <c r="B16" s="503" t="s">
        <v>1926</v>
      </c>
      <c r="C16" s="504" t="s">
        <v>1850</v>
      </c>
      <c r="D16" s="511" t="s">
        <v>1879</v>
      </c>
      <c r="E16" s="82" t="s">
        <v>1385</v>
      </c>
      <c r="F16" s="82" t="s">
        <v>1379</v>
      </c>
      <c r="G16" s="69" t="s">
        <v>1905</v>
      </c>
      <c r="H16" s="69"/>
      <c r="I16" s="68"/>
      <c r="J16" s="82"/>
      <c r="K16" s="68"/>
      <c r="L16" s="68"/>
      <c r="M16" s="70"/>
      <c r="N16" s="71"/>
      <c r="O16" s="72"/>
      <c r="P16" s="73"/>
      <c r="Q16" s="81" t="str">
        <f t="shared" si="0"/>
        <v/>
      </c>
      <c r="R16" s="76"/>
      <c r="S16" s="77" t="str">
        <f t="shared" si="1"/>
        <v/>
      </c>
      <c r="T16" s="78"/>
      <c r="U16" s="79" t="str">
        <f t="shared" ref="U16" si="5">IF(AND(ISNUMBER(Q16),ISNUMBER(S16)),ROUND((Q16+S16)/2, 1),"")</f>
        <v/>
      </c>
      <c r="V16" s="80"/>
    </row>
    <row r="17" spans="1:23" s="390" customFormat="1" ht="18" customHeight="1">
      <c r="A17" s="6"/>
      <c r="B17" s="503" t="s">
        <v>1926</v>
      </c>
      <c r="C17" s="504" t="s">
        <v>1850</v>
      </c>
      <c r="D17" s="511" t="s">
        <v>1879</v>
      </c>
      <c r="E17" s="82" t="s">
        <v>1386</v>
      </c>
      <c r="F17" s="82" t="s">
        <v>1462</v>
      </c>
      <c r="G17" s="69" t="s">
        <v>1880</v>
      </c>
      <c r="H17" s="69"/>
      <c r="I17" s="68"/>
      <c r="J17" s="82" t="s">
        <v>59</v>
      </c>
      <c r="K17" s="68"/>
      <c r="L17" s="68"/>
      <c r="M17" s="70">
        <v>0.25</v>
      </c>
      <c r="N17" s="71">
        <v>0.25</v>
      </c>
      <c r="O17" s="72">
        <v>8</v>
      </c>
      <c r="P17" s="73"/>
      <c r="Q17" s="81">
        <f t="shared" si="0"/>
        <v>2</v>
      </c>
      <c r="R17" s="76"/>
      <c r="S17" s="77">
        <f t="shared" si="1"/>
        <v>2</v>
      </c>
      <c r="T17" s="78"/>
      <c r="U17" s="79">
        <f t="shared" si="3"/>
        <v>2</v>
      </c>
      <c r="V17" s="80"/>
    </row>
    <row r="18" spans="1:23" s="390" customFormat="1" ht="17.25" customHeight="1">
      <c r="A18" s="6"/>
      <c r="B18" s="503" t="s">
        <v>1926</v>
      </c>
      <c r="C18" s="504" t="s">
        <v>1850</v>
      </c>
      <c r="D18" s="511" t="s">
        <v>1879</v>
      </c>
      <c r="E18" s="82" t="s">
        <v>1386</v>
      </c>
      <c r="F18" s="82" t="s">
        <v>1482</v>
      </c>
      <c r="G18" s="69" t="s">
        <v>1881</v>
      </c>
      <c r="H18" s="69"/>
      <c r="I18" s="68"/>
      <c r="J18" s="82" t="s">
        <v>59</v>
      </c>
      <c r="K18" s="68"/>
      <c r="L18" s="82"/>
      <c r="M18" s="70">
        <v>0.25</v>
      </c>
      <c r="N18" s="71">
        <v>0.25</v>
      </c>
      <c r="O18" s="72">
        <v>8</v>
      </c>
      <c r="P18" s="73"/>
      <c r="Q18" s="81">
        <f t="shared" si="0"/>
        <v>2</v>
      </c>
      <c r="R18" s="76"/>
      <c r="S18" s="77">
        <f t="shared" si="1"/>
        <v>2</v>
      </c>
      <c r="T18" s="78"/>
      <c r="U18" s="79">
        <f t="shared" si="3"/>
        <v>2</v>
      </c>
      <c r="V18" s="80"/>
    </row>
    <row r="19" spans="1:23" s="390" customFormat="1" ht="19.5" customHeight="1">
      <c r="A19" s="6"/>
      <c r="B19" s="503" t="s">
        <v>1926</v>
      </c>
      <c r="C19" s="504" t="s">
        <v>1850</v>
      </c>
      <c r="D19" s="511" t="s">
        <v>1879</v>
      </c>
      <c r="E19" s="82" t="s">
        <v>1849</v>
      </c>
      <c r="F19" s="82" t="s">
        <v>1487</v>
      </c>
      <c r="G19" s="69" t="s">
        <v>1882</v>
      </c>
      <c r="H19" s="69"/>
      <c r="I19" s="68"/>
      <c r="J19" s="82" t="s">
        <v>59</v>
      </c>
      <c r="K19" s="68"/>
      <c r="L19" s="68"/>
      <c r="M19" s="70">
        <v>0.25</v>
      </c>
      <c r="N19" s="70">
        <v>0.25</v>
      </c>
      <c r="O19" s="72">
        <v>8</v>
      </c>
      <c r="P19" s="73"/>
      <c r="Q19" s="81">
        <f t="shared" si="0"/>
        <v>2</v>
      </c>
      <c r="R19" s="76"/>
      <c r="S19" s="77">
        <f t="shared" si="1"/>
        <v>2</v>
      </c>
      <c r="T19" s="78"/>
      <c r="U19" s="79">
        <f t="shared" si="3"/>
        <v>2</v>
      </c>
      <c r="V19" s="80"/>
    </row>
    <row r="20" spans="1:23" s="390" customFormat="1">
      <c r="A20" s="6"/>
      <c r="B20" s="503" t="s">
        <v>1926</v>
      </c>
      <c r="C20" s="504" t="s">
        <v>1850</v>
      </c>
      <c r="D20" s="513" t="s">
        <v>1886</v>
      </c>
      <c r="E20" s="82" t="s">
        <v>1385</v>
      </c>
      <c r="F20" s="82" t="s">
        <v>1378</v>
      </c>
      <c r="G20" s="68"/>
      <c r="H20" s="83"/>
      <c r="I20" s="68"/>
      <c r="J20" s="82"/>
      <c r="K20" s="68"/>
      <c r="L20" s="68"/>
      <c r="M20" s="70"/>
      <c r="N20" s="71"/>
      <c r="O20" s="72"/>
      <c r="P20" s="78">
        <v>2.85</v>
      </c>
      <c r="Q20" s="81" t="str">
        <f t="shared" si="0"/>
        <v/>
      </c>
      <c r="R20" s="76">
        <v>3</v>
      </c>
      <c r="S20" s="77" t="str">
        <f t="shared" si="1"/>
        <v/>
      </c>
      <c r="T20" s="78"/>
      <c r="U20" s="79" t="str">
        <f t="shared" ref="U20" si="6">IF(AND(ISNUMBER(Q20),ISNUMBER(S20)),ROUND((Q20+S20)/2, 1),"")</f>
        <v/>
      </c>
      <c r="V20" s="80"/>
      <c r="W20" s="390" t="s">
        <v>1927</v>
      </c>
    </row>
    <row r="21" spans="1:23">
      <c r="A21" s="6"/>
      <c r="B21" s="503" t="s">
        <v>1926</v>
      </c>
      <c r="C21" s="504" t="s">
        <v>1850</v>
      </c>
      <c r="D21" s="513" t="s">
        <v>1886</v>
      </c>
      <c r="E21" s="82" t="s">
        <v>1386</v>
      </c>
      <c r="F21" s="82" t="s">
        <v>1462</v>
      </c>
      <c r="G21" s="68" t="s">
        <v>1883</v>
      </c>
      <c r="H21" s="83"/>
      <c r="I21" s="68"/>
      <c r="J21" s="82" t="s">
        <v>59</v>
      </c>
      <c r="K21" s="68"/>
      <c r="L21" s="68" t="s">
        <v>1479</v>
      </c>
      <c r="M21" s="70">
        <f>IF(NOT(ISBLANK(L21)),VLOOKUP(L21, metrics_lookup_table, 4, FALSE))</f>
        <v>2.85</v>
      </c>
      <c r="N21" s="71">
        <f>IF(NOT(ISBLANK(L21)),VLOOKUP(L21, metrics_lookup_table, 5, FALSE))</f>
        <v>3</v>
      </c>
      <c r="O21" s="72">
        <v>1</v>
      </c>
      <c r="P21" s="78">
        <v>2.85</v>
      </c>
      <c r="Q21" s="81">
        <f t="shared" si="0"/>
        <v>2.85</v>
      </c>
      <c r="R21" s="76">
        <v>3</v>
      </c>
      <c r="S21" s="77">
        <f t="shared" si="1"/>
        <v>3</v>
      </c>
      <c r="T21" s="78"/>
      <c r="U21" s="79">
        <f t="shared" si="3"/>
        <v>2.9</v>
      </c>
      <c r="V21" s="80"/>
      <c r="W21" t="s">
        <v>1927</v>
      </c>
    </row>
    <row r="22" spans="1:23" s="390" customFormat="1">
      <c r="A22" s="6"/>
      <c r="B22" s="503" t="s">
        <v>1926</v>
      </c>
      <c r="C22" s="504" t="s">
        <v>1850</v>
      </c>
      <c r="D22" s="513" t="s">
        <v>1886</v>
      </c>
      <c r="E22" s="82" t="s">
        <v>1386</v>
      </c>
      <c r="F22" s="82" t="s">
        <v>1482</v>
      </c>
      <c r="G22" s="68" t="s">
        <v>1884</v>
      </c>
      <c r="H22" s="83"/>
      <c r="I22" s="68"/>
      <c r="J22" s="82" t="s">
        <v>59</v>
      </c>
      <c r="K22" s="68"/>
      <c r="L22" s="68" t="s">
        <v>1712</v>
      </c>
      <c r="M22" s="70">
        <f>IF(NOT(ISBLANK(L22)),VLOOKUP(L22, metrics_lookup_table, 4, FALSE))</f>
        <v>1</v>
      </c>
      <c r="N22" s="71">
        <f>IF(NOT(ISBLANK(L22)),VLOOKUP(L22, metrics_lookup_table, 5, FALSE))</f>
        <v>1.75</v>
      </c>
      <c r="O22" s="72">
        <v>1</v>
      </c>
      <c r="P22" s="73">
        <v>1</v>
      </c>
      <c r="Q22" s="81">
        <f t="shared" si="0"/>
        <v>1</v>
      </c>
      <c r="R22" s="76">
        <v>1.75</v>
      </c>
      <c r="S22" s="77">
        <f t="shared" si="1"/>
        <v>1.75</v>
      </c>
      <c r="T22" s="78"/>
      <c r="U22" s="79">
        <f t="shared" si="3"/>
        <v>1.4</v>
      </c>
      <c r="V22" s="80"/>
      <c r="W22" s="390" t="s">
        <v>1927</v>
      </c>
    </row>
    <row r="23" spans="1:23" s="390" customFormat="1">
      <c r="A23" s="6"/>
      <c r="B23" s="503" t="s">
        <v>1926</v>
      </c>
      <c r="C23" s="504" t="s">
        <v>1850</v>
      </c>
      <c r="D23" s="513" t="s">
        <v>1886</v>
      </c>
      <c r="E23" s="82" t="s">
        <v>1849</v>
      </c>
      <c r="F23" s="82" t="s">
        <v>1487</v>
      </c>
      <c r="G23" s="68" t="s">
        <v>1882</v>
      </c>
      <c r="H23" s="83"/>
      <c r="I23" s="68"/>
      <c r="J23" s="82" t="s">
        <v>59</v>
      </c>
      <c r="K23" s="68"/>
      <c r="L23" s="68"/>
      <c r="M23" s="70">
        <v>2</v>
      </c>
      <c r="N23" s="71">
        <v>2</v>
      </c>
      <c r="O23" s="72">
        <v>1</v>
      </c>
      <c r="P23" s="73"/>
      <c r="Q23" s="81">
        <f t="shared" si="0"/>
        <v>2</v>
      </c>
      <c r="R23" s="76"/>
      <c r="S23" s="77">
        <f t="shared" si="1"/>
        <v>2</v>
      </c>
      <c r="T23" s="78"/>
      <c r="U23" s="79">
        <f t="shared" si="3"/>
        <v>2</v>
      </c>
      <c r="V23" s="80"/>
      <c r="W23" s="390" t="s">
        <v>1927</v>
      </c>
    </row>
    <row r="24" spans="1:23" s="390" customFormat="1">
      <c r="A24" s="6"/>
      <c r="B24" s="503" t="s">
        <v>1926</v>
      </c>
      <c r="C24" s="504" t="s">
        <v>1850</v>
      </c>
      <c r="D24" s="512" t="s">
        <v>1885</v>
      </c>
      <c r="E24" s="82" t="s">
        <v>1385</v>
      </c>
      <c r="F24" s="82" t="s">
        <v>1379</v>
      </c>
      <c r="G24" s="68"/>
      <c r="H24" s="457"/>
      <c r="I24" s="68"/>
      <c r="J24" s="82"/>
      <c r="K24" s="68"/>
      <c r="L24" s="68"/>
      <c r="M24" s="70"/>
      <c r="N24" s="71"/>
      <c r="O24" s="72"/>
      <c r="P24" s="73"/>
      <c r="Q24" s="81" t="str">
        <f t="shared" si="0"/>
        <v/>
      </c>
      <c r="R24" s="76"/>
      <c r="S24" s="77" t="str">
        <f t="shared" si="1"/>
        <v/>
      </c>
      <c r="T24" s="78"/>
      <c r="U24" s="79" t="str">
        <f t="shared" si="3"/>
        <v/>
      </c>
      <c r="V24" s="80"/>
    </row>
    <row r="25" spans="1:23" s="390" customFormat="1" ht="25.5" customHeight="1">
      <c r="A25" s="6"/>
      <c r="B25" s="503" t="s">
        <v>1926</v>
      </c>
      <c r="C25" s="504" t="s">
        <v>1850</v>
      </c>
      <c r="D25" s="512" t="s">
        <v>1885</v>
      </c>
      <c r="E25" s="82" t="s">
        <v>1386</v>
      </c>
      <c r="F25" s="82" t="s">
        <v>1462</v>
      </c>
      <c r="G25" s="68" t="s">
        <v>1887</v>
      </c>
      <c r="H25" s="457"/>
      <c r="I25" s="68"/>
      <c r="J25" s="82" t="s">
        <v>59</v>
      </c>
      <c r="K25" s="68"/>
      <c r="L25" s="68"/>
      <c r="M25" s="70">
        <v>2</v>
      </c>
      <c r="N25" s="71">
        <v>2.5</v>
      </c>
      <c r="O25" s="72">
        <v>1</v>
      </c>
      <c r="P25" s="73"/>
      <c r="Q25" s="81">
        <f t="shared" si="0"/>
        <v>2</v>
      </c>
      <c r="R25" s="76"/>
      <c r="S25" s="77">
        <f t="shared" si="1"/>
        <v>2.5</v>
      </c>
      <c r="T25" s="78"/>
      <c r="U25" s="79">
        <f t="shared" si="3"/>
        <v>2.2999999999999998</v>
      </c>
      <c r="V25" s="80" t="s">
        <v>1947</v>
      </c>
    </row>
    <row r="26" spans="1:23" s="390" customFormat="1">
      <c r="A26" s="6"/>
      <c r="B26" s="503" t="s">
        <v>1926</v>
      </c>
      <c r="C26" s="504" t="s">
        <v>1850</v>
      </c>
      <c r="D26" s="512" t="s">
        <v>1885</v>
      </c>
      <c r="E26" s="82" t="s">
        <v>1385</v>
      </c>
      <c r="F26" s="82" t="s">
        <v>1482</v>
      </c>
      <c r="G26" s="68" t="s">
        <v>1888</v>
      </c>
      <c r="H26" s="69"/>
      <c r="I26" s="68"/>
      <c r="J26" s="82" t="s">
        <v>59</v>
      </c>
      <c r="K26" s="68"/>
      <c r="L26" s="82" t="s">
        <v>1710</v>
      </c>
      <c r="M26" s="70">
        <f>IF(NOT(ISBLANK(L26)),VLOOKUP(L26, metrics_lookup_table, 4, FALSE))</f>
        <v>0.4</v>
      </c>
      <c r="N26" s="71">
        <f>IF(NOT(ISBLANK(L26)),VLOOKUP(L26, metrics_lookup_table, 5, FALSE))</f>
        <v>0.7</v>
      </c>
      <c r="O26" s="72">
        <v>1</v>
      </c>
      <c r="P26" s="73">
        <v>0.4</v>
      </c>
      <c r="Q26" s="81">
        <f t="shared" si="0"/>
        <v>0.4</v>
      </c>
      <c r="R26" s="76">
        <v>0.7</v>
      </c>
      <c r="S26" s="77">
        <f t="shared" si="1"/>
        <v>0.7</v>
      </c>
      <c r="T26" s="78"/>
      <c r="U26" s="79">
        <f t="shared" si="3"/>
        <v>0.6</v>
      </c>
      <c r="V26" s="80"/>
    </row>
    <row r="27" spans="1:23" s="390" customFormat="1">
      <c r="A27" s="6"/>
      <c r="B27" s="503" t="s">
        <v>1926</v>
      </c>
      <c r="C27" s="504" t="s">
        <v>1850</v>
      </c>
      <c r="D27" s="512" t="s">
        <v>1885</v>
      </c>
      <c r="E27" s="82" t="s">
        <v>1386</v>
      </c>
      <c r="F27" s="82" t="s">
        <v>1482</v>
      </c>
      <c r="G27" s="68" t="s">
        <v>1906</v>
      </c>
      <c r="H27" s="69"/>
      <c r="I27" s="68"/>
      <c r="J27" s="82" t="s">
        <v>59</v>
      </c>
      <c r="K27" s="68"/>
      <c r="L27" s="82"/>
      <c r="M27" s="70">
        <v>1.5</v>
      </c>
      <c r="N27" s="71">
        <v>2.25</v>
      </c>
      <c r="O27" s="72">
        <v>1</v>
      </c>
      <c r="P27" s="73">
        <v>1</v>
      </c>
      <c r="Q27" s="81">
        <f t="shared" si="0"/>
        <v>1.5</v>
      </c>
      <c r="R27" s="76">
        <v>1.75</v>
      </c>
      <c r="S27" s="77">
        <f t="shared" si="1"/>
        <v>2.25</v>
      </c>
      <c r="T27" s="78"/>
      <c r="U27" s="79">
        <f t="shared" si="3"/>
        <v>1.9</v>
      </c>
      <c r="V27" s="80"/>
    </row>
    <row r="28" spans="1:23" s="390" customFormat="1" ht="20.25" customHeight="1">
      <c r="A28" s="6"/>
      <c r="B28" s="503" t="s">
        <v>1926</v>
      </c>
      <c r="C28" s="504" t="s">
        <v>1850</v>
      </c>
      <c r="D28" s="512" t="s">
        <v>1885</v>
      </c>
      <c r="E28" s="82" t="s">
        <v>1849</v>
      </c>
      <c r="F28" s="82" t="s">
        <v>1487</v>
      </c>
      <c r="G28" s="69" t="s">
        <v>1882</v>
      </c>
      <c r="H28" s="69"/>
      <c r="I28" s="68"/>
      <c r="J28" s="82" t="s">
        <v>59</v>
      </c>
      <c r="K28" s="68"/>
      <c r="L28" s="68"/>
      <c r="M28" s="506">
        <v>2</v>
      </c>
      <c r="N28" s="507">
        <v>3</v>
      </c>
      <c r="O28" s="72">
        <v>1</v>
      </c>
      <c r="P28" s="73"/>
      <c r="Q28" s="81">
        <f t="shared" si="0"/>
        <v>2</v>
      </c>
      <c r="R28" s="76"/>
      <c r="S28" s="77">
        <f t="shared" si="1"/>
        <v>3</v>
      </c>
      <c r="T28" s="78"/>
      <c r="U28" s="79">
        <f t="shared" si="3"/>
        <v>2.5</v>
      </c>
      <c r="V28" s="80" t="s">
        <v>1949</v>
      </c>
    </row>
    <row r="29" spans="1:23" s="390" customFormat="1" ht="14.25" customHeight="1">
      <c r="A29" s="6"/>
      <c r="B29" s="503" t="s">
        <v>1926</v>
      </c>
      <c r="C29" s="504" t="s">
        <v>1850</v>
      </c>
      <c r="D29" s="508" t="s">
        <v>1889</v>
      </c>
      <c r="E29" s="82" t="s">
        <v>1385</v>
      </c>
      <c r="F29" s="82" t="s">
        <v>1379</v>
      </c>
      <c r="G29" s="69"/>
      <c r="H29" s="69"/>
      <c r="I29" s="68"/>
      <c r="J29" s="82"/>
      <c r="K29" s="68"/>
      <c r="L29" s="68"/>
      <c r="M29" s="70"/>
      <c r="N29" s="71"/>
      <c r="O29" s="72"/>
      <c r="P29" s="73"/>
      <c r="Q29" s="81" t="str">
        <f t="shared" si="0"/>
        <v/>
      </c>
      <c r="R29" s="76"/>
      <c r="S29" s="77" t="str">
        <f t="shared" si="1"/>
        <v/>
      </c>
      <c r="T29" s="78"/>
      <c r="U29" s="79" t="str">
        <f t="shared" ref="U29" si="7">IF(AND(ISNUMBER(Q29),ISNUMBER(S29)),ROUND((Q29+S29)/2, 1),"")</f>
        <v/>
      </c>
      <c r="V29" s="80"/>
    </row>
    <row r="30" spans="1:23" s="390" customFormat="1" ht="14.25" customHeight="1">
      <c r="A30" s="6"/>
      <c r="B30" s="503" t="s">
        <v>1926</v>
      </c>
      <c r="C30" s="504" t="s">
        <v>1850</v>
      </c>
      <c r="D30" s="508" t="s">
        <v>1889</v>
      </c>
      <c r="E30" s="82" t="s">
        <v>1386</v>
      </c>
      <c r="F30" s="82" t="s">
        <v>1462</v>
      </c>
      <c r="G30" s="69" t="s">
        <v>1890</v>
      </c>
      <c r="H30" s="69"/>
      <c r="I30" s="68"/>
      <c r="J30" s="82" t="s">
        <v>59</v>
      </c>
      <c r="K30" s="68"/>
      <c r="L30" s="68"/>
      <c r="M30" s="70">
        <v>0.5</v>
      </c>
      <c r="N30" s="71">
        <v>0.75</v>
      </c>
      <c r="O30" s="72">
        <v>1</v>
      </c>
      <c r="P30" s="73"/>
      <c r="Q30" s="81">
        <f t="shared" si="0"/>
        <v>0.5</v>
      </c>
      <c r="R30" s="76"/>
      <c r="S30" s="77">
        <f t="shared" si="1"/>
        <v>0.75</v>
      </c>
      <c r="T30" s="78"/>
      <c r="U30" s="79">
        <f t="shared" si="3"/>
        <v>0.6</v>
      </c>
      <c r="V30" s="80"/>
    </row>
    <row r="31" spans="1:23" s="390" customFormat="1" ht="22.5" customHeight="1">
      <c r="A31" s="6"/>
      <c r="B31" s="503" t="s">
        <v>1926</v>
      </c>
      <c r="C31" s="504" t="s">
        <v>1850</v>
      </c>
      <c r="D31" s="508" t="s">
        <v>1889</v>
      </c>
      <c r="E31" s="82" t="s">
        <v>1849</v>
      </c>
      <c r="F31" s="82" t="s">
        <v>1487</v>
      </c>
      <c r="G31" s="69" t="s">
        <v>1882</v>
      </c>
      <c r="H31" s="68"/>
      <c r="I31" s="82"/>
      <c r="J31" s="82" t="s">
        <v>59</v>
      </c>
      <c r="K31" s="68"/>
      <c r="L31" s="68"/>
      <c r="M31" s="70">
        <v>0.5</v>
      </c>
      <c r="N31" s="70">
        <v>0.75</v>
      </c>
      <c r="O31" s="72">
        <v>1</v>
      </c>
      <c r="P31" s="73"/>
      <c r="Q31" s="81">
        <f t="shared" si="0"/>
        <v>0.5</v>
      </c>
      <c r="R31" s="76"/>
      <c r="S31" s="77">
        <f t="shared" si="1"/>
        <v>0.75</v>
      </c>
      <c r="T31" s="78"/>
      <c r="U31" s="79">
        <f t="shared" si="3"/>
        <v>0.6</v>
      </c>
      <c r="V31" s="80"/>
    </row>
    <row r="32" spans="1:23" s="390" customFormat="1">
      <c r="A32" s="6"/>
      <c r="B32" s="503" t="s">
        <v>1926</v>
      </c>
      <c r="C32" s="504" t="s">
        <v>1850</v>
      </c>
      <c r="D32" s="509" t="s">
        <v>1976</v>
      </c>
      <c r="E32" s="82" t="s">
        <v>1385</v>
      </c>
      <c r="F32" s="82" t="s">
        <v>1378</v>
      </c>
      <c r="G32" s="68"/>
      <c r="H32" s="83"/>
      <c r="I32" s="68"/>
      <c r="J32" s="82"/>
      <c r="K32" s="68"/>
      <c r="L32" s="68"/>
      <c r="M32" s="70"/>
      <c r="N32" s="71"/>
      <c r="O32" s="72"/>
      <c r="P32" s="73"/>
      <c r="Q32" s="81" t="str">
        <f t="shared" si="0"/>
        <v/>
      </c>
      <c r="R32" s="76"/>
      <c r="S32" s="77" t="str">
        <f t="shared" si="1"/>
        <v/>
      </c>
      <c r="T32" s="78"/>
      <c r="U32" s="79" t="str">
        <f t="shared" ref="U32" si="8">IF(AND(ISNUMBER(Q32),ISNUMBER(S32)),ROUND((Q32+S32)/2, 1),"")</f>
        <v/>
      </c>
      <c r="V32" s="80"/>
    </row>
    <row r="33" spans="1:22" s="390" customFormat="1">
      <c r="A33" s="6"/>
      <c r="B33" s="503" t="s">
        <v>1926</v>
      </c>
      <c r="C33" s="504" t="s">
        <v>1850</v>
      </c>
      <c r="D33" s="509" t="s">
        <v>1976</v>
      </c>
      <c r="E33" s="82" t="s">
        <v>1386</v>
      </c>
      <c r="F33" s="82" t="s">
        <v>1462</v>
      </c>
      <c r="G33" s="68" t="s">
        <v>1892</v>
      </c>
      <c r="H33" s="69"/>
      <c r="I33" s="68"/>
      <c r="J33" s="82" t="s">
        <v>59</v>
      </c>
      <c r="K33" s="68"/>
      <c r="L33" s="68"/>
      <c r="M33" s="70">
        <v>0.75</v>
      </c>
      <c r="N33" s="71">
        <v>1.25</v>
      </c>
      <c r="O33" s="72">
        <v>1</v>
      </c>
      <c r="P33" s="73">
        <v>1</v>
      </c>
      <c r="Q33" s="81">
        <f t="shared" si="0"/>
        <v>0.75</v>
      </c>
      <c r="R33" s="76">
        <v>1.75</v>
      </c>
      <c r="S33" s="77">
        <f t="shared" si="1"/>
        <v>1.25</v>
      </c>
      <c r="T33" s="78"/>
      <c r="U33" s="79">
        <f t="shared" si="3"/>
        <v>1</v>
      </c>
      <c r="V33" s="519" t="s">
        <v>1909</v>
      </c>
    </row>
    <row r="34" spans="1:22" s="390" customFormat="1">
      <c r="A34" s="6"/>
      <c r="B34" s="503" t="s">
        <v>1926</v>
      </c>
      <c r="C34" s="504" t="s">
        <v>1850</v>
      </c>
      <c r="D34" s="509" t="s">
        <v>1976</v>
      </c>
      <c r="E34" s="82" t="s">
        <v>1849</v>
      </c>
      <c r="F34" s="82" t="s">
        <v>1487</v>
      </c>
      <c r="G34" s="68" t="s">
        <v>1882</v>
      </c>
      <c r="H34" s="69"/>
      <c r="I34" s="68"/>
      <c r="J34" s="82" t="s">
        <v>59</v>
      </c>
      <c r="K34" s="68"/>
      <c r="L34" s="68"/>
      <c r="M34" s="70">
        <v>0.5</v>
      </c>
      <c r="N34" s="71">
        <v>0.75</v>
      </c>
      <c r="O34" s="72">
        <v>1</v>
      </c>
      <c r="P34" s="73"/>
      <c r="Q34" s="81">
        <f t="shared" si="0"/>
        <v>0.5</v>
      </c>
      <c r="R34" s="76"/>
      <c r="S34" s="77">
        <f t="shared" si="1"/>
        <v>0.75</v>
      </c>
      <c r="T34" s="78"/>
      <c r="U34" s="79">
        <f t="shared" si="3"/>
        <v>0.6</v>
      </c>
      <c r="V34" s="80"/>
    </row>
    <row r="35" spans="1:22" s="390" customFormat="1">
      <c r="A35" s="6"/>
      <c r="B35" s="503" t="s">
        <v>1926</v>
      </c>
      <c r="C35" s="504" t="s">
        <v>1850</v>
      </c>
      <c r="D35" s="515" t="s">
        <v>1893</v>
      </c>
      <c r="E35" s="82" t="s">
        <v>1385</v>
      </c>
      <c r="F35" s="82" t="s">
        <v>1379</v>
      </c>
      <c r="G35" s="68"/>
      <c r="H35" s="83"/>
      <c r="I35" s="68"/>
      <c r="J35" s="82"/>
      <c r="K35" s="68"/>
      <c r="L35" s="68"/>
      <c r="M35" s="70"/>
      <c r="N35" s="70"/>
      <c r="O35" s="72"/>
      <c r="P35" s="73"/>
      <c r="Q35" s="81" t="str">
        <f t="shared" si="0"/>
        <v/>
      </c>
      <c r="R35" s="76"/>
      <c r="S35" s="77" t="str">
        <f t="shared" si="1"/>
        <v/>
      </c>
      <c r="T35" s="78"/>
      <c r="U35" s="79" t="str">
        <f t="shared" si="3"/>
        <v/>
      </c>
      <c r="V35" s="80"/>
    </row>
    <row r="36" spans="1:22" s="390" customFormat="1" ht="26.25" customHeight="1">
      <c r="A36" s="6"/>
      <c r="B36" s="503" t="s">
        <v>1926</v>
      </c>
      <c r="C36" s="504" t="s">
        <v>1850</v>
      </c>
      <c r="D36" s="515" t="s">
        <v>1893</v>
      </c>
      <c r="E36" s="82" t="s">
        <v>1386</v>
      </c>
      <c r="F36" s="82" t="s">
        <v>1462</v>
      </c>
      <c r="G36" s="69" t="s">
        <v>1956</v>
      </c>
      <c r="H36" s="83"/>
      <c r="I36" s="68"/>
      <c r="J36" s="82" t="s">
        <v>59</v>
      </c>
      <c r="K36" s="68"/>
      <c r="L36" s="68"/>
      <c r="M36" s="70">
        <v>1.5</v>
      </c>
      <c r="N36" s="70">
        <v>2</v>
      </c>
      <c r="O36" s="72">
        <v>1</v>
      </c>
      <c r="P36" s="73"/>
      <c r="Q36" s="81">
        <f t="shared" si="0"/>
        <v>1.5</v>
      </c>
      <c r="R36" s="76"/>
      <c r="S36" s="77">
        <f t="shared" si="1"/>
        <v>2</v>
      </c>
      <c r="T36" s="78"/>
      <c r="U36" s="79">
        <f t="shared" si="3"/>
        <v>1.8</v>
      </c>
      <c r="V36" s="69" t="s">
        <v>1955</v>
      </c>
    </row>
    <row r="37" spans="1:22" s="390" customFormat="1">
      <c r="A37" s="6"/>
      <c r="B37" s="503" t="s">
        <v>1926</v>
      </c>
      <c r="C37" s="504" t="s">
        <v>1850</v>
      </c>
      <c r="D37" s="515" t="s">
        <v>1893</v>
      </c>
      <c r="E37" s="82" t="s">
        <v>1386</v>
      </c>
      <c r="F37" s="82" t="s">
        <v>1482</v>
      </c>
      <c r="G37" s="68" t="s">
        <v>1957</v>
      </c>
      <c r="H37" s="69"/>
      <c r="I37" s="68"/>
      <c r="J37" s="82" t="s">
        <v>59</v>
      </c>
      <c r="K37" s="68"/>
      <c r="L37" s="82" t="s">
        <v>1712</v>
      </c>
      <c r="M37" s="70">
        <v>0.5</v>
      </c>
      <c r="N37" s="71">
        <v>0.75</v>
      </c>
      <c r="O37" s="72">
        <v>1</v>
      </c>
      <c r="P37" s="73"/>
      <c r="Q37" s="81">
        <f t="shared" si="0"/>
        <v>0.5</v>
      </c>
      <c r="R37" s="76"/>
      <c r="S37" s="77">
        <f t="shared" si="1"/>
        <v>0.75</v>
      </c>
      <c r="T37" s="78"/>
      <c r="U37" s="79">
        <f t="shared" si="3"/>
        <v>0.6</v>
      </c>
      <c r="V37" s="463"/>
    </row>
    <row r="38" spans="1:22" s="390" customFormat="1">
      <c r="A38" s="6"/>
      <c r="B38" s="503" t="s">
        <v>1926</v>
      </c>
      <c r="C38" s="504" t="s">
        <v>1850</v>
      </c>
      <c r="D38" s="515" t="s">
        <v>1893</v>
      </c>
      <c r="E38" s="82" t="s">
        <v>1849</v>
      </c>
      <c r="F38" s="82" t="s">
        <v>1487</v>
      </c>
      <c r="G38" s="68" t="s">
        <v>1882</v>
      </c>
      <c r="H38" s="69"/>
      <c r="I38" s="68"/>
      <c r="J38" s="82" t="s">
        <v>59</v>
      </c>
      <c r="K38" s="68"/>
      <c r="L38" s="68"/>
      <c r="M38" s="70">
        <v>1</v>
      </c>
      <c r="N38" s="70">
        <v>1.5</v>
      </c>
      <c r="O38" s="72">
        <v>1</v>
      </c>
      <c r="P38" s="73"/>
      <c r="Q38" s="81">
        <f t="shared" si="0"/>
        <v>1</v>
      </c>
      <c r="R38" s="76"/>
      <c r="S38" s="77">
        <f t="shared" si="1"/>
        <v>1.5</v>
      </c>
      <c r="T38" s="78"/>
      <c r="U38" s="79">
        <f t="shared" si="3"/>
        <v>1.3</v>
      </c>
      <c r="V38" s="80"/>
    </row>
    <row r="39" spans="1:22" s="390" customFormat="1" ht="16.5" customHeight="1">
      <c r="A39" s="6"/>
      <c r="B39" s="503" t="s">
        <v>1928</v>
      </c>
      <c r="C39" s="504" t="s">
        <v>1850</v>
      </c>
      <c r="D39" s="514" t="s">
        <v>1907</v>
      </c>
      <c r="E39" s="82" t="s">
        <v>1385</v>
      </c>
      <c r="F39" s="82" t="s">
        <v>1378</v>
      </c>
      <c r="G39" s="68"/>
      <c r="H39" s="69"/>
      <c r="I39" s="68"/>
      <c r="J39" s="82"/>
      <c r="K39" s="68"/>
      <c r="L39" s="68"/>
      <c r="M39" s="70"/>
      <c r="N39" s="71"/>
      <c r="O39" s="72"/>
      <c r="P39" s="73"/>
      <c r="Q39" s="81" t="str">
        <f t="shared" si="0"/>
        <v/>
      </c>
      <c r="R39" s="76"/>
      <c r="S39" s="77" t="str">
        <f t="shared" si="1"/>
        <v/>
      </c>
      <c r="T39" s="78"/>
      <c r="U39" s="79" t="str">
        <f t="shared" ref="U39" si="9">IF(AND(ISNUMBER(Q39),ISNUMBER(S39)),ROUND((Q39+S39)/2, 1),"")</f>
        <v/>
      </c>
      <c r="V39" s="80" t="s">
        <v>1894</v>
      </c>
    </row>
    <row r="40" spans="1:22" s="390" customFormat="1" ht="16.5" customHeight="1">
      <c r="A40" s="6"/>
      <c r="B40" s="503" t="s">
        <v>1928</v>
      </c>
      <c r="C40" s="504" t="s">
        <v>1850</v>
      </c>
      <c r="D40" s="514" t="s">
        <v>1907</v>
      </c>
      <c r="E40" s="82" t="s">
        <v>1386</v>
      </c>
      <c r="F40" s="82" t="s">
        <v>1462</v>
      </c>
      <c r="G40" s="68" t="s">
        <v>1895</v>
      </c>
      <c r="H40" s="69"/>
      <c r="I40" s="68"/>
      <c r="J40" s="82" t="s">
        <v>59</v>
      </c>
      <c r="K40" s="68"/>
      <c r="L40" s="68"/>
      <c r="M40" s="70">
        <v>0.5</v>
      </c>
      <c r="N40" s="71">
        <v>0.75</v>
      </c>
      <c r="O40" s="72">
        <v>2</v>
      </c>
      <c r="P40" s="73"/>
      <c r="Q40" s="81">
        <f t="shared" si="0"/>
        <v>1</v>
      </c>
      <c r="R40" s="76"/>
      <c r="S40" s="77">
        <f t="shared" si="1"/>
        <v>1.5</v>
      </c>
      <c r="T40" s="78"/>
      <c r="U40" s="79">
        <f t="shared" si="3"/>
        <v>1.3</v>
      </c>
      <c r="V40" s="80" t="s">
        <v>1894</v>
      </c>
    </row>
    <row r="41" spans="1:22" s="390" customFormat="1">
      <c r="A41" s="6"/>
      <c r="B41" s="503" t="s">
        <v>1928</v>
      </c>
      <c r="C41" s="504" t="s">
        <v>1850</v>
      </c>
      <c r="D41" s="514" t="s">
        <v>1907</v>
      </c>
      <c r="E41" s="82" t="s">
        <v>1386</v>
      </c>
      <c r="F41" s="82" t="s">
        <v>1482</v>
      </c>
      <c r="G41" s="68" t="s">
        <v>1908</v>
      </c>
      <c r="H41" s="69"/>
      <c r="I41" s="68"/>
      <c r="J41" s="82" t="s">
        <v>59</v>
      </c>
      <c r="K41" s="68"/>
      <c r="L41" s="82"/>
      <c r="M41" s="70">
        <v>0.75</v>
      </c>
      <c r="N41" s="71">
        <v>1.25</v>
      </c>
      <c r="O41" s="72">
        <v>1</v>
      </c>
      <c r="P41" s="73">
        <v>1</v>
      </c>
      <c r="Q41" s="81">
        <f t="shared" si="0"/>
        <v>0.75</v>
      </c>
      <c r="R41" s="76">
        <v>1.75</v>
      </c>
      <c r="S41" s="77">
        <f t="shared" si="1"/>
        <v>1.25</v>
      </c>
      <c r="T41" s="78"/>
      <c r="U41" s="79">
        <f t="shared" si="3"/>
        <v>1</v>
      </c>
      <c r="V41" s="80"/>
    </row>
    <row r="42" spans="1:22" s="390" customFormat="1" ht="15.75" customHeight="1">
      <c r="B42" s="503" t="s">
        <v>1928</v>
      </c>
      <c r="C42" s="504" t="s">
        <v>1850</v>
      </c>
      <c r="D42" s="514" t="s">
        <v>1907</v>
      </c>
      <c r="E42" s="82" t="s">
        <v>1849</v>
      </c>
      <c r="F42" s="82" t="s">
        <v>1487</v>
      </c>
      <c r="G42" s="68" t="s">
        <v>1932</v>
      </c>
      <c r="H42" s="69"/>
      <c r="I42" s="68"/>
      <c r="J42" s="68" t="s">
        <v>59</v>
      </c>
      <c r="K42" s="68"/>
      <c r="L42" s="68"/>
      <c r="M42" s="70">
        <v>0.5</v>
      </c>
      <c r="N42" s="71">
        <v>0.75</v>
      </c>
      <c r="O42" s="72">
        <v>1</v>
      </c>
      <c r="P42" s="39"/>
      <c r="Q42" s="81">
        <f t="shared" ref="Q42" si="10">IF(AND($J42="In",ISNUMBER($M42)),$O42*$M42,"")</f>
        <v>0.5</v>
      </c>
      <c r="R42" s="76"/>
      <c r="S42" s="77">
        <f t="shared" ref="S42" si="11">IF(AND($J42="In",ISNUMBER($N42)),$O42*$N42,"")</f>
        <v>0.75</v>
      </c>
      <c r="T42" s="78"/>
      <c r="U42" s="79">
        <f t="shared" si="3"/>
        <v>0.6</v>
      </c>
      <c r="V42" s="19"/>
    </row>
    <row r="43" spans="1:22" s="390" customFormat="1" ht="15.75" customHeight="1">
      <c r="B43" s="503" t="s">
        <v>1928</v>
      </c>
      <c r="C43" s="504" t="s">
        <v>1850</v>
      </c>
      <c r="D43" s="514" t="s">
        <v>1907</v>
      </c>
      <c r="E43" s="82" t="s">
        <v>1849</v>
      </c>
      <c r="F43" s="82" t="s">
        <v>1487</v>
      </c>
      <c r="G43" s="68" t="s">
        <v>1934</v>
      </c>
      <c r="H43" s="69"/>
      <c r="I43" s="68"/>
      <c r="J43" s="68" t="s">
        <v>59</v>
      </c>
      <c r="K43" s="68"/>
      <c r="L43" s="68"/>
      <c r="M43" s="70">
        <v>0.25</v>
      </c>
      <c r="N43" s="71">
        <v>0.25</v>
      </c>
      <c r="O43" s="72">
        <v>9</v>
      </c>
      <c r="P43" s="39"/>
      <c r="Q43" s="81">
        <f t="shared" ref="Q43" si="12">IF(AND($J43="In",ISNUMBER($M43)),$O43*$M43,"")</f>
        <v>2.25</v>
      </c>
      <c r="R43" s="76"/>
      <c r="S43" s="77">
        <f t="shared" ref="S43" si="13">IF(AND($J43="In",ISNUMBER($N43)),$O43*$N43,"")</f>
        <v>2.25</v>
      </c>
      <c r="T43" s="78"/>
      <c r="U43" s="79">
        <f t="shared" si="3"/>
        <v>2.2999999999999998</v>
      </c>
      <c r="V43" s="19"/>
    </row>
    <row r="44" spans="1:22" s="390" customFormat="1">
      <c r="A44" s="6"/>
      <c r="B44" s="503" t="s">
        <v>1928</v>
      </c>
      <c r="C44" s="504" t="s">
        <v>1850</v>
      </c>
      <c r="D44" s="514" t="s">
        <v>1907</v>
      </c>
      <c r="E44" s="82" t="s">
        <v>1849</v>
      </c>
      <c r="F44" s="82" t="s">
        <v>1487</v>
      </c>
      <c r="G44" s="68" t="s">
        <v>1933</v>
      </c>
      <c r="H44" s="69"/>
      <c r="I44" s="68"/>
      <c r="J44" s="82" t="s">
        <v>59</v>
      </c>
      <c r="K44" s="68"/>
      <c r="L44" s="68"/>
      <c r="M44" s="70">
        <v>0.5</v>
      </c>
      <c r="N44" s="71">
        <v>0.5</v>
      </c>
      <c r="O44" s="72">
        <v>1</v>
      </c>
      <c r="P44" s="73"/>
      <c r="Q44" s="81">
        <f t="shared" ref="Q44:Q98" si="14">IF(AND($J44="In",ISNUMBER($M44)),$O44*$M44,"")</f>
        <v>0.5</v>
      </c>
      <c r="R44" s="76"/>
      <c r="S44" s="77">
        <f t="shared" ref="S44:S98" si="15">IF(AND($J44="In",ISNUMBER($N44)),$O44*$N44,"")</f>
        <v>0.5</v>
      </c>
      <c r="T44" s="78"/>
      <c r="U44" s="79">
        <f t="shared" si="3"/>
        <v>0.5</v>
      </c>
      <c r="V44" s="80"/>
    </row>
    <row r="45" spans="1:22" s="390" customFormat="1">
      <c r="A45" s="6"/>
      <c r="B45" s="503" t="s">
        <v>1928</v>
      </c>
      <c r="C45" s="504" t="s">
        <v>1850</v>
      </c>
      <c r="D45" s="510" t="s">
        <v>1975</v>
      </c>
      <c r="E45" s="82" t="s">
        <v>1385</v>
      </c>
      <c r="F45" s="82" t="s">
        <v>1378</v>
      </c>
      <c r="G45" s="68"/>
      <c r="H45" s="69"/>
      <c r="I45" s="68"/>
      <c r="J45" s="82"/>
      <c r="K45" s="68"/>
      <c r="L45" s="68"/>
      <c r="M45" s="70"/>
      <c r="N45" s="71"/>
      <c r="O45" s="72"/>
      <c r="P45" s="73"/>
      <c r="Q45" s="81" t="str">
        <f t="shared" si="14"/>
        <v/>
      </c>
      <c r="R45" s="76"/>
      <c r="S45" s="77" t="str">
        <f t="shared" si="15"/>
        <v/>
      </c>
      <c r="T45" s="78"/>
      <c r="U45" s="79" t="str">
        <f t="shared" ref="U45" si="16">IF(AND(ISNUMBER(Q45),ISNUMBER(S45)),ROUND((Q45+S45)/2, 1),"")</f>
        <v/>
      </c>
      <c r="V45" s="516"/>
    </row>
    <row r="46" spans="1:22" s="390" customFormat="1" ht="21" customHeight="1">
      <c r="A46" s="6"/>
      <c r="B46" s="503" t="s">
        <v>1928</v>
      </c>
      <c r="C46" s="504" t="s">
        <v>1850</v>
      </c>
      <c r="D46" s="510" t="s">
        <v>1975</v>
      </c>
      <c r="E46" s="82" t="s">
        <v>1386</v>
      </c>
      <c r="F46" s="82" t="s">
        <v>1462</v>
      </c>
      <c r="G46" s="68" t="s">
        <v>1977</v>
      </c>
      <c r="H46" s="69"/>
      <c r="I46" s="68"/>
      <c r="J46" s="82" t="s">
        <v>59</v>
      </c>
      <c r="K46" s="68"/>
      <c r="L46" s="68"/>
      <c r="M46" s="70">
        <v>1</v>
      </c>
      <c r="N46" s="71">
        <v>1.5</v>
      </c>
      <c r="O46" s="72">
        <v>1</v>
      </c>
      <c r="P46" s="73"/>
      <c r="Q46" s="81">
        <f t="shared" si="14"/>
        <v>1</v>
      </c>
      <c r="R46" s="76"/>
      <c r="S46" s="77">
        <f t="shared" si="15"/>
        <v>1.5</v>
      </c>
      <c r="T46" s="78"/>
      <c r="U46" s="79">
        <f t="shared" ref="U46:U99" si="17">IF(AND(ISNUMBER(Q46),ISNUMBER(S46)),ROUND((Q46+S46)/2, 1),"")</f>
        <v>1.3</v>
      </c>
      <c r="V46" s="521" t="s">
        <v>1925</v>
      </c>
    </row>
    <row r="47" spans="1:22" s="390" customFormat="1">
      <c r="A47" s="6"/>
      <c r="B47" s="503" t="s">
        <v>1928</v>
      </c>
      <c r="C47" s="504" t="s">
        <v>1850</v>
      </c>
      <c r="D47" s="510" t="s">
        <v>1975</v>
      </c>
      <c r="E47" s="82" t="s">
        <v>1386</v>
      </c>
      <c r="F47" s="82" t="s">
        <v>1482</v>
      </c>
      <c r="G47" s="68" t="s">
        <v>1876</v>
      </c>
      <c r="H47" s="69"/>
      <c r="I47" s="68"/>
      <c r="J47" s="82" t="s">
        <v>59</v>
      </c>
      <c r="K47" s="68"/>
      <c r="L47" s="82"/>
      <c r="M47" s="70">
        <v>0.75</v>
      </c>
      <c r="N47" s="71">
        <v>1</v>
      </c>
      <c r="O47" s="72">
        <v>1</v>
      </c>
      <c r="P47" s="73"/>
      <c r="Q47" s="81">
        <f t="shared" si="14"/>
        <v>0.75</v>
      </c>
      <c r="R47" s="76"/>
      <c r="S47" s="77">
        <f t="shared" si="15"/>
        <v>1</v>
      </c>
      <c r="T47" s="78"/>
      <c r="U47" s="79">
        <f t="shared" si="17"/>
        <v>0.9</v>
      </c>
      <c r="V47" s="80"/>
    </row>
    <row r="48" spans="1:22" s="390" customFormat="1">
      <c r="A48" s="6"/>
      <c r="B48" s="503" t="s">
        <v>1928</v>
      </c>
      <c r="C48" s="504" t="s">
        <v>1850</v>
      </c>
      <c r="D48" s="510" t="s">
        <v>1975</v>
      </c>
      <c r="E48" s="82" t="s">
        <v>1849</v>
      </c>
      <c r="F48" s="82" t="s">
        <v>1487</v>
      </c>
      <c r="G48" s="68" t="s">
        <v>1882</v>
      </c>
      <c r="H48" s="69"/>
      <c r="I48" s="68"/>
      <c r="J48" s="82" t="s">
        <v>59</v>
      </c>
      <c r="K48" s="68"/>
      <c r="L48" s="68"/>
      <c r="M48" s="70">
        <v>1</v>
      </c>
      <c r="N48" s="71">
        <v>1</v>
      </c>
      <c r="O48" s="72">
        <v>1</v>
      </c>
      <c r="P48" s="73"/>
      <c r="Q48" s="81">
        <f t="shared" si="14"/>
        <v>1</v>
      </c>
      <c r="R48" s="76"/>
      <c r="S48" s="77">
        <f t="shared" si="15"/>
        <v>1</v>
      </c>
      <c r="T48" s="78"/>
      <c r="U48" s="79">
        <f t="shared" si="17"/>
        <v>1</v>
      </c>
      <c r="V48" s="80"/>
    </row>
    <row r="49" spans="1:22" s="390" customFormat="1" ht="18" customHeight="1">
      <c r="A49" s="6"/>
      <c r="B49" s="503" t="s">
        <v>1926</v>
      </c>
      <c r="C49" s="504" t="s">
        <v>1850</v>
      </c>
      <c r="D49" s="517" t="s">
        <v>1899</v>
      </c>
      <c r="E49" s="82" t="s">
        <v>1385</v>
      </c>
      <c r="F49" s="82" t="s">
        <v>1378</v>
      </c>
      <c r="G49" s="68"/>
      <c r="H49" s="69"/>
      <c r="I49" s="68"/>
      <c r="J49" s="82"/>
      <c r="K49" s="68"/>
      <c r="L49" s="68"/>
      <c r="M49" s="70"/>
      <c r="N49" s="71"/>
      <c r="O49" s="72"/>
      <c r="P49" s="73"/>
      <c r="Q49" s="81" t="str">
        <f t="shared" si="14"/>
        <v/>
      </c>
      <c r="R49" s="76"/>
      <c r="S49" s="77" t="str">
        <f t="shared" si="15"/>
        <v/>
      </c>
      <c r="T49" s="78"/>
      <c r="U49" s="79" t="str">
        <f t="shared" ref="U49" si="18">IF(AND(ISNUMBER(Q49),ISNUMBER(S49)),ROUND((Q49+S49)/2, 1),"")</f>
        <v/>
      </c>
      <c r="V49" s="80" t="s">
        <v>1929</v>
      </c>
    </row>
    <row r="50" spans="1:22" s="390" customFormat="1" ht="18" customHeight="1">
      <c r="A50" s="6"/>
      <c r="B50" s="503" t="s">
        <v>1926</v>
      </c>
      <c r="C50" s="504" t="s">
        <v>1850</v>
      </c>
      <c r="D50" s="517" t="s">
        <v>1899</v>
      </c>
      <c r="E50" s="82" t="s">
        <v>1386</v>
      </c>
      <c r="F50" s="82" t="s">
        <v>1462</v>
      </c>
      <c r="G50" s="68" t="s">
        <v>1900</v>
      </c>
      <c r="H50" s="69"/>
      <c r="I50" s="68"/>
      <c r="J50" s="82" t="s">
        <v>59</v>
      </c>
      <c r="K50" s="68"/>
      <c r="L50" s="68"/>
      <c r="M50" s="70">
        <v>0.5</v>
      </c>
      <c r="N50" s="71">
        <v>0.75</v>
      </c>
      <c r="O50" s="72">
        <v>5</v>
      </c>
      <c r="P50" s="73"/>
      <c r="Q50" s="81">
        <f t="shared" si="14"/>
        <v>2.5</v>
      </c>
      <c r="R50" s="76"/>
      <c r="S50" s="77">
        <f t="shared" si="15"/>
        <v>3.75</v>
      </c>
      <c r="T50" s="78"/>
      <c r="U50" s="79">
        <f t="shared" si="17"/>
        <v>3.1</v>
      </c>
      <c r="V50" s="80" t="s">
        <v>1930</v>
      </c>
    </row>
    <row r="51" spans="1:22" s="390" customFormat="1">
      <c r="A51" s="6"/>
      <c r="B51" s="503" t="s">
        <v>1926</v>
      </c>
      <c r="C51" s="504" t="s">
        <v>1850</v>
      </c>
      <c r="D51" s="517" t="s">
        <v>1899</v>
      </c>
      <c r="E51" s="82" t="s">
        <v>1386</v>
      </c>
      <c r="F51" s="82" t="s">
        <v>1482</v>
      </c>
      <c r="G51" s="68" t="s">
        <v>1901</v>
      </c>
      <c r="H51" s="69"/>
      <c r="I51" s="68"/>
      <c r="J51" s="82" t="s">
        <v>59</v>
      </c>
      <c r="K51" s="68"/>
      <c r="L51" s="82"/>
      <c r="M51" s="70">
        <v>0.25</v>
      </c>
      <c r="N51" s="71">
        <v>0.5</v>
      </c>
      <c r="O51" s="72">
        <v>5</v>
      </c>
      <c r="P51" s="73"/>
      <c r="Q51" s="81">
        <f t="shared" si="14"/>
        <v>1.25</v>
      </c>
      <c r="R51" s="76"/>
      <c r="S51" s="77">
        <f t="shared" si="15"/>
        <v>2.5</v>
      </c>
      <c r="T51" s="78"/>
      <c r="U51" s="79">
        <f t="shared" si="17"/>
        <v>1.9</v>
      </c>
      <c r="V51" s="80"/>
    </row>
    <row r="52" spans="1:22" s="390" customFormat="1">
      <c r="A52" s="6"/>
      <c r="B52" s="503" t="s">
        <v>1926</v>
      </c>
      <c r="C52" s="504" t="s">
        <v>1850</v>
      </c>
      <c r="D52" s="517" t="s">
        <v>1899</v>
      </c>
      <c r="E52" s="82" t="s">
        <v>1849</v>
      </c>
      <c r="F52" s="82" t="s">
        <v>1487</v>
      </c>
      <c r="G52" s="68" t="s">
        <v>1882</v>
      </c>
      <c r="H52" s="69"/>
      <c r="I52" s="68"/>
      <c r="J52" s="82" t="s">
        <v>59</v>
      </c>
      <c r="K52" s="68"/>
      <c r="L52" s="68"/>
      <c r="M52" s="70">
        <v>0.5</v>
      </c>
      <c r="N52" s="71">
        <v>0.5</v>
      </c>
      <c r="O52" s="72">
        <v>5</v>
      </c>
      <c r="P52" s="73"/>
      <c r="Q52" s="81">
        <f t="shared" si="14"/>
        <v>2.5</v>
      </c>
      <c r="R52" s="76"/>
      <c r="S52" s="77">
        <f t="shared" si="15"/>
        <v>2.5</v>
      </c>
      <c r="T52" s="78"/>
      <c r="U52" s="79">
        <f t="shared" si="17"/>
        <v>2.5</v>
      </c>
      <c r="V52" s="80"/>
    </row>
    <row r="53" spans="1:22" s="390" customFormat="1" ht="19.5" customHeight="1">
      <c r="A53" s="6"/>
      <c r="B53" s="67"/>
      <c r="C53" s="504" t="s">
        <v>1850</v>
      </c>
      <c r="D53" s="508" t="s">
        <v>1902</v>
      </c>
      <c r="E53" s="82" t="s">
        <v>1386</v>
      </c>
      <c r="F53" s="82" t="s">
        <v>1462</v>
      </c>
      <c r="G53" s="68"/>
      <c r="H53" s="69"/>
      <c r="I53" s="68"/>
      <c r="J53" s="82" t="s">
        <v>59</v>
      </c>
      <c r="K53" s="68"/>
      <c r="L53" s="68"/>
      <c r="M53" s="70">
        <v>1</v>
      </c>
      <c r="N53" s="71">
        <v>1.5</v>
      </c>
      <c r="O53" s="72">
        <v>2</v>
      </c>
      <c r="P53" s="73"/>
      <c r="Q53" s="81">
        <f t="shared" si="14"/>
        <v>2</v>
      </c>
      <c r="R53" s="76"/>
      <c r="S53" s="77">
        <f t="shared" si="15"/>
        <v>3</v>
      </c>
      <c r="T53" s="78"/>
      <c r="U53" s="79">
        <f t="shared" ref="U53:U55" si="19">IF(AND(ISNUMBER(Q53),ISNUMBER(S53)),ROUND((Q53+S53)/2, 1),"")</f>
        <v>2.5</v>
      </c>
      <c r="V53" s="80" t="s">
        <v>1919</v>
      </c>
    </row>
    <row r="54" spans="1:22" s="390" customFormat="1">
      <c r="A54" s="6"/>
      <c r="B54" s="67"/>
      <c r="C54" s="504" t="s">
        <v>1850</v>
      </c>
      <c r="D54" s="508" t="s">
        <v>1902</v>
      </c>
      <c r="E54" s="82" t="s">
        <v>1386</v>
      </c>
      <c r="F54" s="82" t="s">
        <v>1482</v>
      </c>
      <c r="G54" s="68"/>
      <c r="H54" s="69"/>
      <c r="I54" s="68"/>
      <c r="J54" s="82" t="s">
        <v>59</v>
      </c>
      <c r="K54" s="68"/>
      <c r="L54" s="82"/>
      <c r="M54" s="70">
        <v>0.75</v>
      </c>
      <c r="N54" s="71">
        <v>1.25</v>
      </c>
      <c r="O54" s="72">
        <v>2</v>
      </c>
      <c r="P54" s="73"/>
      <c r="Q54" s="81">
        <f t="shared" si="14"/>
        <v>1.5</v>
      </c>
      <c r="R54" s="76"/>
      <c r="S54" s="77">
        <f t="shared" si="15"/>
        <v>2.5</v>
      </c>
      <c r="T54" s="78"/>
      <c r="U54" s="79">
        <f t="shared" si="19"/>
        <v>2</v>
      </c>
      <c r="V54" s="80"/>
    </row>
    <row r="55" spans="1:22" s="390" customFormat="1">
      <c r="A55" s="6"/>
      <c r="B55" s="67"/>
      <c r="C55" s="504" t="s">
        <v>1850</v>
      </c>
      <c r="D55" s="508" t="s">
        <v>1902</v>
      </c>
      <c r="E55" s="82" t="s">
        <v>1849</v>
      </c>
      <c r="F55" s="82" t="s">
        <v>1487</v>
      </c>
      <c r="G55" s="68"/>
      <c r="H55" s="69"/>
      <c r="I55" s="68"/>
      <c r="J55" s="82" t="s">
        <v>59</v>
      </c>
      <c r="K55" s="68"/>
      <c r="L55" s="68"/>
      <c r="M55" s="70">
        <v>1</v>
      </c>
      <c r="N55" s="71">
        <v>1.5</v>
      </c>
      <c r="O55" s="72">
        <v>2</v>
      </c>
      <c r="P55" s="73"/>
      <c r="Q55" s="81">
        <f t="shared" si="14"/>
        <v>2</v>
      </c>
      <c r="R55" s="76"/>
      <c r="S55" s="77">
        <f t="shared" si="15"/>
        <v>3</v>
      </c>
      <c r="T55" s="78"/>
      <c r="U55" s="79">
        <f t="shared" si="19"/>
        <v>2.5</v>
      </c>
      <c r="V55" s="80"/>
    </row>
    <row r="56" spans="1:22" s="390" customFormat="1">
      <c r="A56" s="6"/>
      <c r="B56" s="67"/>
      <c r="C56" s="504" t="s">
        <v>1850</v>
      </c>
      <c r="D56" s="520" t="s">
        <v>1910</v>
      </c>
      <c r="E56" s="82" t="s">
        <v>1522</v>
      </c>
      <c r="F56" s="82" t="s">
        <v>1482</v>
      </c>
      <c r="G56" s="68" t="s">
        <v>1910</v>
      </c>
      <c r="H56" s="69"/>
      <c r="I56" s="68"/>
      <c r="J56" s="82" t="s">
        <v>59</v>
      </c>
      <c r="K56" s="68"/>
      <c r="L56" s="82"/>
      <c r="M56" s="70">
        <v>2</v>
      </c>
      <c r="N56" s="71">
        <v>2</v>
      </c>
      <c r="O56" s="72">
        <v>4</v>
      </c>
      <c r="P56" s="73"/>
      <c r="Q56" s="81">
        <f t="shared" si="14"/>
        <v>8</v>
      </c>
      <c r="R56" s="76"/>
      <c r="S56" s="77">
        <f t="shared" si="15"/>
        <v>8</v>
      </c>
      <c r="T56" s="78"/>
      <c r="U56" s="79">
        <f t="shared" ref="U56" si="20">IF(AND(ISNUMBER(Q56),ISNUMBER(S56)),ROUND((Q56+S56)/2, 1),"")</f>
        <v>8</v>
      </c>
      <c r="V56" s="80"/>
    </row>
    <row r="57" spans="1:22" s="390" customFormat="1">
      <c r="A57" s="6"/>
      <c r="B57" s="67"/>
      <c r="C57" s="504" t="s">
        <v>1850</v>
      </c>
      <c r="D57" s="520" t="s">
        <v>1910</v>
      </c>
      <c r="E57" s="82" t="s">
        <v>1522</v>
      </c>
      <c r="F57" s="82" t="s">
        <v>1462</v>
      </c>
      <c r="G57" s="68" t="s">
        <v>1910</v>
      </c>
      <c r="H57" s="69"/>
      <c r="I57" s="68"/>
      <c r="J57" s="82" t="s">
        <v>59</v>
      </c>
      <c r="K57" s="68"/>
      <c r="L57" s="82"/>
      <c r="M57" s="70">
        <v>2</v>
      </c>
      <c r="N57" s="71">
        <v>2</v>
      </c>
      <c r="O57" s="72">
        <v>3</v>
      </c>
      <c r="P57" s="73"/>
      <c r="Q57" s="81">
        <f t="shared" si="14"/>
        <v>6</v>
      </c>
      <c r="R57" s="76"/>
      <c r="S57" s="77">
        <f t="shared" si="15"/>
        <v>6</v>
      </c>
      <c r="T57" s="78"/>
      <c r="U57" s="79">
        <f t="shared" ref="U57:U59" si="21">IF(AND(ISNUMBER(Q57),ISNUMBER(S57)),ROUND((Q57+S57)/2, 1),"")</f>
        <v>6</v>
      </c>
      <c r="V57" s="80"/>
    </row>
    <row r="58" spans="1:22" s="390" customFormat="1">
      <c r="A58" s="6"/>
      <c r="B58" s="67"/>
      <c r="C58" s="504" t="s">
        <v>1850</v>
      </c>
      <c r="D58" s="520" t="s">
        <v>1910</v>
      </c>
      <c r="E58" s="82" t="s">
        <v>1522</v>
      </c>
      <c r="F58" s="82" t="s">
        <v>1487</v>
      </c>
      <c r="G58" s="68" t="s">
        <v>1910</v>
      </c>
      <c r="H58" s="69"/>
      <c r="I58" s="68"/>
      <c r="J58" s="82" t="s">
        <v>59</v>
      </c>
      <c r="K58" s="68"/>
      <c r="L58" s="82"/>
      <c r="M58" s="70">
        <v>2</v>
      </c>
      <c r="N58" s="71">
        <v>2</v>
      </c>
      <c r="O58" s="72">
        <v>3</v>
      </c>
      <c r="P58" s="73"/>
      <c r="Q58" s="81">
        <f t="shared" si="14"/>
        <v>6</v>
      </c>
      <c r="R58" s="76"/>
      <c r="S58" s="77">
        <f t="shared" si="15"/>
        <v>6</v>
      </c>
      <c r="T58" s="78"/>
      <c r="U58" s="79">
        <f t="shared" si="21"/>
        <v>6</v>
      </c>
      <c r="V58" s="80"/>
    </row>
    <row r="59" spans="1:22" s="390" customFormat="1">
      <c r="A59" s="6"/>
      <c r="B59" s="67"/>
      <c r="C59" s="504" t="s">
        <v>1850</v>
      </c>
      <c r="D59" s="508" t="s">
        <v>1911</v>
      </c>
      <c r="E59" s="82" t="s">
        <v>1522</v>
      </c>
      <c r="F59" s="82" t="s">
        <v>1482</v>
      </c>
      <c r="G59" s="68" t="s">
        <v>1910</v>
      </c>
      <c r="H59" s="69"/>
      <c r="I59" s="68"/>
      <c r="J59" s="82" t="s">
        <v>59</v>
      </c>
      <c r="K59" s="68"/>
      <c r="L59" s="82"/>
      <c r="M59" s="70">
        <v>5</v>
      </c>
      <c r="N59" s="71">
        <v>5</v>
      </c>
      <c r="O59" s="72">
        <v>2</v>
      </c>
      <c r="P59" s="73"/>
      <c r="Q59" s="81">
        <f t="shared" si="14"/>
        <v>10</v>
      </c>
      <c r="R59" s="76"/>
      <c r="S59" s="77">
        <f t="shared" si="15"/>
        <v>10</v>
      </c>
      <c r="T59" s="78"/>
      <c r="U59" s="79">
        <f t="shared" si="21"/>
        <v>10</v>
      </c>
      <c r="V59" s="80"/>
    </row>
    <row r="60" spans="1:22" s="390" customFormat="1">
      <c r="A60" s="6"/>
      <c r="B60" s="67"/>
      <c r="C60" s="504" t="s">
        <v>1850</v>
      </c>
      <c r="D60" s="508" t="s">
        <v>1911</v>
      </c>
      <c r="E60" s="82" t="s">
        <v>1522</v>
      </c>
      <c r="F60" s="82" t="s">
        <v>1462</v>
      </c>
      <c r="G60" s="68" t="s">
        <v>1910</v>
      </c>
      <c r="H60" s="69"/>
      <c r="I60" s="68"/>
      <c r="J60" s="82" t="s">
        <v>59</v>
      </c>
      <c r="K60" s="68"/>
      <c r="L60" s="82"/>
      <c r="M60" s="70">
        <v>5</v>
      </c>
      <c r="N60" s="71">
        <v>5</v>
      </c>
      <c r="O60" s="72">
        <v>2</v>
      </c>
      <c r="P60" s="73"/>
      <c r="Q60" s="81">
        <f t="shared" si="14"/>
        <v>10</v>
      </c>
      <c r="R60" s="76"/>
      <c r="S60" s="77">
        <f t="shared" si="15"/>
        <v>10</v>
      </c>
      <c r="T60" s="78"/>
      <c r="U60" s="79">
        <f t="shared" ref="U60:U62" si="22">IF(AND(ISNUMBER(Q60),ISNUMBER(S60)),ROUND((Q60+S60)/2, 1),"")</f>
        <v>10</v>
      </c>
      <c r="V60" s="80"/>
    </row>
    <row r="61" spans="1:22" s="390" customFormat="1">
      <c r="A61" s="6"/>
      <c r="B61" s="67"/>
      <c r="C61" s="504" t="s">
        <v>1850</v>
      </c>
      <c r="D61" s="508" t="s">
        <v>1911</v>
      </c>
      <c r="E61" s="82" t="s">
        <v>1522</v>
      </c>
      <c r="F61" s="82" t="s">
        <v>1487</v>
      </c>
      <c r="G61" s="68" t="s">
        <v>1910</v>
      </c>
      <c r="H61" s="69"/>
      <c r="I61" s="68"/>
      <c r="J61" s="82" t="s">
        <v>59</v>
      </c>
      <c r="K61" s="68"/>
      <c r="L61" s="82"/>
      <c r="M61" s="70">
        <v>5</v>
      </c>
      <c r="N61" s="71">
        <v>5</v>
      </c>
      <c r="O61" s="72">
        <v>2</v>
      </c>
      <c r="P61" s="73"/>
      <c r="Q61" s="81">
        <f t="shared" si="14"/>
        <v>10</v>
      </c>
      <c r="R61" s="76"/>
      <c r="S61" s="77">
        <f t="shared" si="15"/>
        <v>10</v>
      </c>
      <c r="T61" s="78"/>
      <c r="U61" s="79">
        <f t="shared" si="22"/>
        <v>10</v>
      </c>
      <c r="V61" s="80"/>
    </row>
    <row r="62" spans="1:22" s="390" customFormat="1">
      <c r="A62" s="6"/>
      <c r="B62" s="67"/>
      <c r="C62" s="504"/>
      <c r="D62" s="505"/>
      <c r="E62" s="82"/>
      <c r="F62" s="82"/>
      <c r="G62" s="68"/>
      <c r="H62" s="69"/>
      <c r="I62" s="68"/>
      <c r="J62" s="82" t="s">
        <v>60</v>
      </c>
      <c r="K62" s="68"/>
      <c r="L62" s="82"/>
      <c r="M62" s="70">
        <v>0.5</v>
      </c>
      <c r="N62" s="70">
        <v>0.5</v>
      </c>
      <c r="O62" s="72">
        <v>0</v>
      </c>
      <c r="P62" s="73"/>
      <c r="Q62" s="81" t="str">
        <f t="shared" si="14"/>
        <v/>
      </c>
      <c r="R62" s="76"/>
      <c r="S62" s="77" t="str">
        <f t="shared" si="15"/>
        <v/>
      </c>
      <c r="T62" s="78"/>
      <c r="U62" s="79" t="str">
        <f t="shared" si="22"/>
        <v/>
      </c>
      <c r="V62" s="80"/>
    </row>
    <row r="63" spans="1:22" s="390" customFormat="1">
      <c r="A63" s="6"/>
      <c r="B63" s="67"/>
      <c r="C63" s="504"/>
      <c r="D63" s="505"/>
      <c r="E63" s="82"/>
      <c r="F63" s="82"/>
      <c r="G63" s="68"/>
      <c r="H63" s="69"/>
      <c r="I63" s="68"/>
      <c r="J63" s="82" t="s">
        <v>60</v>
      </c>
      <c r="K63" s="68"/>
      <c r="L63" s="82"/>
      <c r="M63" s="70">
        <v>0.5</v>
      </c>
      <c r="N63" s="70">
        <v>0.5</v>
      </c>
      <c r="O63" s="72">
        <v>0</v>
      </c>
      <c r="P63" s="73"/>
      <c r="Q63" s="81" t="str">
        <f t="shared" si="14"/>
        <v/>
      </c>
      <c r="R63" s="76"/>
      <c r="S63" s="77" t="str">
        <f t="shared" si="15"/>
        <v/>
      </c>
      <c r="T63" s="78"/>
      <c r="U63" s="79" t="str">
        <f t="shared" ref="U63:U64" si="23">IF(AND(ISNUMBER(Q63),ISNUMBER(S63)),ROUND((Q63+S63)/2, 1),"")</f>
        <v/>
      </c>
      <c r="V63" s="80"/>
    </row>
    <row r="64" spans="1:22" s="390" customFormat="1">
      <c r="A64" s="6"/>
      <c r="B64" s="67"/>
      <c r="C64" s="504"/>
      <c r="D64" s="505"/>
      <c r="E64" s="82"/>
      <c r="F64" s="82"/>
      <c r="G64" s="68"/>
      <c r="H64" s="69"/>
      <c r="I64" s="68"/>
      <c r="J64" s="82" t="s">
        <v>60</v>
      </c>
      <c r="K64" s="68"/>
      <c r="L64" s="82"/>
      <c r="M64" s="70">
        <v>0.5</v>
      </c>
      <c r="N64" s="70">
        <v>0.5</v>
      </c>
      <c r="O64" s="72">
        <v>0</v>
      </c>
      <c r="P64" s="73"/>
      <c r="Q64" s="81" t="str">
        <f t="shared" si="14"/>
        <v/>
      </c>
      <c r="R64" s="76"/>
      <c r="S64" s="77" t="str">
        <f t="shared" si="15"/>
        <v/>
      </c>
      <c r="T64" s="78"/>
      <c r="U64" s="79" t="str">
        <f t="shared" si="23"/>
        <v/>
      </c>
      <c r="V64" s="80"/>
    </row>
    <row r="65" spans="1:22" s="390" customFormat="1">
      <c r="A65" s="6"/>
      <c r="B65" s="503"/>
      <c r="C65" s="504"/>
      <c r="D65" s="505"/>
      <c r="E65" s="82"/>
      <c r="F65" s="82"/>
      <c r="G65" s="68"/>
      <c r="H65" s="69"/>
      <c r="I65" s="68"/>
      <c r="J65" s="82" t="s">
        <v>60</v>
      </c>
      <c r="K65" s="68"/>
      <c r="L65" s="68"/>
      <c r="M65" s="70">
        <v>0.5</v>
      </c>
      <c r="N65" s="70">
        <v>0.5</v>
      </c>
      <c r="O65" s="72">
        <v>0</v>
      </c>
      <c r="P65" s="73"/>
      <c r="Q65" s="81" t="str">
        <f>IF(AND($J65="In",ISNUMBER($M65)),$O65*$M65,"")</f>
        <v/>
      </c>
      <c r="R65" s="76"/>
      <c r="S65" s="77" t="str">
        <f>IF(AND($J65="In",ISNUMBER($N65)),$O65*$N65,"")</f>
        <v/>
      </c>
      <c r="T65" s="78"/>
      <c r="U65" s="79" t="str">
        <f>IF(AND(ISNUMBER(Q65),ISNUMBER(S65)),ROUND((Q65+S65)/2, 1),"")</f>
        <v/>
      </c>
      <c r="V65" s="80"/>
    </row>
    <row r="66" spans="1:22" s="390" customFormat="1" ht="15.75" customHeight="1">
      <c r="A66" s="6"/>
      <c r="B66" s="67"/>
      <c r="C66" s="504"/>
      <c r="D66" s="68"/>
      <c r="E66" s="82"/>
      <c r="F66" s="82"/>
      <c r="G66" s="68"/>
      <c r="H66" s="69"/>
      <c r="I66" s="68"/>
      <c r="J66" s="82" t="s">
        <v>60</v>
      </c>
      <c r="K66" s="68"/>
      <c r="L66" s="82"/>
      <c r="M66" s="70">
        <v>0.5</v>
      </c>
      <c r="N66" s="70">
        <v>0.5</v>
      </c>
      <c r="O66" s="72">
        <v>0</v>
      </c>
      <c r="P66" s="73"/>
      <c r="Q66" s="81" t="str">
        <f t="shared" si="14"/>
        <v/>
      </c>
      <c r="R66" s="76"/>
      <c r="S66" s="77" t="str">
        <f t="shared" si="15"/>
        <v/>
      </c>
      <c r="T66" s="78"/>
      <c r="U66" s="79" t="str">
        <f t="shared" si="17"/>
        <v/>
      </c>
      <c r="V66" s="19"/>
    </row>
    <row r="67" spans="1:22" s="390" customFormat="1" ht="15.75" customHeight="1">
      <c r="A67" s="6"/>
      <c r="B67" s="67"/>
      <c r="C67" s="504"/>
      <c r="D67" s="68"/>
      <c r="E67" s="82"/>
      <c r="F67" s="82"/>
      <c r="G67" s="68"/>
      <c r="H67" s="69"/>
      <c r="I67" s="68"/>
      <c r="J67" s="82" t="s">
        <v>60</v>
      </c>
      <c r="K67" s="68"/>
      <c r="L67" s="68"/>
      <c r="M67" s="70">
        <v>0.5</v>
      </c>
      <c r="N67" s="70">
        <v>0.5</v>
      </c>
      <c r="O67" s="72">
        <v>0</v>
      </c>
      <c r="P67" s="73"/>
      <c r="Q67" s="81" t="str">
        <f t="shared" si="14"/>
        <v/>
      </c>
      <c r="R67" s="76"/>
      <c r="S67" s="77" t="str">
        <f t="shared" si="15"/>
        <v/>
      </c>
      <c r="T67" s="78"/>
      <c r="U67" s="79" t="str">
        <f t="shared" si="17"/>
        <v/>
      </c>
      <c r="V67" s="19"/>
    </row>
    <row r="68" spans="1:22" s="390" customFormat="1" ht="15.75" customHeight="1">
      <c r="A68" s="6"/>
      <c r="B68" s="503"/>
      <c r="C68" s="504"/>
      <c r="D68" s="505"/>
      <c r="E68" s="82"/>
      <c r="F68" s="82"/>
      <c r="G68" s="68"/>
      <c r="H68" s="69"/>
      <c r="I68" s="68"/>
      <c r="J68" s="82" t="s">
        <v>60</v>
      </c>
      <c r="K68" s="68"/>
      <c r="L68" s="68"/>
      <c r="M68" s="70">
        <v>0.5</v>
      </c>
      <c r="N68" s="70">
        <v>0.5</v>
      </c>
      <c r="O68" s="72">
        <v>0</v>
      </c>
      <c r="P68" s="73"/>
      <c r="Q68" s="81" t="str">
        <f t="shared" si="14"/>
        <v/>
      </c>
      <c r="R68" s="76"/>
      <c r="S68" s="77" t="str">
        <f t="shared" si="15"/>
        <v/>
      </c>
      <c r="T68" s="78"/>
      <c r="U68" s="79" t="str">
        <f t="shared" si="17"/>
        <v/>
      </c>
      <c r="V68" s="19"/>
    </row>
    <row r="69" spans="1:22" s="390" customFormat="1">
      <c r="A69" s="6"/>
      <c r="B69" s="503"/>
      <c r="C69" s="504"/>
      <c r="D69" s="505"/>
      <c r="E69" s="82"/>
      <c r="F69" s="82"/>
      <c r="G69" s="68"/>
      <c r="H69" s="69"/>
      <c r="I69" s="68"/>
      <c r="J69" s="82" t="s">
        <v>60</v>
      </c>
      <c r="K69" s="68"/>
      <c r="L69" s="68"/>
      <c r="M69" s="70">
        <v>0.5</v>
      </c>
      <c r="N69" s="70">
        <v>0.5</v>
      </c>
      <c r="O69" s="72">
        <v>0</v>
      </c>
      <c r="P69" s="73"/>
      <c r="Q69" s="81" t="str">
        <f t="shared" si="14"/>
        <v/>
      </c>
      <c r="R69" s="76"/>
      <c r="S69" s="77" t="str">
        <f t="shared" si="15"/>
        <v/>
      </c>
      <c r="T69" s="78"/>
      <c r="U69" s="79" t="str">
        <f t="shared" si="17"/>
        <v/>
      </c>
      <c r="V69" s="80"/>
    </row>
    <row r="70" spans="1:22" s="390" customFormat="1">
      <c r="A70" s="6"/>
      <c r="B70" s="503"/>
      <c r="C70" s="504"/>
      <c r="D70" s="505"/>
      <c r="E70" s="82"/>
      <c r="F70" s="82"/>
      <c r="G70" s="68"/>
      <c r="H70" s="69"/>
      <c r="I70" s="68"/>
      <c r="J70" s="82" t="s">
        <v>60</v>
      </c>
      <c r="K70" s="68"/>
      <c r="L70" s="68"/>
      <c r="M70" s="70">
        <v>0.5</v>
      </c>
      <c r="N70" s="70">
        <v>0.5</v>
      </c>
      <c r="O70" s="72">
        <v>0</v>
      </c>
      <c r="P70" s="73"/>
      <c r="Q70" s="81" t="str">
        <f t="shared" si="14"/>
        <v/>
      </c>
      <c r="R70" s="76"/>
      <c r="S70" s="77" t="str">
        <f t="shared" si="15"/>
        <v/>
      </c>
      <c r="T70" s="78"/>
      <c r="U70" s="79" t="str">
        <f t="shared" si="17"/>
        <v/>
      </c>
      <c r="V70" s="80"/>
    </row>
    <row r="71" spans="1:22" s="390" customFormat="1">
      <c r="A71" s="6"/>
      <c r="B71" s="503"/>
      <c r="C71" s="504"/>
      <c r="D71" s="505"/>
      <c r="E71" s="82"/>
      <c r="F71" s="82"/>
      <c r="G71" s="68"/>
      <c r="H71" s="69"/>
      <c r="I71" s="68"/>
      <c r="J71" s="82" t="s">
        <v>60</v>
      </c>
      <c r="K71" s="68"/>
      <c r="L71" s="68"/>
      <c r="M71" s="70">
        <v>0.5</v>
      </c>
      <c r="N71" s="70">
        <v>0.5</v>
      </c>
      <c r="O71" s="72">
        <v>0</v>
      </c>
      <c r="P71" s="73"/>
      <c r="Q71" s="81" t="str">
        <f t="shared" si="14"/>
        <v/>
      </c>
      <c r="R71" s="76"/>
      <c r="S71" s="77" t="str">
        <f t="shared" si="15"/>
        <v/>
      </c>
      <c r="T71" s="78"/>
      <c r="U71" s="79" t="str">
        <f t="shared" si="17"/>
        <v/>
      </c>
      <c r="V71" s="80"/>
    </row>
    <row r="72" spans="1:22" s="390" customFormat="1">
      <c r="A72" s="6"/>
      <c r="B72" s="67"/>
      <c r="C72" s="504"/>
      <c r="D72" s="68"/>
      <c r="E72" s="82"/>
      <c r="F72" s="82"/>
      <c r="G72" s="68"/>
      <c r="H72" s="69"/>
      <c r="I72" s="68"/>
      <c r="J72" s="82" t="s">
        <v>60</v>
      </c>
      <c r="K72" s="68"/>
      <c r="L72" s="82"/>
      <c r="M72" s="70">
        <v>0.5</v>
      </c>
      <c r="N72" s="70">
        <v>0.5</v>
      </c>
      <c r="O72" s="72">
        <v>0</v>
      </c>
      <c r="P72" s="73"/>
      <c r="Q72" s="81" t="str">
        <f t="shared" si="14"/>
        <v/>
      </c>
      <c r="R72" s="76"/>
      <c r="S72" s="77" t="str">
        <f t="shared" si="15"/>
        <v/>
      </c>
      <c r="T72" s="78"/>
      <c r="U72" s="79" t="str">
        <f t="shared" si="17"/>
        <v/>
      </c>
      <c r="V72" s="80"/>
    </row>
    <row r="73" spans="1:22" s="390" customFormat="1">
      <c r="A73" s="6"/>
      <c r="B73" s="67"/>
      <c r="C73" s="504"/>
      <c r="D73" s="68"/>
      <c r="E73" s="82"/>
      <c r="F73" s="82"/>
      <c r="G73" s="68"/>
      <c r="H73" s="69"/>
      <c r="I73" s="68"/>
      <c r="J73" s="82" t="s">
        <v>60</v>
      </c>
      <c r="K73" s="68"/>
      <c r="L73" s="68"/>
      <c r="M73" s="70">
        <v>0.5</v>
      </c>
      <c r="N73" s="70">
        <v>0.5</v>
      </c>
      <c r="O73" s="72">
        <v>0</v>
      </c>
      <c r="P73" s="73"/>
      <c r="Q73" s="81" t="str">
        <f t="shared" si="14"/>
        <v/>
      </c>
      <c r="R73" s="76"/>
      <c r="S73" s="77" t="str">
        <f t="shared" si="15"/>
        <v/>
      </c>
      <c r="T73" s="78"/>
      <c r="U73" s="79" t="str">
        <f t="shared" si="17"/>
        <v/>
      </c>
      <c r="V73" s="80"/>
    </row>
    <row r="74" spans="1:22" s="390" customFormat="1">
      <c r="A74" s="6"/>
      <c r="B74" s="503"/>
      <c r="C74" s="504"/>
      <c r="D74" s="505"/>
      <c r="E74" s="82"/>
      <c r="F74" s="82"/>
      <c r="G74" s="68"/>
      <c r="H74" s="69"/>
      <c r="I74" s="68"/>
      <c r="J74" s="82" t="s">
        <v>60</v>
      </c>
      <c r="K74" s="68"/>
      <c r="L74" s="68"/>
      <c r="M74" s="70">
        <v>0.5</v>
      </c>
      <c r="N74" s="70">
        <v>0.5</v>
      </c>
      <c r="O74" s="72">
        <v>0</v>
      </c>
      <c r="P74" s="73"/>
      <c r="Q74" s="81" t="str">
        <f t="shared" si="14"/>
        <v/>
      </c>
      <c r="R74" s="76"/>
      <c r="S74" s="77" t="str">
        <f t="shared" si="15"/>
        <v/>
      </c>
      <c r="T74" s="78"/>
      <c r="U74" s="79" t="str">
        <f t="shared" si="17"/>
        <v/>
      </c>
      <c r="V74" s="80"/>
    </row>
    <row r="75" spans="1:22" s="390" customFormat="1">
      <c r="A75" s="6"/>
      <c r="B75" s="503"/>
      <c r="C75" s="504"/>
      <c r="D75" s="505"/>
      <c r="E75" s="82"/>
      <c r="F75" s="82"/>
      <c r="G75" s="68"/>
      <c r="H75" s="69"/>
      <c r="I75" s="68"/>
      <c r="J75" s="82" t="s">
        <v>60</v>
      </c>
      <c r="K75" s="68"/>
      <c r="L75" s="68"/>
      <c r="M75" s="70">
        <v>0.5</v>
      </c>
      <c r="N75" s="70">
        <v>0.5</v>
      </c>
      <c r="O75" s="72">
        <v>0</v>
      </c>
      <c r="P75" s="73"/>
      <c r="Q75" s="81" t="str">
        <f t="shared" si="14"/>
        <v/>
      </c>
      <c r="R75" s="76"/>
      <c r="S75" s="77" t="str">
        <f t="shared" si="15"/>
        <v/>
      </c>
      <c r="T75" s="78"/>
      <c r="U75" s="79" t="str">
        <f t="shared" si="17"/>
        <v/>
      </c>
      <c r="V75" s="80"/>
    </row>
    <row r="76" spans="1:22" s="390" customFormat="1">
      <c r="A76" s="6"/>
      <c r="B76" s="503"/>
      <c r="C76" s="504"/>
      <c r="D76" s="505"/>
      <c r="E76" s="82"/>
      <c r="F76" s="82"/>
      <c r="G76" s="68"/>
      <c r="H76" s="69"/>
      <c r="I76" s="68"/>
      <c r="J76" s="82" t="s">
        <v>60</v>
      </c>
      <c r="K76" s="68"/>
      <c r="L76" s="68"/>
      <c r="M76" s="70">
        <v>0.5</v>
      </c>
      <c r="N76" s="70">
        <v>0.5</v>
      </c>
      <c r="O76" s="72">
        <v>0</v>
      </c>
      <c r="P76" s="73"/>
      <c r="Q76" s="81" t="str">
        <f t="shared" si="14"/>
        <v/>
      </c>
      <c r="R76" s="76"/>
      <c r="S76" s="77" t="str">
        <f t="shared" si="15"/>
        <v/>
      </c>
      <c r="T76" s="78"/>
      <c r="U76" s="79" t="str">
        <f t="shared" si="17"/>
        <v/>
      </c>
      <c r="V76" s="80"/>
    </row>
    <row r="77" spans="1:22" s="390" customFormat="1">
      <c r="A77" s="6"/>
      <c r="B77" s="503"/>
      <c r="C77" s="504"/>
      <c r="D77" s="505"/>
      <c r="E77" s="82"/>
      <c r="F77" s="82"/>
      <c r="G77" s="68"/>
      <c r="H77" s="69"/>
      <c r="I77" s="68"/>
      <c r="J77" s="82" t="s">
        <v>60</v>
      </c>
      <c r="K77" s="68"/>
      <c r="L77" s="68"/>
      <c r="M77" s="70">
        <v>0.5</v>
      </c>
      <c r="N77" s="70">
        <v>0.5</v>
      </c>
      <c r="O77" s="72">
        <v>0</v>
      </c>
      <c r="P77" s="73"/>
      <c r="Q77" s="81" t="str">
        <f t="shared" si="14"/>
        <v/>
      </c>
      <c r="R77" s="76"/>
      <c r="S77" s="77" t="str">
        <f t="shared" si="15"/>
        <v/>
      </c>
      <c r="T77" s="78"/>
      <c r="U77" s="79" t="str">
        <f t="shared" si="17"/>
        <v/>
      </c>
      <c r="V77" s="80"/>
    </row>
    <row r="78" spans="1:22" s="390" customFormat="1">
      <c r="A78" s="6"/>
      <c r="B78" s="67"/>
      <c r="C78" s="68"/>
      <c r="D78" s="68"/>
      <c r="E78" s="82"/>
      <c r="F78" s="69"/>
      <c r="G78" s="68"/>
      <c r="H78" s="69"/>
      <c r="I78" s="68"/>
      <c r="J78" s="82"/>
      <c r="K78" s="68"/>
      <c r="L78" s="68"/>
      <c r="M78" s="70"/>
      <c r="N78" s="71"/>
      <c r="O78" s="72"/>
      <c r="P78" s="73"/>
      <c r="Q78" s="81" t="str">
        <f t="shared" si="14"/>
        <v/>
      </c>
      <c r="R78" s="76"/>
      <c r="S78" s="77" t="str">
        <f t="shared" si="15"/>
        <v/>
      </c>
      <c r="T78" s="78"/>
      <c r="U78" s="79" t="str">
        <f t="shared" si="17"/>
        <v/>
      </c>
      <c r="V78" s="80"/>
    </row>
    <row r="79" spans="1:22" s="390" customFormat="1">
      <c r="A79" s="6"/>
      <c r="B79" s="67"/>
      <c r="C79" s="68"/>
      <c r="D79" s="68"/>
      <c r="E79" s="82"/>
      <c r="F79" s="69"/>
      <c r="G79" s="68"/>
      <c r="H79" s="69"/>
      <c r="I79" s="68"/>
      <c r="J79" s="82"/>
      <c r="K79" s="68"/>
      <c r="L79" s="68"/>
      <c r="M79" s="70"/>
      <c r="N79" s="71"/>
      <c r="O79" s="72"/>
      <c r="P79" s="73"/>
      <c r="Q79" s="81" t="str">
        <f t="shared" si="14"/>
        <v/>
      </c>
      <c r="R79" s="76"/>
      <c r="S79" s="77" t="str">
        <f t="shared" si="15"/>
        <v/>
      </c>
      <c r="T79" s="78"/>
      <c r="U79" s="79" t="str">
        <f t="shared" si="17"/>
        <v/>
      </c>
      <c r="V79" s="80"/>
    </row>
    <row r="80" spans="1:22" s="390" customFormat="1">
      <c r="A80" s="6"/>
      <c r="B80" s="67"/>
      <c r="C80" s="68"/>
      <c r="D80" s="68"/>
      <c r="E80" s="82"/>
      <c r="F80" s="69"/>
      <c r="G80" s="68"/>
      <c r="H80" s="69"/>
      <c r="I80" s="68"/>
      <c r="J80" s="82"/>
      <c r="K80" s="68"/>
      <c r="L80" s="68"/>
      <c r="M80" s="70"/>
      <c r="N80" s="71"/>
      <c r="O80" s="72"/>
      <c r="P80" s="73"/>
      <c r="Q80" s="81" t="str">
        <f t="shared" si="14"/>
        <v/>
      </c>
      <c r="R80" s="76"/>
      <c r="S80" s="77" t="str">
        <f t="shared" si="15"/>
        <v/>
      </c>
      <c r="T80" s="78"/>
      <c r="U80" s="79" t="str">
        <f t="shared" si="17"/>
        <v/>
      </c>
      <c r="V80" s="80"/>
    </row>
    <row r="81" spans="1:22" s="390" customFormat="1">
      <c r="A81" s="6"/>
      <c r="B81" s="67"/>
      <c r="C81" s="68"/>
      <c r="D81" s="68"/>
      <c r="E81" s="82"/>
      <c r="F81" s="69"/>
      <c r="G81" s="68"/>
      <c r="H81" s="69"/>
      <c r="I81" s="68"/>
      <c r="J81" s="82"/>
      <c r="K81" s="68"/>
      <c r="L81" s="68"/>
      <c r="M81" s="70"/>
      <c r="N81" s="71"/>
      <c r="O81" s="72"/>
      <c r="P81" s="73"/>
      <c r="Q81" s="81" t="str">
        <f t="shared" si="14"/>
        <v/>
      </c>
      <c r="R81" s="76"/>
      <c r="S81" s="77" t="str">
        <f t="shared" si="15"/>
        <v/>
      </c>
      <c r="T81" s="78"/>
      <c r="U81" s="79" t="str">
        <f t="shared" si="17"/>
        <v/>
      </c>
      <c r="V81" s="80"/>
    </row>
    <row r="82" spans="1:22" s="390" customFormat="1">
      <c r="A82" s="6"/>
      <c r="B82" s="67"/>
      <c r="C82" s="68"/>
      <c r="D82" s="68"/>
      <c r="E82" s="82"/>
      <c r="F82" s="69"/>
      <c r="G82" s="68"/>
      <c r="H82" s="69"/>
      <c r="I82" s="68"/>
      <c r="J82" s="82"/>
      <c r="K82" s="68"/>
      <c r="L82" s="68"/>
      <c r="M82" s="70"/>
      <c r="N82" s="71"/>
      <c r="O82" s="72"/>
      <c r="P82" s="73"/>
      <c r="Q82" s="81" t="str">
        <f t="shared" si="14"/>
        <v/>
      </c>
      <c r="R82" s="76"/>
      <c r="S82" s="77" t="str">
        <f t="shared" si="15"/>
        <v/>
      </c>
      <c r="T82" s="78"/>
      <c r="U82" s="79" t="str">
        <f t="shared" si="17"/>
        <v/>
      </c>
      <c r="V82" s="80"/>
    </row>
    <row r="83" spans="1:22" s="390" customFormat="1">
      <c r="A83" s="6"/>
      <c r="B83" s="67"/>
      <c r="C83" s="68"/>
      <c r="D83" s="68"/>
      <c r="E83" s="82"/>
      <c r="F83" s="69"/>
      <c r="G83" s="68"/>
      <c r="H83" s="69"/>
      <c r="I83" s="68"/>
      <c r="J83" s="82"/>
      <c r="K83" s="68"/>
      <c r="L83" s="68"/>
      <c r="M83" s="70"/>
      <c r="N83" s="71"/>
      <c r="O83" s="72"/>
      <c r="P83" s="73"/>
      <c r="Q83" s="81" t="str">
        <f t="shared" si="14"/>
        <v/>
      </c>
      <c r="R83" s="76"/>
      <c r="S83" s="77" t="str">
        <f t="shared" si="15"/>
        <v/>
      </c>
      <c r="T83" s="78"/>
      <c r="U83" s="79" t="str">
        <f t="shared" si="17"/>
        <v/>
      </c>
      <c r="V83" s="80"/>
    </row>
    <row r="84" spans="1:22" s="390" customFormat="1">
      <c r="A84" s="6"/>
      <c r="B84" s="67"/>
      <c r="C84" s="68"/>
      <c r="D84" s="68"/>
      <c r="E84" s="82"/>
      <c r="F84" s="69"/>
      <c r="G84" s="68"/>
      <c r="H84" s="69"/>
      <c r="I84" s="68"/>
      <c r="J84" s="82"/>
      <c r="K84" s="68"/>
      <c r="L84" s="68"/>
      <c r="M84" s="70"/>
      <c r="N84" s="71"/>
      <c r="O84" s="72"/>
      <c r="P84" s="73"/>
      <c r="Q84" s="81" t="str">
        <f t="shared" si="14"/>
        <v/>
      </c>
      <c r="R84" s="76"/>
      <c r="S84" s="77" t="str">
        <f t="shared" si="15"/>
        <v/>
      </c>
      <c r="T84" s="78"/>
      <c r="U84" s="79" t="str">
        <f t="shared" si="17"/>
        <v/>
      </c>
      <c r="V84" s="80"/>
    </row>
    <row r="85" spans="1:22" s="390" customFormat="1">
      <c r="A85" s="6"/>
      <c r="B85" s="67"/>
      <c r="C85" s="68"/>
      <c r="D85" s="68"/>
      <c r="E85" s="82"/>
      <c r="F85" s="69"/>
      <c r="G85" s="68"/>
      <c r="H85" s="69"/>
      <c r="I85" s="68"/>
      <c r="J85" s="82"/>
      <c r="K85" s="68"/>
      <c r="L85" s="68"/>
      <c r="M85" s="70"/>
      <c r="N85" s="71"/>
      <c r="O85" s="72"/>
      <c r="P85" s="73"/>
      <c r="Q85" s="81" t="str">
        <f t="shared" si="14"/>
        <v/>
      </c>
      <c r="R85" s="76"/>
      <c r="S85" s="77" t="str">
        <f t="shared" si="15"/>
        <v/>
      </c>
      <c r="T85" s="78"/>
      <c r="U85" s="79" t="str">
        <f t="shared" si="17"/>
        <v/>
      </c>
      <c r="V85" s="80"/>
    </row>
    <row r="86" spans="1:22" s="390" customFormat="1">
      <c r="A86" s="6"/>
      <c r="B86" s="67"/>
      <c r="C86" s="68"/>
      <c r="D86" s="68"/>
      <c r="E86" s="82"/>
      <c r="F86" s="69"/>
      <c r="G86" s="68"/>
      <c r="H86" s="69"/>
      <c r="I86" s="68"/>
      <c r="J86" s="82"/>
      <c r="K86" s="68"/>
      <c r="L86" s="68"/>
      <c r="M86" s="70"/>
      <c r="N86" s="71"/>
      <c r="O86" s="72"/>
      <c r="P86" s="73"/>
      <c r="Q86" s="81" t="str">
        <f t="shared" si="14"/>
        <v/>
      </c>
      <c r="R86" s="76"/>
      <c r="S86" s="77" t="str">
        <f t="shared" si="15"/>
        <v/>
      </c>
      <c r="T86" s="78"/>
      <c r="U86" s="79" t="str">
        <f t="shared" si="17"/>
        <v/>
      </c>
      <c r="V86" s="80"/>
    </row>
    <row r="87" spans="1:22" s="390" customFormat="1">
      <c r="A87" s="6"/>
      <c r="B87" s="67"/>
      <c r="C87" s="68"/>
      <c r="D87" s="68"/>
      <c r="E87" s="82"/>
      <c r="F87" s="69"/>
      <c r="G87" s="68"/>
      <c r="H87" s="69"/>
      <c r="I87" s="68"/>
      <c r="J87" s="82"/>
      <c r="K87" s="68"/>
      <c r="L87" s="68"/>
      <c r="M87" s="70"/>
      <c r="N87" s="71"/>
      <c r="O87" s="72"/>
      <c r="P87" s="73"/>
      <c r="Q87" s="81" t="str">
        <f t="shared" si="14"/>
        <v/>
      </c>
      <c r="R87" s="76"/>
      <c r="S87" s="77" t="str">
        <f t="shared" si="15"/>
        <v/>
      </c>
      <c r="T87" s="78"/>
      <c r="U87" s="79" t="str">
        <f t="shared" si="17"/>
        <v/>
      </c>
      <c r="V87" s="80"/>
    </row>
    <row r="88" spans="1:22" s="390" customFormat="1">
      <c r="A88" s="6"/>
      <c r="B88" s="67"/>
      <c r="C88" s="68"/>
      <c r="D88" s="68"/>
      <c r="E88" s="82"/>
      <c r="F88" s="69"/>
      <c r="G88" s="68"/>
      <c r="H88" s="69"/>
      <c r="I88" s="68"/>
      <c r="J88" s="82"/>
      <c r="K88" s="68"/>
      <c r="L88" s="68"/>
      <c r="M88" s="70"/>
      <c r="N88" s="71"/>
      <c r="O88" s="72"/>
      <c r="P88" s="73"/>
      <c r="Q88" s="81" t="str">
        <f t="shared" si="14"/>
        <v/>
      </c>
      <c r="R88" s="76"/>
      <c r="S88" s="77" t="str">
        <f t="shared" si="15"/>
        <v/>
      </c>
      <c r="T88" s="78"/>
      <c r="U88" s="79" t="str">
        <f t="shared" si="17"/>
        <v/>
      </c>
      <c r="V88" s="80"/>
    </row>
    <row r="89" spans="1:22" s="390" customFormat="1">
      <c r="A89" s="6"/>
      <c r="B89" s="67"/>
      <c r="C89" s="68"/>
      <c r="D89" s="68"/>
      <c r="E89" s="82"/>
      <c r="F89" s="69"/>
      <c r="G89" s="68"/>
      <c r="H89" s="69"/>
      <c r="I89" s="68"/>
      <c r="J89" s="82"/>
      <c r="K89" s="68"/>
      <c r="L89" s="68"/>
      <c r="M89" s="70"/>
      <c r="N89" s="71"/>
      <c r="O89" s="72"/>
      <c r="P89" s="73"/>
      <c r="Q89" s="81" t="str">
        <f t="shared" si="14"/>
        <v/>
      </c>
      <c r="R89" s="76"/>
      <c r="S89" s="77" t="str">
        <f t="shared" si="15"/>
        <v/>
      </c>
      <c r="T89" s="78"/>
      <c r="U89" s="79" t="str">
        <f t="shared" si="17"/>
        <v/>
      </c>
      <c r="V89" s="80"/>
    </row>
    <row r="90" spans="1:22" s="390" customFormat="1">
      <c r="A90" s="6"/>
      <c r="B90" s="67"/>
      <c r="C90" s="68"/>
      <c r="D90" s="68"/>
      <c r="E90" s="82"/>
      <c r="F90" s="69"/>
      <c r="G90" s="68"/>
      <c r="H90" s="69"/>
      <c r="I90" s="68"/>
      <c r="J90" s="82"/>
      <c r="K90" s="68"/>
      <c r="L90" s="68"/>
      <c r="M90" s="70"/>
      <c r="N90" s="71"/>
      <c r="O90" s="72"/>
      <c r="P90" s="73"/>
      <c r="Q90" s="81" t="str">
        <f t="shared" si="14"/>
        <v/>
      </c>
      <c r="R90" s="76"/>
      <c r="S90" s="77" t="str">
        <f t="shared" si="15"/>
        <v/>
      </c>
      <c r="T90" s="78"/>
      <c r="U90" s="79" t="str">
        <f t="shared" si="17"/>
        <v/>
      </c>
      <c r="V90" s="80"/>
    </row>
    <row r="91" spans="1:22" s="390" customFormat="1">
      <c r="A91" s="6"/>
      <c r="B91" s="67"/>
      <c r="C91" s="68"/>
      <c r="D91" s="68"/>
      <c r="E91" s="82"/>
      <c r="F91" s="69"/>
      <c r="G91" s="68"/>
      <c r="H91" s="69"/>
      <c r="I91" s="68"/>
      <c r="J91" s="82"/>
      <c r="K91" s="68"/>
      <c r="L91" s="68"/>
      <c r="M91" s="70"/>
      <c r="N91" s="71"/>
      <c r="O91" s="72"/>
      <c r="P91" s="73"/>
      <c r="Q91" s="81" t="str">
        <f t="shared" si="14"/>
        <v/>
      </c>
      <c r="R91" s="76"/>
      <c r="S91" s="77" t="str">
        <f t="shared" si="15"/>
        <v/>
      </c>
      <c r="T91" s="78"/>
      <c r="U91" s="79" t="str">
        <f t="shared" si="17"/>
        <v/>
      </c>
      <c r="V91" s="80"/>
    </row>
    <row r="92" spans="1:22" s="390" customFormat="1">
      <c r="A92" s="6"/>
      <c r="B92" s="67"/>
      <c r="C92" s="68"/>
      <c r="D92" s="68"/>
      <c r="E92" s="82"/>
      <c r="F92" s="69"/>
      <c r="G92" s="68"/>
      <c r="H92" s="69"/>
      <c r="I92" s="68"/>
      <c r="J92" s="82"/>
      <c r="K92" s="68"/>
      <c r="L92" s="68"/>
      <c r="M92" s="70"/>
      <c r="N92" s="71"/>
      <c r="O92" s="72"/>
      <c r="P92" s="73"/>
      <c r="Q92" s="81" t="str">
        <f t="shared" si="14"/>
        <v/>
      </c>
      <c r="R92" s="76"/>
      <c r="S92" s="77" t="str">
        <f t="shared" si="15"/>
        <v/>
      </c>
      <c r="T92" s="78"/>
      <c r="U92" s="79" t="str">
        <f t="shared" si="17"/>
        <v/>
      </c>
      <c r="V92" s="80"/>
    </row>
    <row r="93" spans="1:22" s="390" customFormat="1">
      <c r="A93" s="6"/>
      <c r="B93" s="67"/>
      <c r="C93" s="68"/>
      <c r="D93" s="68"/>
      <c r="E93" s="82"/>
      <c r="F93" s="69"/>
      <c r="G93" s="68"/>
      <c r="H93" s="69"/>
      <c r="I93" s="68"/>
      <c r="J93" s="82"/>
      <c r="K93" s="68"/>
      <c r="L93" s="68"/>
      <c r="M93" s="70"/>
      <c r="N93" s="71"/>
      <c r="O93" s="72"/>
      <c r="P93" s="73"/>
      <c r="Q93" s="81" t="str">
        <f t="shared" si="14"/>
        <v/>
      </c>
      <c r="R93" s="76"/>
      <c r="S93" s="77" t="str">
        <f t="shared" si="15"/>
        <v/>
      </c>
      <c r="T93" s="78"/>
      <c r="U93" s="79" t="str">
        <f t="shared" si="17"/>
        <v/>
      </c>
      <c r="V93" s="80"/>
    </row>
    <row r="94" spans="1:22" s="390" customFormat="1">
      <c r="A94" s="6"/>
      <c r="B94" s="67"/>
      <c r="C94" s="68"/>
      <c r="D94" s="68"/>
      <c r="E94" s="82"/>
      <c r="F94" s="69"/>
      <c r="G94" s="68"/>
      <c r="H94" s="69"/>
      <c r="I94" s="68"/>
      <c r="J94" s="82"/>
      <c r="K94" s="68"/>
      <c r="L94" s="68"/>
      <c r="M94" s="70"/>
      <c r="N94" s="71"/>
      <c r="O94" s="72"/>
      <c r="P94" s="73"/>
      <c r="Q94" s="81" t="str">
        <f t="shared" si="14"/>
        <v/>
      </c>
      <c r="R94" s="76"/>
      <c r="S94" s="77" t="str">
        <f t="shared" si="15"/>
        <v/>
      </c>
      <c r="T94" s="78"/>
      <c r="U94" s="79" t="str">
        <f t="shared" si="17"/>
        <v/>
      </c>
      <c r="V94" s="80"/>
    </row>
    <row r="95" spans="1:22" s="390" customFormat="1">
      <c r="A95" s="6"/>
      <c r="B95" s="67"/>
      <c r="C95" s="68"/>
      <c r="D95" s="68"/>
      <c r="E95" s="82"/>
      <c r="F95" s="69"/>
      <c r="G95" s="68"/>
      <c r="H95" s="69"/>
      <c r="I95" s="68"/>
      <c r="J95" s="82"/>
      <c r="K95" s="68"/>
      <c r="L95" s="68"/>
      <c r="M95" s="70"/>
      <c r="N95" s="71"/>
      <c r="O95" s="72"/>
      <c r="P95" s="73"/>
      <c r="Q95" s="81" t="str">
        <f t="shared" si="14"/>
        <v/>
      </c>
      <c r="R95" s="76"/>
      <c r="S95" s="77" t="str">
        <f t="shared" si="15"/>
        <v/>
      </c>
      <c r="T95" s="78"/>
      <c r="U95" s="79" t="str">
        <f t="shared" si="17"/>
        <v/>
      </c>
      <c r="V95" s="80"/>
    </row>
    <row r="96" spans="1:22" s="390" customFormat="1">
      <c r="A96" s="6"/>
      <c r="B96" s="67"/>
      <c r="C96" s="68"/>
      <c r="D96" s="68"/>
      <c r="E96" s="82"/>
      <c r="F96" s="69"/>
      <c r="G96" s="68"/>
      <c r="H96" s="69"/>
      <c r="I96" s="68"/>
      <c r="J96" s="82"/>
      <c r="K96" s="68"/>
      <c r="L96" s="68"/>
      <c r="M96" s="70"/>
      <c r="N96" s="71"/>
      <c r="O96" s="72"/>
      <c r="P96" s="73"/>
      <c r="Q96" s="81" t="str">
        <f t="shared" si="14"/>
        <v/>
      </c>
      <c r="R96" s="76"/>
      <c r="S96" s="77" t="str">
        <f t="shared" si="15"/>
        <v/>
      </c>
      <c r="T96" s="78"/>
      <c r="U96" s="79" t="str">
        <f t="shared" si="17"/>
        <v/>
      </c>
      <c r="V96" s="80"/>
    </row>
    <row r="97" spans="1:23" s="390" customFormat="1">
      <c r="A97" s="6"/>
      <c r="B97" s="67"/>
      <c r="C97" s="68"/>
      <c r="D97" s="68"/>
      <c r="E97" s="82"/>
      <c r="F97" s="69"/>
      <c r="G97" s="68"/>
      <c r="H97" s="69"/>
      <c r="I97" s="68"/>
      <c r="J97" s="82"/>
      <c r="K97" s="68"/>
      <c r="L97" s="68"/>
      <c r="M97" s="70"/>
      <c r="N97" s="71"/>
      <c r="O97" s="72"/>
      <c r="P97" s="73"/>
      <c r="Q97" s="81" t="str">
        <f t="shared" si="14"/>
        <v/>
      </c>
      <c r="R97" s="76"/>
      <c r="S97" s="77" t="str">
        <f t="shared" si="15"/>
        <v/>
      </c>
      <c r="T97" s="78"/>
      <c r="U97" s="79" t="str">
        <f t="shared" si="17"/>
        <v/>
      </c>
      <c r="V97" s="80"/>
    </row>
    <row r="98" spans="1:23" s="390" customFormat="1">
      <c r="A98" s="6"/>
      <c r="B98" s="67"/>
      <c r="C98" s="68"/>
      <c r="D98" s="68"/>
      <c r="E98" s="82"/>
      <c r="F98" s="69"/>
      <c r="G98" s="68"/>
      <c r="H98" s="69"/>
      <c r="I98" s="68"/>
      <c r="J98" s="82"/>
      <c r="K98" s="68"/>
      <c r="L98" s="68"/>
      <c r="M98" s="70"/>
      <c r="N98" s="71"/>
      <c r="O98" s="72"/>
      <c r="P98" s="73"/>
      <c r="Q98" s="81" t="str">
        <f t="shared" si="14"/>
        <v/>
      </c>
      <c r="R98" s="76"/>
      <c r="S98" s="77" t="str">
        <f t="shared" si="15"/>
        <v/>
      </c>
      <c r="T98" s="78"/>
      <c r="U98" s="79" t="str">
        <f t="shared" si="17"/>
        <v/>
      </c>
      <c r="V98" s="80"/>
    </row>
    <row r="99" spans="1:23" s="390" customFormat="1">
      <c r="A99" s="6"/>
      <c r="B99" s="67"/>
      <c r="C99" s="68"/>
      <c r="D99" s="68"/>
      <c r="E99" s="82"/>
      <c r="F99" s="69"/>
      <c r="G99" s="68"/>
      <c r="H99" s="69"/>
      <c r="I99" s="68"/>
      <c r="J99" s="82"/>
      <c r="K99" s="68"/>
      <c r="L99" s="68"/>
      <c r="M99" s="70"/>
      <c r="N99" s="71"/>
      <c r="O99" s="72"/>
      <c r="P99" s="73"/>
      <c r="Q99" s="81" t="str">
        <f t="shared" ref="Q99:Q111" si="24">IF(AND($J99="In",ISNUMBER($M99)),$O99*$M99,"")</f>
        <v/>
      </c>
      <c r="R99" s="76"/>
      <c r="S99" s="77" t="str">
        <f t="shared" ref="S99:S111" si="25">IF(AND($J99="In",ISNUMBER($N99)),$O99*$N99,"")</f>
        <v/>
      </c>
      <c r="T99" s="78"/>
      <c r="U99" s="79" t="str">
        <f t="shared" si="17"/>
        <v/>
      </c>
      <c r="V99" s="80"/>
    </row>
    <row r="100" spans="1:23" s="390" customFormat="1">
      <c r="A100" s="6"/>
      <c r="B100" s="67"/>
      <c r="C100" s="68"/>
      <c r="D100" s="68"/>
      <c r="E100" s="82"/>
      <c r="F100" s="69"/>
      <c r="G100" s="68"/>
      <c r="H100" s="69"/>
      <c r="I100" s="68"/>
      <c r="J100" s="82"/>
      <c r="K100" s="68"/>
      <c r="L100" s="68"/>
      <c r="M100" s="70"/>
      <c r="N100" s="71"/>
      <c r="O100" s="72"/>
      <c r="P100" s="73"/>
      <c r="Q100" s="81" t="str">
        <f t="shared" si="24"/>
        <v/>
      </c>
      <c r="R100" s="76"/>
      <c r="S100" s="77" t="str">
        <f t="shared" si="25"/>
        <v/>
      </c>
      <c r="T100" s="78"/>
      <c r="U100" s="79" t="str">
        <f t="shared" ref="U100:U111" si="26">IF(AND(ISNUMBER(Q100),ISNUMBER(S100)),ROUND((Q100+S100)/2, 1),"")</f>
        <v/>
      </c>
      <c r="V100" s="80"/>
    </row>
    <row r="101" spans="1:23" s="390" customFormat="1">
      <c r="A101" s="6"/>
      <c r="B101" s="67"/>
      <c r="C101" s="68"/>
      <c r="D101" s="68"/>
      <c r="E101" s="82"/>
      <c r="F101" s="69"/>
      <c r="G101" s="68"/>
      <c r="H101" s="69"/>
      <c r="I101" s="68"/>
      <c r="J101" s="82"/>
      <c r="K101" s="68"/>
      <c r="L101" s="68"/>
      <c r="M101" s="70"/>
      <c r="N101" s="71"/>
      <c r="O101" s="72"/>
      <c r="P101" s="73"/>
      <c r="Q101" s="81" t="str">
        <f t="shared" si="24"/>
        <v/>
      </c>
      <c r="R101" s="76"/>
      <c r="S101" s="77" t="str">
        <f t="shared" si="25"/>
        <v/>
      </c>
      <c r="T101" s="78"/>
      <c r="U101" s="79" t="str">
        <f t="shared" si="26"/>
        <v/>
      </c>
      <c r="V101" s="80"/>
    </row>
    <row r="102" spans="1:23" s="390" customFormat="1">
      <c r="A102" s="6"/>
      <c r="B102" s="67"/>
      <c r="C102" s="68"/>
      <c r="D102" s="68"/>
      <c r="E102" s="82"/>
      <c r="F102" s="69"/>
      <c r="G102" s="68"/>
      <c r="H102" s="69"/>
      <c r="I102" s="68"/>
      <c r="J102" s="82"/>
      <c r="K102" s="68"/>
      <c r="L102" s="68"/>
      <c r="M102" s="70"/>
      <c r="N102" s="71"/>
      <c r="O102" s="72"/>
      <c r="P102" s="73"/>
      <c r="Q102" s="81" t="str">
        <f t="shared" si="24"/>
        <v/>
      </c>
      <c r="R102" s="76"/>
      <c r="S102" s="77" t="str">
        <f t="shared" si="25"/>
        <v/>
      </c>
      <c r="T102" s="78"/>
      <c r="U102" s="79" t="str">
        <f t="shared" si="26"/>
        <v/>
      </c>
      <c r="V102" s="80"/>
    </row>
    <row r="103" spans="1:23" s="390" customFormat="1">
      <c r="A103" s="6"/>
      <c r="B103" s="67"/>
      <c r="C103" s="68"/>
      <c r="D103" s="68"/>
      <c r="E103" s="82"/>
      <c r="F103" s="69"/>
      <c r="G103" s="68"/>
      <c r="H103" s="69"/>
      <c r="I103" s="68"/>
      <c r="J103" s="82"/>
      <c r="K103" s="68"/>
      <c r="L103" s="68"/>
      <c r="M103" s="70"/>
      <c r="N103" s="71"/>
      <c r="O103" s="72"/>
      <c r="P103" s="73"/>
      <c r="Q103" s="81" t="str">
        <f t="shared" si="24"/>
        <v/>
      </c>
      <c r="R103" s="76"/>
      <c r="S103" s="77" t="str">
        <f t="shared" si="25"/>
        <v/>
      </c>
      <c r="T103" s="78"/>
      <c r="U103" s="79" t="str">
        <f t="shared" si="26"/>
        <v/>
      </c>
      <c r="V103" s="80"/>
    </row>
    <row r="104" spans="1:23" s="390" customFormat="1">
      <c r="A104" s="6"/>
      <c r="B104" s="67"/>
      <c r="C104" s="68"/>
      <c r="D104" s="68"/>
      <c r="E104" s="82"/>
      <c r="F104" s="69"/>
      <c r="G104" s="68"/>
      <c r="H104" s="69"/>
      <c r="I104" s="68"/>
      <c r="J104" s="82"/>
      <c r="K104" s="68"/>
      <c r="L104" s="68"/>
      <c r="M104" s="70"/>
      <c r="N104" s="71"/>
      <c r="O104" s="72"/>
      <c r="P104" s="73"/>
      <c r="Q104" s="81" t="str">
        <f t="shared" si="24"/>
        <v/>
      </c>
      <c r="R104" s="76"/>
      <c r="S104" s="77" t="str">
        <f t="shared" si="25"/>
        <v/>
      </c>
      <c r="T104" s="78"/>
      <c r="U104" s="79" t="str">
        <f t="shared" si="26"/>
        <v/>
      </c>
      <c r="V104" s="80"/>
    </row>
    <row r="105" spans="1:23" s="390" customFormat="1">
      <c r="A105" s="6"/>
      <c r="B105" s="67"/>
      <c r="C105" s="68"/>
      <c r="D105" s="68"/>
      <c r="E105" s="82"/>
      <c r="F105" s="69"/>
      <c r="G105" s="68"/>
      <c r="H105" s="69"/>
      <c r="I105" s="68"/>
      <c r="J105" s="82"/>
      <c r="K105" s="68"/>
      <c r="L105" s="68"/>
      <c r="M105" s="70"/>
      <c r="N105" s="71"/>
      <c r="O105" s="72"/>
      <c r="P105" s="73"/>
      <c r="Q105" s="81" t="str">
        <f t="shared" si="24"/>
        <v/>
      </c>
      <c r="R105" s="76"/>
      <c r="S105" s="77" t="str">
        <f t="shared" si="25"/>
        <v/>
      </c>
      <c r="T105" s="78"/>
      <c r="U105" s="79" t="str">
        <f t="shared" si="26"/>
        <v/>
      </c>
      <c r="V105" s="80"/>
    </row>
    <row r="106" spans="1:23" s="390" customFormat="1">
      <c r="A106" s="6"/>
      <c r="B106" s="67"/>
      <c r="C106" s="68"/>
      <c r="D106" s="68"/>
      <c r="E106" s="82"/>
      <c r="F106" s="69"/>
      <c r="G106" s="68"/>
      <c r="H106" s="69"/>
      <c r="I106" s="68"/>
      <c r="J106" s="82"/>
      <c r="K106" s="68"/>
      <c r="L106" s="68"/>
      <c r="M106" s="70"/>
      <c r="N106" s="71"/>
      <c r="O106" s="72"/>
      <c r="P106" s="73"/>
      <c r="Q106" s="81" t="str">
        <f t="shared" si="24"/>
        <v/>
      </c>
      <c r="R106" s="76"/>
      <c r="S106" s="77" t="str">
        <f t="shared" si="25"/>
        <v/>
      </c>
      <c r="T106" s="78"/>
      <c r="U106" s="79" t="str">
        <f t="shared" si="26"/>
        <v/>
      </c>
      <c r="V106" s="80"/>
    </row>
    <row r="107" spans="1:23" s="390" customFormat="1">
      <c r="A107" s="6"/>
      <c r="B107" s="67"/>
      <c r="C107" s="68"/>
      <c r="D107" s="68"/>
      <c r="E107" s="82"/>
      <c r="F107" s="69"/>
      <c r="G107" s="68"/>
      <c r="H107" s="69"/>
      <c r="I107" s="68"/>
      <c r="J107" s="82"/>
      <c r="K107" s="68"/>
      <c r="L107" s="68"/>
      <c r="M107" s="70"/>
      <c r="N107" s="71"/>
      <c r="O107" s="72"/>
      <c r="P107" s="73"/>
      <c r="Q107" s="81" t="str">
        <f t="shared" si="24"/>
        <v/>
      </c>
      <c r="R107" s="76"/>
      <c r="S107" s="77" t="str">
        <f t="shared" si="25"/>
        <v/>
      </c>
      <c r="T107" s="78"/>
      <c r="U107" s="79" t="str">
        <f t="shared" si="26"/>
        <v/>
      </c>
      <c r="V107" s="80"/>
    </row>
    <row r="108" spans="1:23" s="390" customFormat="1">
      <c r="A108" s="6"/>
      <c r="B108" s="67"/>
      <c r="C108" s="68"/>
      <c r="D108" s="68"/>
      <c r="E108" s="82"/>
      <c r="F108" s="69"/>
      <c r="G108" s="68"/>
      <c r="H108" s="69"/>
      <c r="I108" s="68"/>
      <c r="J108" s="82"/>
      <c r="K108" s="68"/>
      <c r="L108" s="68"/>
      <c r="M108" s="70"/>
      <c r="N108" s="71"/>
      <c r="O108" s="72"/>
      <c r="P108" s="73"/>
      <c r="Q108" s="81" t="str">
        <f t="shared" si="24"/>
        <v/>
      </c>
      <c r="R108" s="76"/>
      <c r="S108" s="77" t="str">
        <f t="shared" si="25"/>
        <v/>
      </c>
      <c r="T108" s="78"/>
      <c r="U108" s="79" t="str">
        <f t="shared" si="26"/>
        <v/>
      </c>
      <c r="V108" s="80"/>
    </row>
    <row r="109" spans="1:23" s="390" customFormat="1">
      <c r="A109" s="6"/>
      <c r="B109" s="67"/>
      <c r="C109" s="68"/>
      <c r="D109" s="68"/>
      <c r="E109" s="82"/>
      <c r="F109" s="69"/>
      <c r="G109" s="68"/>
      <c r="H109" s="69"/>
      <c r="I109" s="68"/>
      <c r="J109" s="82"/>
      <c r="K109" s="68"/>
      <c r="L109" s="68"/>
      <c r="M109" s="70"/>
      <c r="N109" s="71"/>
      <c r="O109" s="72"/>
      <c r="P109" s="73"/>
      <c r="Q109" s="81" t="str">
        <f t="shared" si="24"/>
        <v/>
      </c>
      <c r="R109" s="76"/>
      <c r="S109" s="77" t="str">
        <f t="shared" si="25"/>
        <v/>
      </c>
      <c r="T109" s="78"/>
      <c r="U109" s="79" t="str">
        <f t="shared" si="26"/>
        <v/>
      </c>
      <c r="V109" s="80"/>
    </row>
    <row r="110" spans="1:23" s="390" customFormat="1">
      <c r="A110" s="6"/>
      <c r="B110" s="67"/>
      <c r="C110" s="68"/>
      <c r="D110" s="68"/>
      <c r="E110" s="82"/>
      <c r="F110" s="69"/>
      <c r="G110" s="68"/>
      <c r="H110" s="69"/>
      <c r="I110" s="68"/>
      <c r="J110" s="82"/>
      <c r="K110" s="68"/>
      <c r="L110" s="68"/>
      <c r="M110" s="70"/>
      <c r="N110" s="71"/>
      <c r="O110" s="72"/>
      <c r="P110" s="73"/>
      <c r="Q110" s="81" t="str">
        <f t="shared" si="24"/>
        <v/>
      </c>
      <c r="R110" s="76"/>
      <c r="S110" s="77" t="str">
        <f t="shared" si="25"/>
        <v/>
      </c>
      <c r="T110" s="78"/>
      <c r="U110" s="79" t="str">
        <f t="shared" si="26"/>
        <v/>
      </c>
      <c r="V110" s="80"/>
    </row>
    <row r="111" spans="1:23">
      <c r="B111" s="68"/>
      <c r="C111" s="68"/>
      <c r="D111" s="68"/>
      <c r="E111" s="68"/>
      <c r="F111" s="69"/>
      <c r="G111" s="68"/>
      <c r="H111" s="69"/>
      <c r="I111" s="68"/>
      <c r="J111" s="68"/>
      <c r="K111" s="68"/>
      <c r="L111" s="68"/>
      <c r="M111" s="70"/>
      <c r="N111" s="71"/>
      <c r="O111" s="72"/>
      <c r="P111" s="39"/>
      <c r="Q111" s="81" t="str">
        <f t="shared" si="24"/>
        <v/>
      </c>
      <c r="R111" s="76"/>
      <c r="S111" s="77" t="str">
        <f t="shared" si="25"/>
        <v/>
      </c>
      <c r="T111" s="78"/>
      <c r="U111" s="79" t="str">
        <f t="shared" si="26"/>
        <v/>
      </c>
      <c r="V111" s="19"/>
    </row>
    <row r="112" spans="1:23">
      <c r="B112" s="5"/>
      <c r="C112" s="5"/>
      <c r="D112" s="5"/>
      <c r="E112" s="5"/>
      <c r="F112" s="5"/>
      <c r="G112" s="417"/>
      <c r="H112" s="5"/>
      <c r="I112" s="5"/>
      <c r="J112" s="5"/>
      <c r="K112" s="5"/>
      <c r="L112" s="5"/>
      <c r="M112" s="5"/>
      <c r="N112" s="5"/>
      <c r="O112" s="5"/>
      <c r="P112" s="5"/>
      <c r="Q112" s="5"/>
      <c r="R112" s="5"/>
      <c r="S112" s="5"/>
      <c r="T112" s="5"/>
      <c r="U112" s="5"/>
      <c r="V112" s="5"/>
      <c r="W112" t="s">
        <v>1927</v>
      </c>
    </row>
    <row r="113" spans="2:22">
      <c r="B113" s="5"/>
      <c r="C113" s="5"/>
      <c r="D113" s="5"/>
      <c r="E113" s="5"/>
      <c r="F113" s="5"/>
      <c r="G113" s="417"/>
      <c r="H113" s="5"/>
      <c r="I113" s="5"/>
      <c r="J113" s="5"/>
      <c r="K113" s="5"/>
      <c r="L113" s="5"/>
      <c r="M113" s="5"/>
      <c r="N113" s="5"/>
      <c r="O113" s="5"/>
      <c r="P113" s="5"/>
      <c r="Q113" s="5"/>
      <c r="R113" s="5"/>
      <c r="S113" s="5"/>
      <c r="T113" s="5"/>
      <c r="U113" s="5"/>
      <c r="V113" s="5"/>
    </row>
    <row r="114" spans="2:22">
      <c r="B114" s="5"/>
      <c r="C114" s="5"/>
      <c r="D114" s="5"/>
      <c r="E114" s="5"/>
      <c r="F114" s="5"/>
      <c r="G114" s="417"/>
      <c r="H114" s="5"/>
      <c r="I114" s="5"/>
      <c r="J114" s="5"/>
      <c r="K114" s="5"/>
      <c r="L114" s="5"/>
      <c r="M114" s="5"/>
      <c r="N114" s="5"/>
      <c r="O114" s="5"/>
      <c r="P114" s="5"/>
      <c r="Q114" s="5"/>
      <c r="R114" s="5"/>
      <c r="S114" s="5"/>
      <c r="T114" s="5"/>
      <c r="U114" s="5"/>
      <c r="V114" s="5"/>
    </row>
    <row r="115" spans="2:22">
      <c r="B115" s="5"/>
      <c r="C115" s="5"/>
      <c r="D115" s="5"/>
      <c r="E115" s="5"/>
      <c r="F115" s="5"/>
      <c r="G115" s="417"/>
      <c r="I115" s="5"/>
      <c r="J115" s="5"/>
      <c r="K115" s="5"/>
      <c r="L115" s="5"/>
      <c r="M115" s="5"/>
      <c r="N115" s="5"/>
      <c r="O115" s="5"/>
      <c r="P115" s="5"/>
      <c r="Q115" s="5"/>
      <c r="R115" s="5"/>
      <c r="S115" s="5"/>
      <c r="T115" s="5"/>
      <c r="U115" s="5"/>
      <c r="V115" s="5"/>
    </row>
    <row r="116" spans="2:22">
      <c r="B116" s="5"/>
      <c r="C116" s="5"/>
      <c r="D116" s="5"/>
      <c r="E116" s="5"/>
      <c r="F116" s="5"/>
      <c r="G116" s="417"/>
      <c r="H116" s="5"/>
      <c r="I116" s="5"/>
      <c r="J116" s="5"/>
      <c r="K116" s="5"/>
      <c r="L116" s="5"/>
      <c r="M116" s="5"/>
      <c r="N116" s="5"/>
      <c r="O116" s="5"/>
      <c r="P116" s="5"/>
      <c r="Q116" s="5"/>
      <c r="R116" s="5"/>
      <c r="S116" s="5"/>
      <c r="T116" s="5"/>
      <c r="U116" s="5"/>
      <c r="V116" s="5"/>
    </row>
    <row r="117" spans="2:22">
      <c r="B117" s="5"/>
      <c r="C117" s="5"/>
      <c r="D117" s="5"/>
      <c r="E117" s="5"/>
      <c r="F117" s="5"/>
      <c r="G117" s="417"/>
      <c r="H117" s="5"/>
      <c r="I117" s="5"/>
      <c r="J117" s="5"/>
      <c r="K117" s="5"/>
      <c r="L117" s="5"/>
      <c r="M117" s="5"/>
      <c r="N117" s="5"/>
      <c r="O117" s="5"/>
      <c r="P117" s="5"/>
      <c r="Q117" s="5"/>
      <c r="R117" s="5"/>
      <c r="S117" s="5"/>
      <c r="T117" s="5"/>
      <c r="U117" s="5"/>
      <c r="V117" s="5"/>
    </row>
    <row r="118" spans="2:22">
      <c r="H118" s="5"/>
      <c r="I118" s="5"/>
    </row>
    <row r="119" spans="2:22">
      <c r="I119" s="27"/>
    </row>
    <row r="120" spans="2:22">
      <c r="I120" s="27"/>
    </row>
    <row r="121" spans="2:22">
      <c r="I121" s="27"/>
    </row>
  </sheetData>
  <sortState ref="B7:V45">
    <sortCondition ref="G7"/>
  </sortState>
  <dataConsolidate/>
  <conditionalFormatting sqref="B7 B13:B15 B17:B19 B21:B28 B30:B31 B33:B34">
    <cfRule type="cellIs" dxfId="126" priority="145" operator="equal">
      <formula>" "</formula>
    </cfRule>
    <cfRule type="cellIs" dxfId="125" priority="146" operator="equal">
      <formula>"W"</formula>
    </cfRule>
    <cfRule type="cellIs" dxfId="124" priority="147" operator="equal">
      <formula>"E"</formula>
    </cfRule>
    <cfRule type="cellIs" dxfId="123" priority="148" operator="equal">
      <formula>"X"</formula>
    </cfRule>
  </conditionalFormatting>
  <conditionalFormatting sqref="B8:B9 B11:B12">
    <cfRule type="cellIs" dxfId="122" priority="81" operator="equal">
      <formula>" "</formula>
    </cfRule>
    <cfRule type="cellIs" dxfId="121" priority="82" operator="equal">
      <formula>"W"</formula>
    </cfRule>
    <cfRule type="cellIs" dxfId="120" priority="83" operator="equal">
      <formula>"E"</formula>
    </cfRule>
    <cfRule type="cellIs" dxfId="119" priority="84" operator="equal">
      <formula>"X"</formula>
    </cfRule>
  </conditionalFormatting>
  <conditionalFormatting sqref="B16">
    <cfRule type="cellIs" dxfId="118" priority="49" operator="equal">
      <formula>" "</formula>
    </cfRule>
    <cfRule type="cellIs" dxfId="117" priority="50" operator="equal">
      <formula>"W"</formula>
    </cfRule>
    <cfRule type="cellIs" dxfId="116" priority="51" operator="equal">
      <formula>"E"</formula>
    </cfRule>
    <cfRule type="cellIs" dxfId="115" priority="52" operator="equal">
      <formula>"X"</formula>
    </cfRule>
  </conditionalFormatting>
  <conditionalFormatting sqref="B20">
    <cfRule type="cellIs" dxfId="114" priority="45" operator="equal">
      <formula>" "</formula>
    </cfRule>
    <cfRule type="cellIs" dxfId="113" priority="46" operator="equal">
      <formula>"W"</formula>
    </cfRule>
    <cfRule type="cellIs" dxfId="112" priority="47" operator="equal">
      <formula>"E"</formula>
    </cfRule>
    <cfRule type="cellIs" dxfId="111" priority="48" operator="equal">
      <formula>"X"</formula>
    </cfRule>
  </conditionalFormatting>
  <conditionalFormatting sqref="B29">
    <cfRule type="cellIs" dxfId="110" priority="41" operator="equal">
      <formula>" "</formula>
    </cfRule>
    <cfRule type="cellIs" dxfId="109" priority="42" operator="equal">
      <formula>"W"</formula>
    </cfRule>
    <cfRule type="cellIs" dxfId="108" priority="43" operator="equal">
      <formula>"E"</formula>
    </cfRule>
    <cfRule type="cellIs" dxfId="107" priority="44" operator="equal">
      <formula>"X"</formula>
    </cfRule>
  </conditionalFormatting>
  <conditionalFormatting sqref="B32">
    <cfRule type="cellIs" dxfId="106" priority="37" operator="equal">
      <formula>" "</formula>
    </cfRule>
    <cfRule type="cellIs" dxfId="105" priority="38" operator="equal">
      <formula>"W"</formula>
    </cfRule>
    <cfRule type="cellIs" dxfId="104" priority="39" operator="equal">
      <formula>"E"</formula>
    </cfRule>
    <cfRule type="cellIs" dxfId="103" priority="40" operator="equal">
      <formula>"X"</formula>
    </cfRule>
  </conditionalFormatting>
  <conditionalFormatting sqref="B10">
    <cfRule type="cellIs" dxfId="102" priority="29" operator="equal">
      <formula>" "</formula>
    </cfRule>
    <cfRule type="cellIs" dxfId="101" priority="30" operator="equal">
      <formula>"W"</formula>
    </cfRule>
    <cfRule type="cellIs" dxfId="100" priority="31" operator="equal">
      <formula>"E"</formula>
    </cfRule>
    <cfRule type="cellIs" dxfId="99" priority="32" operator="equal">
      <formula>"X"</formula>
    </cfRule>
  </conditionalFormatting>
  <dataValidations count="8">
    <dataValidation type="list" allowBlank="1" showInputMessage="1" showErrorMessage="1" sqref="L96:L110 L66:L70 L72:L76 L78:L94 L53:L64 L7:L41 L44:L51">
      <formula1>list_story_types</formula1>
    </dataValidation>
    <dataValidation type="custom" allowBlank="1" showInputMessage="1" showErrorMessage="1" errorTitle="Invalid Multiplier" error="You must enter a numeric value to define a valid multiplier." sqref="O93 O100 O104:O105 O34 O88 O7:O12">
      <formula1>ISNUMBER(O7)</formula1>
    </dataValidation>
    <dataValidation type="decimal" allowBlank="1" showInputMessage="1" showErrorMessage="1" errorTitle="Incorrect Value for ABP/HP" error="The entered value does not meet the criteria for 'ABP' or 'HP' values._x000a__x000a_Only decimal values ​​between 0.25 and 100 in increments of 0.25 are supported." sqref="M37:N37 M39:N41 M53:N110 M7:N34 M45:N51 Q7:Q111 S7:S111">
      <formula1>0.25</formula1>
      <formula2>100</formula2>
    </dataValidation>
    <dataValidation type="list" allowBlank="1" showInputMessage="1" showErrorMessage="1" sqref="I31 J7:J41 J44:J110">
      <formula1>list_scope_count</formula1>
    </dataValidation>
    <dataValidation type="list" allowBlank="1" showInputMessage="1" showErrorMessage="1" sqref="F91:F110 F7:F89">
      <formula1>list_project_tracks</formula1>
    </dataValidation>
    <dataValidation type="list" allowBlank="1" showInputMessage="1" showErrorMessage="1" sqref="H16:H17 H19 H29:H30">
      <formula1>scope_count_list</formula1>
    </dataValidation>
    <dataValidation type="list" allowBlank="1" showInputMessage="1" showErrorMessage="1" sqref="K7:K41 K44:K110">
      <formula1>list_Release</formula1>
    </dataValidation>
    <dataValidation type="list" allowBlank="1" showInputMessage="1" showErrorMessage="1" sqref="E7:E110">
      <formula1>list_Phase</formula1>
    </dataValidation>
  </dataValidations>
  <pageMargins left="0.39370078740157499" right="0.39370078740157499" top="0.59055118110236204" bottom="0.59055118110236204" header="0.196850393700787" footer="0.196850393700787"/>
  <pageSetup scale="39" orientation="portrait" r:id="rId1"/>
  <headerFooter>
    <oddFooter>&amp;L&amp;"Calibri,Regular"&amp;9&amp;D&amp;C&amp;"Calibri,Regular"&amp;9&amp;GSapient Confidential
      &amp;6     Estimation Tool V5.0.0&amp;R&amp;"Calibri,Regular"&amp;9Page &amp;P</oddFooter>
  </headerFooter>
  <drawing r:id="rId2"/>
  <legacyDrawing r:id="rId3"/>
  <legacyDrawingHF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AR41"/>
  <sheetViews>
    <sheetView showGridLines="0" zoomScale="70" zoomScaleNormal="70" zoomScalePageLayoutView="75" workbookViewId="0">
      <pane xSplit="9" ySplit="12" topLeftCell="J13" activePane="bottomRight" state="frozen"/>
      <selection pane="topRight" activeCell="J1" sqref="J1"/>
      <selection pane="bottomLeft" activeCell="A13" sqref="A13"/>
      <selection pane="bottomRight" activeCell="A31" sqref="A31:XFD31"/>
    </sheetView>
  </sheetViews>
  <sheetFormatPr defaultColWidth="8.875" defaultRowHeight="15.75" outlineLevelCol="1"/>
  <cols>
    <col min="1" max="1" width="6" style="475" customWidth="1"/>
    <col min="2" max="2" width="1.875" style="475" customWidth="1"/>
    <col min="3" max="3" width="19" style="462" customWidth="1"/>
    <col min="4" max="4" width="14" style="462" customWidth="1"/>
    <col min="5" max="5" width="32.125" style="472" bestFit="1" customWidth="1"/>
    <col min="6" max="6" width="32.625" style="473" bestFit="1" customWidth="1"/>
    <col min="7" max="7" width="9" style="473" bestFit="1" customWidth="1"/>
    <col min="8" max="8" width="19.375" style="462" customWidth="1"/>
    <col min="9" max="9" width="7.375" style="462" customWidth="1"/>
    <col min="10" max="15" width="7" style="462" customWidth="1"/>
    <col min="16" max="16" width="7" style="475" customWidth="1"/>
    <col min="17" max="37" width="7" style="462" customWidth="1"/>
    <col min="38" max="38" width="7.5" style="462" customWidth="1"/>
    <col min="39" max="39" width="8.5" style="462" bestFit="1" customWidth="1"/>
    <col min="40" max="40" width="12.125" style="462" customWidth="1" outlineLevel="1"/>
    <col min="41" max="41" width="5.125" style="474" customWidth="1" outlineLevel="1"/>
    <col min="42" max="42" width="5" style="474" customWidth="1" outlineLevel="1"/>
    <col min="43" max="43" width="8.125" style="462" customWidth="1" outlineLevel="1"/>
    <col min="44" max="44" width="30.625" style="472" customWidth="1" outlineLevel="1"/>
    <col min="45" max="45" width="4.125" style="462" customWidth="1"/>
    <col min="46" max="16384" width="8.875" style="462"/>
  </cols>
  <sheetData>
    <row r="1" spans="1:44" ht="49.5" customHeight="1">
      <c r="A1" s="461"/>
      <c r="B1" s="272" t="s">
        <v>72</v>
      </c>
      <c r="C1" s="471"/>
      <c r="D1" s="273" t="str">
        <f>project_headline</f>
        <v>PG&amp;E - CRs | Estimation</v>
      </c>
      <c r="P1" s="462"/>
    </row>
    <row r="2" spans="1:44" ht="25.5" customHeight="1">
      <c r="B2" s="586" t="s">
        <v>73</v>
      </c>
      <c r="C2" s="587"/>
      <c r="D2" s="349">
        <v>42520</v>
      </c>
      <c r="E2" s="346" t="str">
        <f>IF(WEEKDAY(D2)&lt;&gt;2,"ERROR: Project start date has to be a Monday",CHOOSE(WEEKDAY(D2,2),"Monday","Tuesday","Wednesday","Thursday","Friday","Saturday","Sunday"))</f>
        <v>Monday</v>
      </c>
      <c r="P2" s="462"/>
    </row>
    <row r="3" spans="1:44" ht="25.5" customHeight="1">
      <c r="B3" s="418"/>
      <c r="C3" s="297"/>
      <c r="D3" s="419">
        <v>42602</v>
      </c>
      <c r="E3" s="347"/>
      <c r="P3" s="462"/>
    </row>
    <row r="4" spans="1:44" ht="24" customHeight="1">
      <c r="B4" s="586" t="s">
        <v>74</v>
      </c>
      <c r="C4" s="587"/>
      <c r="D4" s="348">
        <v>42153</v>
      </c>
      <c r="E4" s="347" t="str">
        <f>IF(WEEKDAY(D4)&lt;&gt;6,"ERROR: Project end date has to be a Friday",CHOOSE(WEEKDAY(D4,2),"Monday","Tuesday","Wednesday","Thursday","Friday","Saturday","Sunday"))</f>
        <v>Friday</v>
      </c>
      <c r="P4" s="462"/>
    </row>
    <row r="5" spans="1:44" ht="24" customHeight="1">
      <c r="B5" s="418"/>
      <c r="C5" s="297"/>
      <c r="D5" s="419"/>
      <c r="E5" s="347"/>
      <c r="P5" s="462"/>
    </row>
    <row r="6" spans="1:44" ht="28.7" customHeight="1">
      <c r="B6" s="547" t="s">
        <v>75</v>
      </c>
      <c r="C6" s="588"/>
      <c r="D6" s="182">
        <f>IF(AND(ISBLANK(D3),ISBLANK(D5)),,(DAYS360(D3,D5)+3)/7)</f>
        <v>-5998.1428571428569</v>
      </c>
      <c r="E6" s="180" t="s">
        <v>82</v>
      </c>
      <c r="P6" s="462"/>
      <c r="AC6" s="476"/>
      <c r="AD6" s="476"/>
      <c r="AE6" s="476"/>
      <c r="AF6" s="591"/>
      <c r="AG6" s="591"/>
      <c r="AH6" s="591"/>
      <c r="AI6" s="591"/>
      <c r="AJ6" s="591"/>
    </row>
    <row r="7" spans="1:44" ht="24" customHeight="1">
      <c r="B7" s="418"/>
      <c r="C7" s="297"/>
      <c r="D7" s="419"/>
      <c r="E7" s="347"/>
      <c r="P7" s="462"/>
      <c r="AC7" s="476"/>
      <c r="AD7" s="477"/>
      <c r="AE7" s="476"/>
      <c r="AF7" s="476"/>
      <c r="AG7" s="476"/>
      <c r="AH7" s="476"/>
      <c r="AI7" s="476"/>
      <c r="AJ7" s="477"/>
    </row>
    <row r="8" spans="1:44" ht="23.1" customHeight="1">
      <c r="B8" s="547" t="s">
        <v>75</v>
      </c>
      <c r="C8" s="588"/>
      <c r="D8" s="182">
        <f>IF(AND(ISBLANK(D2),ISBLANK(D4)),,(DAYS360(D2,D4)+3)/7)</f>
        <v>-51.142857142857146</v>
      </c>
      <c r="E8" s="180" t="s">
        <v>82</v>
      </c>
      <c r="P8" s="462"/>
    </row>
    <row r="9" spans="1:44" ht="23.1" customHeight="1">
      <c r="B9" s="589" t="s">
        <v>87</v>
      </c>
      <c r="C9" s="590"/>
      <c r="D9" s="183">
        <f>NETWORKDAYS(D2,D4)</f>
        <v>-262</v>
      </c>
      <c r="E9" s="181" t="s">
        <v>86</v>
      </c>
      <c r="AD9" s="462" t="s">
        <v>1279</v>
      </c>
    </row>
    <row r="10" spans="1:44" ht="3.95" customHeight="1">
      <c r="B10" s="462"/>
      <c r="S10" s="478"/>
    </row>
    <row r="11" spans="1:44" ht="12.95" customHeight="1">
      <c r="A11" s="479"/>
      <c r="B11" s="110"/>
      <c r="C11" s="111"/>
      <c r="D11" s="111"/>
      <c r="E11" s="111"/>
      <c r="F11" s="111"/>
      <c r="G11" s="302"/>
      <c r="H11" s="298"/>
      <c r="I11" s="297"/>
      <c r="J11" s="296">
        <v>1</v>
      </c>
      <c r="K11" s="97">
        <f>J11+1</f>
        <v>2</v>
      </c>
      <c r="L11" s="97">
        <f t="shared" ref="L11:AK11" si="0">K11+1</f>
        <v>3</v>
      </c>
      <c r="M11" s="97">
        <f t="shared" si="0"/>
        <v>4</v>
      </c>
      <c r="N11" s="97">
        <f t="shared" si="0"/>
        <v>5</v>
      </c>
      <c r="O11" s="97">
        <f t="shared" si="0"/>
        <v>6</v>
      </c>
      <c r="P11" s="97">
        <f t="shared" si="0"/>
        <v>7</v>
      </c>
      <c r="Q11" s="97">
        <f t="shared" si="0"/>
        <v>8</v>
      </c>
      <c r="R11" s="97">
        <f t="shared" si="0"/>
        <v>9</v>
      </c>
      <c r="S11" s="97">
        <f t="shared" si="0"/>
        <v>10</v>
      </c>
      <c r="T11" s="97">
        <f t="shared" si="0"/>
        <v>11</v>
      </c>
      <c r="U11" s="97">
        <f t="shared" si="0"/>
        <v>12</v>
      </c>
      <c r="V11" s="97">
        <f t="shared" si="0"/>
        <v>13</v>
      </c>
      <c r="W11" s="97">
        <f t="shared" si="0"/>
        <v>14</v>
      </c>
      <c r="X11" s="97">
        <f t="shared" si="0"/>
        <v>15</v>
      </c>
      <c r="Y11" s="97">
        <f t="shared" si="0"/>
        <v>16</v>
      </c>
      <c r="Z11" s="97">
        <f t="shared" si="0"/>
        <v>17</v>
      </c>
      <c r="AA11" s="97">
        <f t="shared" si="0"/>
        <v>18</v>
      </c>
      <c r="AB11" s="97">
        <f t="shared" si="0"/>
        <v>19</v>
      </c>
      <c r="AC11" s="97">
        <f t="shared" si="0"/>
        <v>20</v>
      </c>
      <c r="AD11" s="97">
        <f t="shared" si="0"/>
        <v>21</v>
      </c>
      <c r="AE11" s="97">
        <f t="shared" si="0"/>
        <v>22</v>
      </c>
      <c r="AF11" s="97">
        <f t="shared" si="0"/>
        <v>23</v>
      </c>
      <c r="AG11" s="97">
        <f t="shared" si="0"/>
        <v>24</v>
      </c>
      <c r="AH11" s="97">
        <f t="shared" si="0"/>
        <v>25</v>
      </c>
      <c r="AI11" s="97">
        <f t="shared" si="0"/>
        <v>26</v>
      </c>
      <c r="AJ11" s="97">
        <f t="shared" si="0"/>
        <v>27</v>
      </c>
      <c r="AK11" s="97">
        <f t="shared" si="0"/>
        <v>28</v>
      </c>
      <c r="AL11" s="199"/>
      <c r="AM11" s="187"/>
      <c r="AN11" s="583" t="s">
        <v>803</v>
      </c>
      <c r="AO11" s="584"/>
      <c r="AP11" s="584"/>
      <c r="AQ11" s="584"/>
      <c r="AR11" s="585"/>
    </row>
    <row r="12" spans="1:44" ht="56.1" customHeight="1">
      <c r="B12" s="184" t="s">
        <v>56</v>
      </c>
      <c r="C12" s="185" t="s">
        <v>76</v>
      </c>
      <c r="D12" s="185" t="s">
        <v>78</v>
      </c>
      <c r="E12" s="355" t="s">
        <v>79</v>
      </c>
      <c r="F12" s="355" t="s">
        <v>80</v>
      </c>
      <c r="G12" s="356" t="s">
        <v>1177</v>
      </c>
      <c r="H12" s="357" t="s">
        <v>29</v>
      </c>
      <c r="I12" s="358" t="s">
        <v>532</v>
      </c>
      <c r="J12" s="198">
        <f>D2</f>
        <v>42520</v>
      </c>
      <c r="K12" s="186">
        <f>J12+7</f>
        <v>42527</v>
      </c>
      <c r="L12" s="186">
        <f t="shared" ref="L12:AK12" si="1">K12+7</f>
        <v>42534</v>
      </c>
      <c r="M12" s="186">
        <f t="shared" si="1"/>
        <v>42541</v>
      </c>
      <c r="N12" s="186">
        <f t="shared" si="1"/>
        <v>42548</v>
      </c>
      <c r="O12" s="186">
        <f t="shared" si="1"/>
        <v>42555</v>
      </c>
      <c r="P12" s="186">
        <f t="shared" si="1"/>
        <v>42562</v>
      </c>
      <c r="Q12" s="186">
        <f t="shared" si="1"/>
        <v>42569</v>
      </c>
      <c r="R12" s="186">
        <f t="shared" si="1"/>
        <v>42576</v>
      </c>
      <c r="S12" s="186">
        <f t="shared" si="1"/>
        <v>42583</v>
      </c>
      <c r="T12" s="186">
        <f t="shared" si="1"/>
        <v>42590</v>
      </c>
      <c r="U12" s="186">
        <f t="shared" si="1"/>
        <v>42597</v>
      </c>
      <c r="V12" s="186">
        <f t="shared" si="1"/>
        <v>42604</v>
      </c>
      <c r="W12" s="186">
        <f t="shared" si="1"/>
        <v>42611</v>
      </c>
      <c r="X12" s="186">
        <f t="shared" si="1"/>
        <v>42618</v>
      </c>
      <c r="Y12" s="186">
        <f t="shared" si="1"/>
        <v>42625</v>
      </c>
      <c r="Z12" s="186">
        <f t="shared" si="1"/>
        <v>42632</v>
      </c>
      <c r="AA12" s="186">
        <f t="shared" si="1"/>
        <v>42639</v>
      </c>
      <c r="AB12" s="186">
        <f t="shared" si="1"/>
        <v>42646</v>
      </c>
      <c r="AC12" s="186">
        <f t="shared" si="1"/>
        <v>42653</v>
      </c>
      <c r="AD12" s="186">
        <f t="shared" si="1"/>
        <v>42660</v>
      </c>
      <c r="AE12" s="186">
        <f t="shared" si="1"/>
        <v>42667</v>
      </c>
      <c r="AF12" s="186">
        <f t="shared" si="1"/>
        <v>42674</v>
      </c>
      <c r="AG12" s="186">
        <f t="shared" si="1"/>
        <v>42681</v>
      </c>
      <c r="AH12" s="186">
        <f t="shared" si="1"/>
        <v>42688</v>
      </c>
      <c r="AI12" s="186">
        <f t="shared" si="1"/>
        <v>42695</v>
      </c>
      <c r="AJ12" s="186">
        <f t="shared" si="1"/>
        <v>42702</v>
      </c>
      <c r="AK12" s="186">
        <f t="shared" si="1"/>
        <v>42709</v>
      </c>
      <c r="AL12" s="200" t="s">
        <v>820</v>
      </c>
      <c r="AM12" s="188" t="s">
        <v>819</v>
      </c>
      <c r="AN12" s="267" t="s">
        <v>817</v>
      </c>
      <c r="AO12" s="178" t="s">
        <v>804</v>
      </c>
      <c r="AP12" s="178" t="s">
        <v>818</v>
      </c>
      <c r="AQ12" s="178" t="s">
        <v>805</v>
      </c>
      <c r="AR12" s="179" t="s">
        <v>806</v>
      </c>
    </row>
    <row r="13" spans="1:44" ht="0.75" customHeight="1">
      <c r="A13" s="23"/>
      <c r="B13" s="67"/>
      <c r="C13" s="88"/>
      <c r="D13" s="68"/>
      <c r="E13" s="83"/>
      <c r="F13" s="138"/>
      <c r="G13" s="352"/>
      <c r="H13" s="353"/>
      <c r="I13" s="354"/>
      <c r="J13" s="148"/>
      <c r="K13" s="154"/>
      <c r="L13" s="148"/>
      <c r="M13" s="149"/>
      <c r="N13" s="257"/>
      <c r="O13" s="258"/>
      <c r="P13" s="451"/>
      <c r="Q13" s="259"/>
      <c r="R13" s="150"/>
      <c r="S13" s="151"/>
      <c r="T13" s="153"/>
      <c r="U13" s="152"/>
      <c r="V13" s="153"/>
      <c r="W13" s="153"/>
      <c r="X13" s="153"/>
      <c r="Y13" s="153"/>
      <c r="Z13" s="153"/>
      <c r="AA13" s="153"/>
      <c r="AB13" s="153"/>
      <c r="AC13" s="153"/>
      <c r="AD13" s="153"/>
      <c r="AE13" s="153"/>
      <c r="AF13" s="153"/>
      <c r="AG13" s="153"/>
      <c r="AH13" s="153"/>
      <c r="AI13" s="153"/>
      <c r="AJ13" s="153"/>
      <c r="AK13" s="153"/>
      <c r="AL13" s="139">
        <f t="shared" ref="AL13:AL19" ca="1" si="2">SUM(INDIRECT(ADDRESS(ROW(),CELL("col",staffing_column_before_weeks)+1) &amp; ":" &amp; ADDRESS(ROW(),CELL("col", staffing_column_after_weeks)-1)))*5</f>
        <v>0</v>
      </c>
      <c r="AM13" s="140">
        <f ca="1">IF(staffing_planned_net_work_days=0,0,AL13/staffing_planned_net_work_days)</f>
        <v>0</v>
      </c>
      <c r="AN13" s="271"/>
      <c r="AO13" s="141"/>
      <c r="AP13" s="142"/>
      <c r="AQ13" s="143">
        <f ca="1">IF(OR(AO13="",AP13=""),0,PRODUCT(INDIRECT(ADDRESS(ROW(),CELL("col",staffing_column_Rate)+1) &amp; ":" &amp; ADDRESS(ROW(),CELL("col", staffing_column_HrsPerDay)-1)), INDIRECT(ADDRESS(ROW(),CELL("col",staffing_column_after_weeks)))))</f>
        <v>0</v>
      </c>
      <c r="AR13" s="144"/>
    </row>
    <row r="14" spans="1:44" ht="27" customHeight="1">
      <c r="A14" s="23"/>
      <c r="B14" s="162" t="s">
        <v>81</v>
      </c>
      <c r="C14" s="163"/>
      <c r="D14" s="164"/>
      <c r="E14" s="165"/>
      <c r="F14" s="166"/>
      <c r="G14" s="350"/>
      <c r="H14" s="351"/>
      <c r="I14" s="351"/>
      <c r="J14" s="164"/>
      <c r="K14" s="164"/>
      <c r="L14" s="164"/>
      <c r="M14" s="164"/>
      <c r="N14" s="256"/>
      <c r="O14" s="256"/>
      <c r="P14" s="256"/>
      <c r="Q14" s="256"/>
      <c r="R14" s="164"/>
      <c r="S14" s="164"/>
      <c r="T14" s="164"/>
      <c r="U14" s="164"/>
      <c r="V14" s="164"/>
      <c r="W14" s="164"/>
      <c r="X14" s="164"/>
      <c r="Y14" s="164"/>
      <c r="Z14" s="164"/>
      <c r="AA14" s="164"/>
      <c r="AB14" s="164"/>
      <c r="AC14" s="164"/>
      <c r="AD14" s="164"/>
      <c r="AE14" s="164"/>
      <c r="AF14" s="164"/>
      <c r="AG14" s="164"/>
      <c r="AH14" s="164"/>
      <c r="AI14" s="164"/>
      <c r="AJ14" s="164"/>
      <c r="AK14" s="164"/>
      <c r="AL14" s="164"/>
      <c r="AM14" s="167"/>
      <c r="AN14" s="268"/>
      <c r="AO14" s="168"/>
      <c r="AP14" s="168"/>
      <c r="AQ14" s="167"/>
      <c r="AR14" s="167"/>
    </row>
    <row r="15" spans="1:44" s="471" customFormat="1">
      <c r="A15" s="480"/>
      <c r="B15" s="67"/>
      <c r="C15" s="88"/>
      <c r="D15" s="68"/>
      <c r="E15" s="82"/>
      <c r="F15" s="490"/>
      <c r="G15" s="491"/>
      <c r="H15" s="492"/>
      <c r="I15" s="484"/>
      <c r="J15" s="148"/>
      <c r="K15" s="154"/>
      <c r="L15" s="148"/>
      <c r="M15" s="149"/>
      <c r="N15" s="257"/>
      <c r="O15" s="258"/>
      <c r="P15" s="451"/>
      <c r="Q15" s="259"/>
      <c r="R15" s="150"/>
      <c r="S15" s="151"/>
      <c r="T15" s="153"/>
      <c r="U15" s="152"/>
      <c r="V15" s="458"/>
      <c r="W15" s="458"/>
      <c r="X15" s="458"/>
      <c r="Y15" s="148"/>
      <c r="Z15" s="458"/>
      <c r="AA15" s="148"/>
      <c r="AB15" s="148"/>
      <c r="AC15" s="148"/>
      <c r="AD15" s="458"/>
      <c r="AE15" s="148"/>
      <c r="AF15" s="148"/>
      <c r="AG15" s="148"/>
      <c r="AH15" s="458"/>
      <c r="AI15" s="148"/>
      <c r="AJ15" s="148"/>
      <c r="AK15" s="148"/>
      <c r="AL15" s="139">
        <f t="shared" ref="AL15:AL18" ca="1" si="3">SUM(INDIRECT(ADDRESS(ROW(),CELL("col",staffing_column_before_weeks)+1) &amp; ":" &amp; ADDRESS(ROW(),CELL("col", staffing_column_after_weeks)-1)))*5</f>
        <v>0</v>
      </c>
      <c r="AM15" s="485">
        <f t="shared" ref="AM15:AM18" ca="1" si="4">IF(staffing_planned_net_work_days=0,0,AL15/staffing_planned_net_work_days)</f>
        <v>0</v>
      </c>
      <c r="AN15" s="486"/>
      <c r="AO15" s="141"/>
      <c r="AP15" s="487"/>
      <c r="AQ15" s="488">
        <f t="shared" ref="AQ15:AQ18" ca="1" si="5">IF(OR(AO15="",AP15=""),0,PRODUCT(INDIRECT(ADDRESS(ROW(),CELL("col",staffing_column_Rate)+1) &amp; ":" &amp; ADDRESS(ROW(),CELL("col", staffing_column_HrsPerDay)-1)), INDIRECT(ADDRESS(ROW(),CELL("col",staffing_column_after_weeks)))))</f>
        <v>0</v>
      </c>
      <c r="AR15" s="489"/>
    </row>
    <row r="16" spans="1:44" s="471" customFormat="1">
      <c r="A16" s="480"/>
      <c r="B16" s="67"/>
      <c r="C16" s="88"/>
      <c r="D16" s="68"/>
      <c r="E16" s="82"/>
      <c r="F16" s="490"/>
      <c r="G16" s="491"/>
      <c r="H16" s="492"/>
      <c r="I16" s="484"/>
      <c r="J16" s="148"/>
      <c r="K16" s="154"/>
      <c r="L16" s="148"/>
      <c r="M16" s="149"/>
      <c r="N16" s="257"/>
      <c r="O16" s="258"/>
      <c r="P16" s="451"/>
      <c r="Q16" s="259"/>
      <c r="R16" s="150"/>
      <c r="S16" s="151"/>
      <c r="T16" s="153"/>
      <c r="U16" s="152"/>
      <c r="V16" s="458"/>
      <c r="W16" s="458"/>
      <c r="X16" s="458"/>
      <c r="Y16" s="148"/>
      <c r="Z16" s="458"/>
      <c r="AA16" s="148"/>
      <c r="AB16" s="148"/>
      <c r="AC16" s="148"/>
      <c r="AD16" s="458"/>
      <c r="AE16" s="148"/>
      <c r="AF16" s="148"/>
      <c r="AG16" s="148"/>
      <c r="AH16" s="458"/>
      <c r="AI16" s="148"/>
      <c r="AJ16" s="148"/>
      <c r="AK16" s="148"/>
      <c r="AL16" s="139">
        <f t="shared" ca="1" si="3"/>
        <v>0</v>
      </c>
      <c r="AM16" s="485">
        <f t="shared" ca="1" si="4"/>
        <v>0</v>
      </c>
      <c r="AN16" s="486"/>
      <c r="AO16" s="141"/>
      <c r="AP16" s="487"/>
      <c r="AQ16" s="488">
        <f t="shared" ca="1" si="5"/>
        <v>0</v>
      </c>
      <c r="AR16" s="489"/>
    </row>
    <row r="17" spans="1:44" s="471" customFormat="1">
      <c r="A17" s="480"/>
      <c r="B17" s="67"/>
      <c r="C17" s="88"/>
      <c r="D17" s="68"/>
      <c r="E17" s="82"/>
      <c r="F17" s="490"/>
      <c r="G17" s="491"/>
      <c r="H17" s="492"/>
      <c r="I17" s="484"/>
      <c r="J17" s="148"/>
      <c r="K17" s="154"/>
      <c r="L17" s="148"/>
      <c r="M17" s="149"/>
      <c r="N17" s="257"/>
      <c r="O17" s="258"/>
      <c r="P17" s="451"/>
      <c r="Q17" s="259"/>
      <c r="R17" s="150"/>
      <c r="S17" s="151"/>
      <c r="T17" s="153"/>
      <c r="U17" s="152"/>
      <c r="V17" s="458"/>
      <c r="W17" s="458"/>
      <c r="X17" s="458"/>
      <c r="Y17" s="148"/>
      <c r="Z17" s="458"/>
      <c r="AA17" s="148"/>
      <c r="AB17" s="148"/>
      <c r="AC17" s="148"/>
      <c r="AD17" s="458"/>
      <c r="AE17" s="148"/>
      <c r="AF17" s="148"/>
      <c r="AG17" s="148"/>
      <c r="AH17" s="458"/>
      <c r="AI17" s="148"/>
      <c r="AJ17" s="148"/>
      <c r="AK17" s="148"/>
      <c r="AL17" s="139">
        <f t="shared" ca="1" si="3"/>
        <v>0</v>
      </c>
      <c r="AM17" s="485">
        <f t="shared" ca="1" si="4"/>
        <v>0</v>
      </c>
      <c r="AN17" s="486"/>
      <c r="AO17" s="141"/>
      <c r="AP17" s="487"/>
      <c r="AQ17" s="488">
        <f t="shared" ca="1" si="5"/>
        <v>0</v>
      </c>
      <c r="AR17" s="489"/>
    </row>
    <row r="18" spans="1:44" s="471" customFormat="1">
      <c r="A18" s="480"/>
      <c r="B18" s="67"/>
      <c r="C18" s="88"/>
      <c r="D18" s="68"/>
      <c r="E18" s="82"/>
      <c r="F18" s="490"/>
      <c r="G18" s="491"/>
      <c r="H18" s="492"/>
      <c r="I18" s="484"/>
      <c r="J18" s="148"/>
      <c r="K18" s="154"/>
      <c r="L18" s="148"/>
      <c r="M18" s="149"/>
      <c r="N18" s="257"/>
      <c r="O18" s="258"/>
      <c r="P18" s="451"/>
      <c r="Q18" s="259"/>
      <c r="R18" s="150"/>
      <c r="S18" s="151"/>
      <c r="T18" s="153"/>
      <c r="U18" s="152"/>
      <c r="V18" s="458"/>
      <c r="W18" s="458"/>
      <c r="X18" s="458"/>
      <c r="Y18" s="148"/>
      <c r="Z18" s="458"/>
      <c r="AA18" s="148"/>
      <c r="AB18" s="148"/>
      <c r="AC18" s="148"/>
      <c r="AD18" s="458"/>
      <c r="AE18" s="148"/>
      <c r="AF18" s="148"/>
      <c r="AG18" s="148"/>
      <c r="AH18" s="458"/>
      <c r="AI18" s="148"/>
      <c r="AJ18" s="148"/>
      <c r="AK18" s="148"/>
      <c r="AL18" s="139">
        <f t="shared" ca="1" si="3"/>
        <v>0</v>
      </c>
      <c r="AM18" s="485">
        <f t="shared" ca="1" si="4"/>
        <v>0</v>
      </c>
      <c r="AN18" s="486"/>
      <c r="AO18" s="141"/>
      <c r="AP18" s="487"/>
      <c r="AQ18" s="488">
        <f t="shared" ca="1" si="5"/>
        <v>0</v>
      </c>
      <c r="AR18" s="489"/>
    </row>
    <row r="19" spans="1:44" s="471" customFormat="1" ht="15.75" customHeight="1">
      <c r="A19" s="480"/>
      <c r="B19" s="67"/>
      <c r="C19" s="88"/>
      <c r="D19" s="68"/>
      <c r="E19" s="82"/>
      <c r="F19" s="490"/>
      <c r="G19" s="491"/>
      <c r="H19" s="492"/>
      <c r="I19" s="484"/>
      <c r="J19" s="148"/>
      <c r="K19" s="154"/>
      <c r="L19" s="148"/>
      <c r="M19" s="149"/>
      <c r="N19" s="257"/>
      <c r="O19" s="258"/>
      <c r="P19" s="451"/>
      <c r="Q19" s="259"/>
      <c r="R19" s="150"/>
      <c r="S19" s="151"/>
      <c r="T19" s="153"/>
      <c r="U19" s="152"/>
      <c r="V19" s="458"/>
      <c r="W19" s="458"/>
      <c r="X19" s="458"/>
      <c r="Y19" s="148"/>
      <c r="Z19" s="458"/>
      <c r="AA19" s="148"/>
      <c r="AB19" s="148"/>
      <c r="AC19" s="148"/>
      <c r="AD19" s="458"/>
      <c r="AE19" s="148"/>
      <c r="AF19" s="148"/>
      <c r="AG19" s="148"/>
      <c r="AH19" s="458"/>
      <c r="AI19" s="148"/>
      <c r="AJ19" s="148"/>
      <c r="AK19" s="148"/>
      <c r="AL19" s="139">
        <f t="shared" ca="1" si="2"/>
        <v>0</v>
      </c>
      <c r="AM19" s="485">
        <f t="shared" ref="AM19" ca="1" si="6">IF(staffing_planned_net_work_days=0,0,AL19/staffing_planned_net_work_days)</f>
        <v>0</v>
      </c>
      <c r="AN19" s="486"/>
      <c r="AO19" s="141"/>
      <c r="AP19" s="487"/>
      <c r="AQ19" s="488">
        <f t="shared" ref="AQ19" ca="1" si="7">IF(OR(AO19="",AP19=""),0,PRODUCT(INDIRECT(ADDRESS(ROW(),CELL("col",staffing_column_Rate)+1) &amp; ":" &amp; ADDRESS(ROW(),CELL("col", staffing_column_HrsPerDay)-1)), INDIRECT(ADDRESS(ROW(),CELL("col",staffing_column_after_weeks)))))</f>
        <v>0</v>
      </c>
      <c r="AR19" s="489"/>
    </row>
    <row r="20" spans="1:44">
      <c r="B20" s="14" t="s">
        <v>88</v>
      </c>
      <c r="C20" s="38"/>
      <c r="D20" s="15"/>
      <c r="E20" s="46"/>
      <c r="F20" s="47"/>
      <c r="G20" s="303"/>
      <c r="H20" s="299"/>
      <c r="I20" s="293"/>
      <c r="J20" s="155">
        <f t="shared" ref="J20:AK20" ca="1" si="8">SUM(INDIRECT(ADDRESS(CELL("row", staffing_row_before_oversight)+1, COLUMN()) &amp; ":" &amp; ADDRESS(CELL("row", staffing_row_after_oversight)-1, COLUMN())))*5</f>
        <v>0</v>
      </c>
      <c r="K20" s="157">
        <f t="shared" ca="1" si="8"/>
        <v>0</v>
      </c>
      <c r="L20" s="157">
        <f t="shared" ca="1" si="8"/>
        <v>0</v>
      </c>
      <c r="M20" s="156">
        <f t="shared" ca="1" si="8"/>
        <v>0</v>
      </c>
      <c r="N20" s="146">
        <f t="shared" ca="1" si="8"/>
        <v>0</v>
      </c>
      <c r="O20" s="158">
        <f t="shared" ca="1" si="8"/>
        <v>0</v>
      </c>
      <c r="P20" s="158">
        <f t="shared" ca="1" si="8"/>
        <v>0</v>
      </c>
      <c r="Q20" s="145">
        <f t="shared" ca="1" si="8"/>
        <v>0</v>
      </c>
      <c r="R20" s="146">
        <f t="shared" ca="1" si="8"/>
        <v>0</v>
      </c>
      <c r="S20" s="147">
        <f t="shared" ca="1" si="8"/>
        <v>0</v>
      </c>
      <c r="T20" s="158">
        <f t="shared" ca="1" si="8"/>
        <v>0</v>
      </c>
      <c r="U20" s="145">
        <f t="shared" ca="1" si="8"/>
        <v>0</v>
      </c>
      <c r="V20" s="158">
        <f t="shared" ca="1" si="8"/>
        <v>0</v>
      </c>
      <c r="W20" s="158">
        <f t="shared" ca="1" si="8"/>
        <v>0</v>
      </c>
      <c r="X20" s="158">
        <f t="shared" ca="1" si="8"/>
        <v>0</v>
      </c>
      <c r="Y20" s="158">
        <f t="shared" ca="1" si="8"/>
        <v>0</v>
      </c>
      <c r="Z20" s="158">
        <f t="shared" ca="1" si="8"/>
        <v>0</v>
      </c>
      <c r="AA20" s="158">
        <f t="shared" ca="1" si="8"/>
        <v>0</v>
      </c>
      <c r="AB20" s="158">
        <f t="shared" ca="1" si="8"/>
        <v>0</v>
      </c>
      <c r="AC20" s="158">
        <f t="shared" ca="1" si="8"/>
        <v>0</v>
      </c>
      <c r="AD20" s="158">
        <f t="shared" ca="1" si="8"/>
        <v>0</v>
      </c>
      <c r="AE20" s="158">
        <f t="shared" ca="1" si="8"/>
        <v>0</v>
      </c>
      <c r="AF20" s="158">
        <f t="shared" ca="1" si="8"/>
        <v>0</v>
      </c>
      <c r="AG20" s="158">
        <f t="shared" ca="1" si="8"/>
        <v>0</v>
      </c>
      <c r="AH20" s="158">
        <f t="shared" ca="1" si="8"/>
        <v>0</v>
      </c>
      <c r="AI20" s="158">
        <f t="shared" ca="1" si="8"/>
        <v>0</v>
      </c>
      <c r="AJ20" s="158">
        <f t="shared" ca="1" si="8"/>
        <v>0</v>
      </c>
      <c r="AK20" s="158">
        <f t="shared" ca="1" si="8"/>
        <v>0</v>
      </c>
      <c r="AL20" s="260">
        <f ca="1">SUM(INDIRECT(ADDRESS(ROW(),CELL("col",staffing_column_before_weeks)+1) &amp; ":" &amp; ADDRESS(ROW(),CELL("col", staffing_column_after_weeks)-1)))</f>
        <v>0</v>
      </c>
      <c r="AM20" s="160"/>
      <c r="AN20" s="269" t="s">
        <v>807</v>
      </c>
      <c r="AO20" s="155">
        <f ca="1">SUM(INDIRECT(ADDRESS(CELL("row", staffing_row_before_oversight)+1, COLUMN()) &amp; ":" &amp; ADDRESS(CELL("row", staffing_row_after_oversight)-1, COLUMN())))</f>
        <v>0</v>
      </c>
      <c r="AP20" s="161">
        <f ca="1">SUM(INDIRECT(ADDRESS(CELL("row", staffing_row_before_oversight)+1, COLUMN()) &amp; ":" &amp; ADDRESS(CELL("row", staffing_row_after_oversight)-1, COLUMN())))</f>
        <v>0</v>
      </c>
      <c r="AQ20" s="43">
        <f ca="1">SUM(INDIRECT(ADDRESS(CELL("row", staffing_row_before_oversight)+1, COLUMN()) &amp; ":" &amp; ADDRESS(CELL("row", staffing_row_after_oversight)-1, COLUMN())))</f>
        <v>0</v>
      </c>
      <c r="AR20" s="44"/>
    </row>
    <row r="21" spans="1:44">
      <c r="B21" s="169" t="s">
        <v>89</v>
      </c>
      <c r="C21" s="170"/>
      <c r="D21" s="171"/>
      <c r="E21" s="172"/>
      <c r="F21" s="173"/>
      <c r="G21" s="304"/>
      <c r="H21" s="300"/>
      <c r="I21" s="294"/>
      <c r="J21" s="171"/>
      <c r="K21" s="171"/>
      <c r="L21" s="171"/>
      <c r="M21" s="171"/>
      <c r="N21" s="174"/>
      <c r="O21" s="171"/>
      <c r="P21" s="171"/>
      <c r="Q21" s="171"/>
      <c r="R21" s="171"/>
      <c r="S21" s="171"/>
      <c r="T21" s="174"/>
      <c r="U21" s="171"/>
      <c r="V21" s="174"/>
      <c r="W21" s="174"/>
      <c r="X21" s="174"/>
      <c r="Y21" s="174"/>
      <c r="Z21" s="174"/>
      <c r="AA21" s="174"/>
      <c r="AB21" s="174"/>
      <c r="AC21" s="174"/>
      <c r="AD21" s="174"/>
      <c r="AE21" s="174"/>
      <c r="AF21" s="174"/>
      <c r="AG21" s="174"/>
      <c r="AH21" s="174"/>
      <c r="AI21" s="174"/>
      <c r="AJ21" s="174"/>
      <c r="AK21" s="174"/>
      <c r="AL21" s="171"/>
      <c r="AM21" s="175"/>
      <c r="AN21" s="270"/>
      <c r="AO21" s="176"/>
      <c r="AP21" s="176"/>
      <c r="AQ21" s="175"/>
      <c r="AR21" s="177"/>
    </row>
    <row r="22" spans="1:44" s="471" customFormat="1">
      <c r="A22" s="480"/>
      <c r="B22" s="470"/>
      <c r="C22" s="395" t="s">
        <v>77</v>
      </c>
      <c r="D22" s="395" t="s">
        <v>125</v>
      </c>
      <c r="E22" s="395" t="s">
        <v>267</v>
      </c>
      <c r="F22" s="481" t="s">
        <v>971</v>
      </c>
      <c r="G22" s="482" t="s">
        <v>1386</v>
      </c>
      <c r="H22" s="483" t="s">
        <v>1482</v>
      </c>
      <c r="I22" s="484"/>
      <c r="J22" s="148">
        <v>1</v>
      </c>
      <c r="K22" s="148">
        <v>1</v>
      </c>
      <c r="L22" s="522">
        <v>1</v>
      </c>
      <c r="M22" s="148"/>
      <c r="N22" s="257"/>
      <c r="O22" s="258"/>
      <c r="P22" s="451"/>
      <c r="Q22" s="259"/>
      <c r="R22" s="150"/>
      <c r="S22" s="151"/>
      <c r="T22" s="153"/>
      <c r="U22" s="152"/>
      <c r="V22" s="458"/>
      <c r="W22" s="458"/>
      <c r="X22" s="458"/>
      <c r="Y22" s="148"/>
      <c r="Z22" s="458"/>
      <c r="AA22" s="148"/>
      <c r="AB22" s="148"/>
      <c r="AC22" s="148"/>
      <c r="AD22" s="458"/>
      <c r="AE22" s="148"/>
      <c r="AF22" s="148"/>
      <c r="AG22" s="148"/>
      <c r="AH22" s="458"/>
      <c r="AI22" s="148"/>
      <c r="AJ22" s="148"/>
      <c r="AK22" s="148"/>
      <c r="AL22" s="139">
        <f t="shared" ref="AL22:AL38" ca="1" si="9">SUM(INDIRECT(ADDRESS(ROW(),CELL("col",staffing_column_before_weeks)+1) &amp; ":" &amp; ADDRESS(ROW(),CELL("col", staffing_column_after_weeks)-1)))*5</f>
        <v>15</v>
      </c>
      <c r="AM22" s="485">
        <f t="shared" ref="AM22:AM38" ca="1" si="10">IF(staffing_planned_net_work_days=0,0,AL22/staffing_planned_net_work_days)</f>
        <v>-5.7251908396946563E-2</v>
      </c>
      <c r="AN22" s="486"/>
      <c r="AO22" s="141"/>
      <c r="AP22" s="487"/>
      <c r="AQ22" s="488">
        <f t="shared" ref="AQ22:AQ38" ca="1" si="11">IF(OR(AO22="",AP22=""),0,PRODUCT(INDIRECT(ADDRESS(ROW(),CELL("col",staffing_column_Rate)+1) &amp; ":" &amp; ADDRESS(ROW(),CELL("col", staffing_column_HrsPerDay)-1)), INDIRECT(ADDRESS(ROW(),CELL("col",staffing_column_after_weeks)))))</f>
        <v>0</v>
      </c>
      <c r="AR22" s="489"/>
    </row>
    <row r="23" spans="1:44" s="471" customFormat="1" ht="15.75" customHeight="1">
      <c r="A23" s="480"/>
      <c r="B23" s="470"/>
      <c r="C23" s="395" t="s">
        <v>77</v>
      </c>
      <c r="D23" s="395" t="s">
        <v>125</v>
      </c>
      <c r="E23" s="395" t="s">
        <v>267</v>
      </c>
      <c r="F23" s="481" t="s">
        <v>971</v>
      </c>
      <c r="G23" s="482" t="s">
        <v>1386</v>
      </c>
      <c r="H23" s="483" t="s">
        <v>1482</v>
      </c>
      <c r="I23" s="484"/>
      <c r="J23" s="148">
        <v>1</v>
      </c>
      <c r="K23" s="148">
        <v>1</v>
      </c>
      <c r="L23" s="522">
        <v>1</v>
      </c>
      <c r="M23" s="148"/>
      <c r="N23" s="257"/>
      <c r="O23" s="258"/>
      <c r="P23" s="451"/>
      <c r="Q23" s="259"/>
      <c r="R23" s="150"/>
      <c r="S23" s="151"/>
      <c r="T23" s="153"/>
      <c r="U23" s="152"/>
      <c r="V23" s="458"/>
      <c r="W23" s="458"/>
      <c r="X23" s="458"/>
      <c r="Y23" s="148"/>
      <c r="Z23" s="458"/>
      <c r="AA23" s="148"/>
      <c r="AB23" s="148"/>
      <c r="AC23" s="148"/>
      <c r="AD23" s="458"/>
      <c r="AE23" s="148"/>
      <c r="AF23" s="148"/>
      <c r="AG23" s="148"/>
      <c r="AH23" s="458"/>
      <c r="AI23" s="148"/>
      <c r="AJ23" s="148"/>
      <c r="AK23" s="148"/>
      <c r="AL23" s="139">
        <f t="shared" ca="1" si="9"/>
        <v>15</v>
      </c>
      <c r="AM23" s="485">
        <f t="shared" ca="1" si="10"/>
        <v>-5.7251908396946563E-2</v>
      </c>
      <c r="AN23" s="486"/>
      <c r="AO23" s="141"/>
      <c r="AP23" s="487"/>
      <c r="AQ23" s="488">
        <f t="shared" ca="1" si="11"/>
        <v>0</v>
      </c>
      <c r="AR23" s="489"/>
    </row>
    <row r="24" spans="1:44" ht="15.75" customHeight="1">
      <c r="A24" s="23"/>
      <c r="B24" s="470"/>
      <c r="C24" s="395" t="s">
        <v>77</v>
      </c>
      <c r="D24" s="395" t="s">
        <v>125</v>
      </c>
      <c r="E24" s="395" t="s">
        <v>205</v>
      </c>
      <c r="F24" s="481" t="s">
        <v>878</v>
      </c>
      <c r="G24" s="482" t="s">
        <v>1386</v>
      </c>
      <c r="H24" s="483" t="s">
        <v>1482</v>
      </c>
      <c r="I24" s="354"/>
      <c r="J24" s="148">
        <v>1</v>
      </c>
      <c r="K24" s="148">
        <v>1</v>
      </c>
      <c r="L24" s="148"/>
      <c r="M24" s="148"/>
      <c r="N24" s="257"/>
      <c r="O24" s="258"/>
      <c r="P24" s="451"/>
      <c r="Q24" s="259"/>
      <c r="R24" s="150"/>
      <c r="S24" s="151"/>
      <c r="T24" s="153"/>
      <c r="U24" s="152"/>
      <c r="V24" s="458"/>
      <c r="W24" s="458"/>
      <c r="X24" s="458"/>
      <c r="Y24" s="148"/>
      <c r="Z24" s="458"/>
      <c r="AA24" s="148"/>
      <c r="AB24" s="148"/>
      <c r="AC24" s="148"/>
      <c r="AD24" s="458"/>
      <c r="AE24" s="148"/>
      <c r="AF24" s="148"/>
      <c r="AG24" s="148"/>
      <c r="AH24" s="458"/>
      <c r="AI24" s="148"/>
      <c r="AJ24" s="148"/>
      <c r="AK24" s="148"/>
      <c r="AL24" s="139">
        <f t="shared" ca="1" si="9"/>
        <v>10</v>
      </c>
      <c r="AM24" s="140">
        <f ca="1">IF(staffing_planned_net_work_days=0,0,AL24/staffing_planned_net_work_days)</f>
        <v>-3.8167938931297711E-2</v>
      </c>
      <c r="AN24" s="271"/>
      <c r="AO24" s="141"/>
      <c r="AP24" s="142"/>
      <c r="AQ24" s="143">
        <f ca="1">IF(OR(AO24="",AP24=""),0,PRODUCT(INDIRECT(ADDRESS(ROW(),CELL("col",staffing_column_Rate)+1) &amp; ":" &amp; ADDRESS(ROW(),CELL("col", staffing_column_HrsPerDay)-1)), INDIRECT(ADDRESS(ROW(),CELL("col",staffing_column_after_weeks)))))</f>
        <v>0</v>
      </c>
      <c r="AR24" s="144"/>
    </row>
    <row r="25" spans="1:44" s="471" customFormat="1">
      <c r="A25" s="480"/>
      <c r="B25" s="470"/>
      <c r="C25" s="493" t="s">
        <v>77</v>
      </c>
      <c r="D25" s="493" t="s">
        <v>125</v>
      </c>
      <c r="E25" s="493" t="s">
        <v>377</v>
      </c>
      <c r="F25" s="494" t="s">
        <v>839</v>
      </c>
      <c r="G25" s="495" t="s">
        <v>1386</v>
      </c>
      <c r="H25" s="496" t="s">
        <v>1462</v>
      </c>
      <c r="I25" s="484"/>
      <c r="J25" s="148">
        <v>1</v>
      </c>
      <c r="K25" s="154">
        <v>1</v>
      </c>
      <c r="L25" s="523">
        <v>1</v>
      </c>
      <c r="M25" s="148"/>
      <c r="N25" s="257"/>
      <c r="O25" s="258"/>
      <c r="P25" s="451"/>
      <c r="Q25" s="259"/>
      <c r="R25" s="150"/>
      <c r="S25" s="151"/>
      <c r="T25" s="153"/>
      <c r="U25" s="152"/>
      <c r="V25" s="458"/>
      <c r="W25" s="458"/>
      <c r="X25" s="458"/>
      <c r="Y25" s="148"/>
      <c r="Z25" s="458"/>
      <c r="AA25" s="148"/>
      <c r="AB25" s="148"/>
      <c r="AC25" s="148"/>
      <c r="AD25" s="458"/>
      <c r="AE25" s="148"/>
      <c r="AF25" s="148"/>
      <c r="AG25" s="148"/>
      <c r="AH25" s="458"/>
      <c r="AI25" s="148"/>
      <c r="AJ25" s="148"/>
      <c r="AK25" s="148"/>
      <c r="AL25" s="139">
        <f t="shared" ca="1" si="9"/>
        <v>15</v>
      </c>
      <c r="AM25" s="485">
        <f t="shared" ca="1" si="10"/>
        <v>-5.7251908396946563E-2</v>
      </c>
      <c r="AN25" s="486"/>
      <c r="AO25" s="141"/>
      <c r="AP25" s="487"/>
      <c r="AQ25" s="488">
        <f t="shared" ca="1" si="11"/>
        <v>0</v>
      </c>
      <c r="AR25" s="489"/>
    </row>
    <row r="26" spans="1:44" s="471" customFormat="1">
      <c r="A26" s="480"/>
      <c r="B26" s="470"/>
      <c r="C26" s="493" t="s">
        <v>77</v>
      </c>
      <c r="D26" s="493" t="s">
        <v>125</v>
      </c>
      <c r="E26" s="493" t="s">
        <v>377</v>
      </c>
      <c r="F26" s="494" t="s">
        <v>839</v>
      </c>
      <c r="G26" s="495" t="s">
        <v>1386</v>
      </c>
      <c r="H26" s="496" t="s">
        <v>1462</v>
      </c>
      <c r="I26" s="484"/>
      <c r="J26" s="148">
        <v>1</v>
      </c>
      <c r="K26" s="154">
        <v>1</v>
      </c>
      <c r="L26" s="523">
        <v>1</v>
      </c>
      <c r="M26" s="154"/>
      <c r="N26" s="257"/>
      <c r="O26" s="258"/>
      <c r="P26" s="451"/>
      <c r="Q26" s="259"/>
      <c r="R26" s="150"/>
      <c r="S26" s="151"/>
      <c r="T26" s="153"/>
      <c r="U26" s="152"/>
      <c r="V26" s="458"/>
      <c r="W26" s="458"/>
      <c r="X26" s="458"/>
      <c r="Y26" s="148"/>
      <c r="Z26" s="458"/>
      <c r="AA26" s="148"/>
      <c r="AB26" s="148"/>
      <c r="AC26" s="148"/>
      <c r="AD26" s="458"/>
      <c r="AE26" s="148"/>
      <c r="AF26" s="148"/>
      <c r="AG26" s="148"/>
      <c r="AH26" s="458"/>
      <c r="AI26" s="148"/>
      <c r="AJ26" s="148"/>
      <c r="AK26" s="148"/>
      <c r="AL26" s="139">
        <f t="shared" ca="1" si="9"/>
        <v>15</v>
      </c>
      <c r="AM26" s="485">
        <f t="shared" ca="1" si="10"/>
        <v>-5.7251908396946563E-2</v>
      </c>
      <c r="AN26" s="486"/>
      <c r="AO26" s="141"/>
      <c r="AP26" s="487"/>
      <c r="AQ26" s="488">
        <f t="shared" ca="1" si="11"/>
        <v>0</v>
      </c>
      <c r="AR26" s="489"/>
    </row>
    <row r="27" spans="1:44" s="471" customFormat="1">
      <c r="A27" s="480"/>
      <c r="B27" s="470"/>
      <c r="C27" s="493" t="s">
        <v>77</v>
      </c>
      <c r="D27" s="493" t="s">
        <v>125</v>
      </c>
      <c r="E27" s="493" t="s">
        <v>348</v>
      </c>
      <c r="F27" s="494" t="s">
        <v>839</v>
      </c>
      <c r="G27" s="495" t="s">
        <v>1386</v>
      </c>
      <c r="H27" s="496" t="s">
        <v>1462</v>
      </c>
      <c r="I27" s="484"/>
      <c r="J27" s="148">
        <v>1</v>
      </c>
      <c r="K27" s="154">
        <v>1</v>
      </c>
      <c r="L27" s="148"/>
      <c r="M27" s="149"/>
      <c r="N27" s="257"/>
      <c r="O27" s="258"/>
      <c r="P27" s="451"/>
      <c r="Q27" s="259"/>
      <c r="R27" s="150"/>
      <c r="S27" s="151"/>
      <c r="T27" s="153"/>
      <c r="U27" s="152"/>
      <c r="V27" s="458"/>
      <c r="W27" s="458"/>
      <c r="X27" s="458"/>
      <c r="Y27" s="148"/>
      <c r="Z27" s="458"/>
      <c r="AA27" s="148"/>
      <c r="AB27" s="148"/>
      <c r="AC27" s="148"/>
      <c r="AD27" s="458"/>
      <c r="AE27" s="148"/>
      <c r="AF27" s="148"/>
      <c r="AG27" s="148"/>
      <c r="AH27" s="458"/>
      <c r="AI27" s="148"/>
      <c r="AJ27" s="148"/>
      <c r="AK27" s="148"/>
      <c r="AL27" s="139">
        <f t="shared" ca="1" si="9"/>
        <v>10</v>
      </c>
      <c r="AM27" s="485">
        <f t="shared" ca="1" si="10"/>
        <v>-3.8167938931297711E-2</v>
      </c>
      <c r="AN27" s="486"/>
      <c r="AO27" s="141"/>
      <c r="AP27" s="487"/>
      <c r="AQ27" s="488">
        <f t="shared" ca="1" si="11"/>
        <v>0</v>
      </c>
      <c r="AR27" s="489"/>
    </row>
    <row r="28" spans="1:44" s="471" customFormat="1">
      <c r="A28" s="480"/>
      <c r="B28" s="470"/>
      <c r="C28" s="501" t="s">
        <v>77</v>
      </c>
      <c r="D28" s="502" t="s">
        <v>125</v>
      </c>
      <c r="E28" s="497" t="s">
        <v>265</v>
      </c>
      <c r="F28" s="498" t="s">
        <v>951</v>
      </c>
      <c r="G28" s="499" t="s">
        <v>1849</v>
      </c>
      <c r="H28" s="500" t="s">
        <v>1487</v>
      </c>
      <c r="I28" s="484"/>
      <c r="J28" s="148">
        <v>1</v>
      </c>
      <c r="K28" s="148">
        <v>1</v>
      </c>
      <c r="L28" s="522">
        <v>1</v>
      </c>
      <c r="M28" s="148"/>
      <c r="N28" s="257"/>
      <c r="O28" s="258"/>
      <c r="P28" s="451"/>
      <c r="Q28" s="259"/>
      <c r="R28" s="150"/>
      <c r="S28" s="151"/>
      <c r="T28" s="153"/>
      <c r="U28" s="152"/>
      <c r="V28" s="458"/>
      <c r="W28" s="458"/>
      <c r="X28" s="458"/>
      <c r="Y28" s="148"/>
      <c r="Z28" s="458"/>
      <c r="AA28" s="148"/>
      <c r="AB28" s="148"/>
      <c r="AC28" s="148"/>
      <c r="AD28" s="458"/>
      <c r="AE28" s="148"/>
      <c r="AF28" s="148"/>
      <c r="AG28" s="148"/>
      <c r="AH28" s="458"/>
      <c r="AI28" s="148"/>
      <c r="AJ28" s="148"/>
      <c r="AK28" s="148"/>
      <c r="AL28" s="139">
        <f t="shared" ca="1" si="9"/>
        <v>15</v>
      </c>
      <c r="AM28" s="485">
        <f t="shared" ca="1" si="10"/>
        <v>-5.7251908396946563E-2</v>
      </c>
      <c r="AN28" s="486"/>
      <c r="AO28" s="141"/>
      <c r="AP28" s="487"/>
      <c r="AQ28" s="488">
        <f t="shared" ca="1" si="11"/>
        <v>0</v>
      </c>
      <c r="AR28" s="489"/>
    </row>
    <row r="29" spans="1:44" s="471" customFormat="1">
      <c r="A29" s="480"/>
      <c r="B29" s="470"/>
      <c r="C29" s="501" t="s">
        <v>77</v>
      </c>
      <c r="D29" s="502" t="s">
        <v>125</v>
      </c>
      <c r="E29" s="497" t="s">
        <v>265</v>
      </c>
      <c r="F29" s="498" t="s">
        <v>951</v>
      </c>
      <c r="G29" s="499" t="s">
        <v>1849</v>
      </c>
      <c r="H29" s="500" t="s">
        <v>1487</v>
      </c>
      <c r="I29" s="484"/>
      <c r="J29" s="148">
        <v>1</v>
      </c>
      <c r="K29" s="148">
        <v>1</v>
      </c>
      <c r="L29" s="522">
        <v>1</v>
      </c>
      <c r="M29" s="149"/>
      <c r="N29" s="257"/>
      <c r="O29" s="258"/>
      <c r="P29" s="451"/>
      <c r="Q29" s="259"/>
      <c r="R29" s="150"/>
      <c r="S29" s="151"/>
      <c r="T29" s="153"/>
      <c r="U29" s="152"/>
      <c r="V29" s="458"/>
      <c r="W29" s="458"/>
      <c r="X29" s="458"/>
      <c r="Y29" s="148"/>
      <c r="Z29" s="458"/>
      <c r="AA29" s="148"/>
      <c r="AB29" s="148"/>
      <c r="AC29" s="148"/>
      <c r="AD29" s="458"/>
      <c r="AE29" s="148"/>
      <c r="AF29" s="148"/>
      <c r="AG29" s="148"/>
      <c r="AH29" s="458"/>
      <c r="AI29" s="148"/>
      <c r="AJ29" s="148"/>
      <c r="AK29" s="148"/>
      <c r="AL29" s="139">
        <f t="shared" ca="1" si="9"/>
        <v>15</v>
      </c>
      <c r="AM29" s="485">
        <f t="shared" ca="1" si="10"/>
        <v>-5.7251908396946563E-2</v>
      </c>
      <c r="AN29" s="486"/>
      <c r="AO29" s="141"/>
      <c r="AP29" s="487"/>
      <c r="AQ29" s="488">
        <f t="shared" ca="1" si="11"/>
        <v>0</v>
      </c>
      <c r="AR29" s="489"/>
    </row>
    <row r="30" spans="1:44" s="471" customFormat="1">
      <c r="A30" s="480"/>
      <c r="B30" s="470"/>
      <c r="C30" s="501" t="s">
        <v>77</v>
      </c>
      <c r="D30" s="502" t="s">
        <v>125</v>
      </c>
      <c r="E30" s="497" t="s">
        <v>265</v>
      </c>
      <c r="F30" s="498" t="s">
        <v>951</v>
      </c>
      <c r="G30" s="499" t="s">
        <v>1849</v>
      </c>
      <c r="H30" s="500" t="s">
        <v>1487</v>
      </c>
      <c r="I30" s="484"/>
      <c r="J30" s="148">
        <v>1</v>
      </c>
      <c r="K30" s="148">
        <v>1</v>
      </c>
      <c r="L30" s="148"/>
      <c r="M30" s="149"/>
      <c r="N30" s="257"/>
      <c r="O30" s="258"/>
      <c r="P30" s="451"/>
      <c r="Q30" s="259"/>
      <c r="R30" s="150"/>
      <c r="S30" s="151"/>
      <c r="T30" s="153"/>
      <c r="U30" s="152"/>
      <c r="V30" s="458"/>
      <c r="W30" s="458"/>
      <c r="X30" s="458"/>
      <c r="Y30" s="148"/>
      <c r="Z30" s="458"/>
      <c r="AA30" s="148"/>
      <c r="AB30" s="148"/>
      <c r="AC30" s="148"/>
      <c r="AD30" s="458"/>
      <c r="AE30" s="148"/>
      <c r="AF30" s="148"/>
      <c r="AG30" s="148"/>
      <c r="AH30" s="458"/>
      <c r="AI30" s="148"/>
      <c r="AJ30" s="148"/>
      <c r="AK30" s="148"/>
      <c r="AL30" s="139">
        <f t="shared" ca="1" si="9"/>
        <v>10</v>
      </c>
      <c r="AM30" s="485">
        <f t="shared" ca="1" si="10"/>
        <v>-3.8167938931297711E-2</v>
      </c>
      <c r="AN30" s="486"/>
      <c r="AO30" s="141"/>
      <c r="AP30" s="487"/>
      <c r="AQ30" s="488">
        <f t="shared" ca="1" si="11"/>
        <v>0</v>
      </c>
      <c r="AR30" s="489"/>
    </row>
    <row r="31" spans="1:44" s="471" customFormat="1">
      <c r="A31" s="480"/>
      <c r="B31" s="67"/>
      <c r="C31" s="88"/>
      <c r="D31" s="68"/>
      <c r="E31" s="82"/>
      <c r="F31" s="490"/>
      <c r="G31" s="491"/>
      <c r="H31" s="492"/>
      <c r="I31" s="484"/>
      <c r="J31" s="148"/>
      <c r="K31" s="154"/>
      <c r="L31" s="148"/>
      <c r="M31" s="149"/>
      <c r="N31" s="257"/>
      <c r="O31" s="258"/>
      <c r="P31" s="451"/>
      <c r="Q31" s="259"/>
      <c r="R31" s="150"/>
      <c r="S31" s="151"/>
      <c r="T31" s="153"/>
      <c r="U31" s="152"/>
      <c r="V31" s="458"/>
      <c r="W31" s="458"/>
      <c r="X31" s="458"/>
      <c r="Y31" s="148"/>
      <c r="Z31" s="458"/>
      <c r="AA31" s="148"/>
      <c r="AB31" s="148"/>
      <c r="AC31" s="148"/>
      <c r="AD31" s="458"/>
      <c r="AE31" s="148"/>
      <c r="AF31" s="148"/>
      <c r="AG31" s="148"/>
      <c r="AH31" s="458"/>
      <c r="AI31" s="148"/>
      <c r="AJ31" s="148"/>
      <c r="AK31" s="148"/>
      <c r="AL31" s="139">
        <f t="shared" ca="1" si="9"/>
        <v>0</v>
      </c>
      <c r="AM31" s="485">
        <f t="shared" ca="1" si="10"/>
        <v>0</v>
      </c>
      <c r="AN31" s="486"/>
      <c r="AO31" s="141"/>
      <c r="AP31" s="487"/>
      <c r="AQ31" s="488">
        <f t="shared" ca="1" si="11"/>
        <v>0</v>
      </c>
      <c r="AR31" s="489"/>
    </row>
    <row r="32" spans="1:44" s="471" customFormat="1" ht="15.75" customHeight="1">
      <c r="A32" s="480"/>
      <c r="B32" s="67"/>
      <c r="C32" s="88"/>
      <c r="D32" s="68"/>
      <c r="E32" s="82"/>
      <c r="F32" s="490"/>
      <c r="G32" s="491"/>
      <c r="H32" s="492"/>
      <c r="I32" s="484"/>
      <c r="J32" s="148"/>
      <c r="K32" s="154"/>
      <c r="L32" s="148"/>
      <c r="M32" s="149"/>
      <c r="N32" s="257"/>
      <c r="O32" s="258"/>
      <c r="P32" s="451"/>
      <c r="Q32" s="259"/>
      <c r="R32" s="150"/>
      <c r="S32" s="151"/>
      <c r="T32" s="153"/>
      <c r="U32" s="152"/>
      <c r="V32" s="458"/>
      <c r="W32" s="458"/>
      <c r="X32" s="458"/>
      <c r="Y32" s="148"/>
      <c r="Z32" s="458"/>
      <c r="AA32" s="148"/>
      <c r="AB32" s="148"/>
      <c r="AC32" s="148"/>
      <c r="AD32" s="458"/>
      <c r="AE32" s="148"/>
      <c r="AF32" s="148"/>
      <c r="AG32" s="148"/>
      <c r="AH32" s="458"/>
      <c r="AI32" s="148"/>
      <c r="AJ32" s="148"/>
      <c r="AK32" s="148"/>
      <c r="AL32" s="139">
        <f t="shared" ca="1" si="9"/>
        <v>0</v>
      </c>
      <c r="AM32" s="485">
        <f t="shared" ca="1" si="10"/>
        <v>0</v>
      </c>
      <c r="AN32" s="486"/>
      <c r="AO32" s="141"/>
      <c r="AP32" s="487"/>
      <c r="AQ32" s="488">
        <f t="shared" ca="1" si="11"/>
        <v>0</v>
      </c>
      <c r="AR32" s="489"/>
    </row>
    <row r="33" spans="1:44" s="471" customFormat="1">
      <c r="A33" s="480"/>
      <c r="B33" s="67"/>
      <c r="C33" s="88"/>
      <c r="D33" s="68"/>
      <c r="E33" s="82"/>
      <c r="F33" s="490"/>
      <c r="G33" s="491"/>
      <c r="H33" s="492"/>
      <c r="I33" s="484"/>
      <c r="J33" s="148"/>
      <c r="K33" s="154"/>
      <c r="L33" s="148"/>
      <c r="M33" s="149"/>
      <c r="N33" s="257"/>
      <c r="O33" s="258"/>
      <c r="P33" s="451"/>
      <c r="Q33" s="259"/>
      <c r="R33" s="150"/>
      <c r="S33" s="151"/>
      <c r="T33" s="153"/>
      <c r="U33" s="152"/>
      <c r="V33" s="458"/>
      <c r="W33" s="458"/>
      <c r="X33" s="458"/>
      <c r="Y33" s="148"/>
      <c r="Z33" s="458"/>
      <c r="AA33" s="148"/>
      <c r="AB33" s="148"/>
      <c r="AC33" s="148"/>
      <c r="AD33" s="458"/>
      <c r="AE33" s="148"/>
      <c r="AF33" s="148"/>
      <c r="AG33" s="148"/>
      <c r="AH33" s="458"/>
      <c r="AI33" s="148"/>
      <c r="AJ33" s="148"/>
      <c r="AK33" s="148"/>
      <c r="AL33" s="139">
        <f t="shared" ca="1" si="9"/>
        <v>0</v>
      </c>
      <c r="AM33" s="485">
        <f t="shared" ref="AM33" ca="1" si="12">IF(staffing_planned_net_work_days=0,0,AL33/staffing_planned_net_work_days)</f>
        <v>0</v>
      </c>
      <c r="AN33" s="486"/>
      <c r="AO33" s="141"/>
      <c r="AP33" s="487"/>
      <c r="AQ33" s="488">
        <f t="shared" ca="1" si="11"/>
        <v>0</v>
      </c>
      <c r="AR33" s="489"/>
    </row>
    <row r="34" spans="1:44" s="471" customFormat="1">
      <c r="A34" s="480"/>
      <c r="B34" s="67"/>
      <c r="C34" s="88"/>
      <c r="D34" s="68"/>
      <c r="E34" s="82"/>
      <c r="F34" s="490"/>
      <c r="G34" s="491"/>
      <c r="H34" s="492"/>
      <c r="I34" s="484"/>
      <c r="J34" s="148"/>
      <c r="K34" s="154"/>
      <c r="L34" s="148"/>
      <c r="M34" s="149"/>
      <c r="N34" s="257"/>
      <c r="O34" s="258"/>
      <c r="P34" s="451"/>
      <c r="Q34" s="259"/>
      <c r="R34" s="150"/>
      <c r="S34" s="151"/>
      <c r="T34" s="153"/>
      <c r="U34" s="152"/>
      <c r="V34" s="458"/>
      <c r="W34" s="458"/>
      <c r="X34" s="458"/>
      <c r="Y34" s="148"/>
      <c r="Z34" s="458"/>
      <c r="AA34" s="148"/>
      <c r="AB34" s="148"/>
      <c r="AC34" s="148"/>
      <c r="AD34" s="458"/>
      <c r="AE34" s="148"/>
      <c r="AF34" s="148"/>
      <c r="AG34" s="148"/>
      <c r="AH34" s="458"/>
      <c r="AI34" s="148"/>
      <c r="AJ34" s="148"/>
      <c r="AK34" s="148"/>
      <c r="AL34" s="139">
        <f t="shared" ca="1" si="9"/>
        <v>0</v>
      </c>
      <c r="AM34" s="485">
        <f t="shared" ca="1" si="10"/>
        <v>0</v>
      </c>
      <c r="AN34" s="486"/>
      <c r="AO34" s="141"/>
      <c r="AP34" s="487"/>
      <c r="AQ34" s="488">
        <f t="shared" ca="1" si="11"/>
        <v>0</v>
      </c>
      <c r="AR34" s="489"/>
    </row>
    <row r="35" spans="1:44" s="471" customFormat="1" ht="15.75" customHeight="1">
      <c r="A35" s="480"/>
      <c r="B35" s="67"/>
      <c r="C35" s="88"/>
      <c r="D35" s="68"/>
      <c r="E35" s="82"/>
      <c r="F35" s="490"/>
      <c r="G35" s="491"/>
      <c r="H35" s="492"/>
      <c r="I35" s="484"/>
      <c r="J35" s="148"/>
      <c r="K35" s="154"/>
      <c r="L35" s="148"/>
      <c r="M35" s="149"/>
      <c r="N35" s="257"/>
      <c r="O35" s="258"/>
      <c r="P35" s="451"/>
      <c r="Q35" s="259"/>
      <c r="R35" s="150"/>
      <c r="S35" s="151"/>
      <c r="T35" s="153"/>
      <c r="U35" s="152"/>
      <c r="V35" s="458"/>
      <c r="W35" s="458"/>
      <c r="X35" s="458"/>
      <c r="Y35" s="148"/>
      <c r="Z35" s="458"/>
      <c r="AA35" s="148"/>
      <c r="AB35" s="148"/>
      <c r="AC35" s="148"/>
      <c r="AD35" s="458"/>
      <c r="AE35" s="148"/>
      <c r="AF35" s="148"/>
      <c r="AG35" s="148"/>
      <c r="AH35" s="458"/>
      <c r="AI35" s="148"/>
      <c r="AJ35" s="148"/>
      <c r="AK35" s="148"/>
      <c r="AL35" s="139">
        <f t="shared" ca="1" si="9"/>
        <v>0</v>
      </c>
      <c r="AM35" s="485">
        <f t="shared" ca="1" si="10"/>
        <v>0</v>
      </c>
      <c r="AN35" s="486"/>
      <c r="AO35" s="141"/>
      <c r="AP35" s="487"/>
      <c r="AQ35" s="488">
        <f t="shared" ca="1" si="11"/>
        <v>0</v>
      </c>
      <c r="AR35" s="489"/>
    </row>
    <row r="36" spans="1:44" s="471" customFormat="1" ht="15.75" customHeight="1">
      <c r="A36" s="480"/>
      <c r="B36" s="67"/>
      <c r="C36" s="88"/>
      <c r="D36" s="68"/>
      <c r="E36" s="82"/>
      <c r="F36" s="490"/>
      <c r="G36" s="491"/>
      <c r="H36" s="492"/>
      <c r="I36" s="484"/>
      <c r="J36" s="148"/>
      <c r="K36" s="154"/>
      <c r="L36" s="148"/>
      <c r="M36" s="149"/>
      <c r="N36" s="257"/>
      <c r="O36" s="258"/>
      <c r="P36" s="451"/>
      <c r="Q36" s="259"/>
      <c r="R36" s="150"/>
      <c r="S36" s="151"/>
      <c r="T36" s="153"/>
      <c r="U36" s="152"/>
      <c r="V36" s="458"/>
      <c r="W36" s="458"/>
      <c r="X36" s="458"/>
      <c r="Y36" s="148"/>
      <c r="Z36" s="458"/>
      <c r="AA36" s="148"/>
      <c r="AB36" s="148"/>
      <c r="AC36" s="148"/>
      <c r="AD36" s="458"/>
      <c r="AE36" s="148"/>
      <c r="AF36" s="148"/>
      <c r="AG36" s="148"/>
      <c r="AH36" s="458"/>
      <c r="AI36" s="148"/>
      <c r="AJ36" s="148"/>
      <c r="AK36" s="148"/>
      <c r="AL36" s="139">
        <f t="shared" ca="1" si="9"/>
        <v>0</v>
      </c>
      <c r="AM36" s="485">
        <f t="shared" ca="1" si="10"/>
        <v>0</v>
      </c>
      <c r="AN36" s="486"/>
      <c r="AO36" s="141"/>
      <c r="AP36" s="487"/>
      <c r="AQ36" s="488">
        <f t="shared" ca="1" si="11"/>
        <v>0</v>
      </c>
      <c r="AR36" s="489"/>
    </row>
    <row r="37" spans="1:44" s="471" customFormat="1" ht="15.75" customHeight="1">
      <c r="A37" s="480"/>
      <c r="B37" s="67"/>
      <c r="C37" s="88"/>
      <c r="D37" s="68"/>
      <c r="E37" s="82"/>
      <c r="F37" s="490"/>
      <c r="G37" s="491"/>
      <c r="H37" s="492"/>
      <c r="I37" s="484"/>
      <c r="J37" s="148"/>
      <c r="K37" s="154"/>
      <c r="L37" s="148"/>
      <c r="M37" s="149"/>
      <c r="N37" s="257"/>
      <c r="O37" s="258"/>
      <c r="P37" s="451"/>
      <c r="Q37" s="259"/>
      <c r="R37" s="150"/>
      <c r="S37" s="151"/>
      <c r="T37" s="153"/>
      <c r="U37" s="152"/>
      <c r="V37" s="458"/>
      <c r="W37" s="458"/>
      <c r="X37" s="458"/>
      <c r="Y37" s="148"/>
      <c r="Z37" s="458"/>
      <c r="AA37" s="148"/>
      <c r="AB37" s="148"/>
      <c r="AC37" s="148"/>
      <c r="AD37" s="458"/>
      <c r="AE37" s="148"/>
      <c r="AF37" s="148"/>
      <c r="AG37" s="148"/>
      <c r="AH37" s="458"/>
      <c r="AI37" s="148"/>
      <c r="AJ37" s="148"/>
      <c r="AK37" s="148"/>
      <c r="AL37" s="139">
        <f t="shared" ca="1" si="9"/>
        <v>0</v>
      </c>
      <c r="AM37" s="485">
        <f t="shared" ca="1" si="10"/>
        <v>0</v>
      </c>
      <c r="AN37" s="486"/>
      <c r="AO37" s="141"/>
      <c r="AP37" s="487"/>
      <c r="AQ37" s="488">
        <f t="shared" ca="1" si="11"/>
        <v>0</v>
      </c>
      <c r="AR37" s="489"/>
    </row>
    <row r="38" spans="1:44" s="471" customFormat="1" ht="15.75" customHeight="1">
      <c r="A38" s="480"/>
      <c r="B38" s="67"/>
      <c r="C38" s="88"/>
      <c r="D38" s="68"/>
      <c r="E38" s="82"/>
      <c r="F38" s="490"/>
      <c r="G38" s="491"/>
      <c r="H38" s="492"/>
      <c r="I38" s="484"/>
      <c r="J38" s="148"/>
      <c r="K38" s="154"/>
      <c r="L38" s="148"/>
      <c r="M38" s="149"/>
      <c r="N38" s="257"/>
      <c r="O38" s="258"/>
      <c r="P38" s="451"/>
      <c r="Q38" s="259"/>
      <c r="R38" s="150"/>
      <c r="S38" s="151"/>
      <c r="T38" s="153"/>
      <c r="U38" s="152"/>
      <c r="V38" s="458"/>
      <c r="W38" s="458"/>
      <c r="X38" s="458"/>
      <c r="Y38" s="148"/>
      <c r="Z38" s="458"/>
      <c r="AA38" s="148"/>
      <c r="AB38" s="148"/>
      <c r="AC38" s="148"/>
      <c r="AD38" s="458"/>
      <c r="AE38" s="148"/>
      <c r="AF38" s="148"/>
      <c r="AG38" s="148"/>
      <c r="AH38" s="458"/>
      <c r="AI38" s="148"/>
      <c r="AJ38" s="148"/>
      <c r="AK38" s="148"/>
      <c r="AL38" s="139">
        <f t="shared" ca="1" si="9"/>
        <v>0</v>
      </c>
      <c r="AM38" s="485">
        <f t="shared" ca="1" si="10"/>
        <v>0</v>
      </c>
      <c r="AN38" s="486"/>
      <c r="AO38" s="141"/>
      <c r="AP38" s="487"/>
      <c r="AQ38" s="488">
        <f t="shared" ca="1" si="11"/>
        <v>0</v>
      </c>
      <c r="AR38" s="489"/>
    </row>
    <row r="39" spans="1:44" s="471" customFormat="1" ht="15.75" customHeight="1">
      <c r="A39" s="480"/>
      <c r="B39" s="67"/>
      <c r="C39" s="88"/>
      <c r="D39" s="68"/>
      <c r="E39" s="82"/>
      <c r="F39" s="490"/>
      <c r="G39" s="491"/>
      <c r="H39" s="492"/>
      <c r="I39" s="484"/>
      <c r="J39" s="148"/>
      <c r="K39" s="154"/>
      <c r="L39" s="148"/>
      <c r="M39" s="149"/>
      <c r="N39" s="257"/>
      <c r="O39" s="258"/>
      <c r="P39" s="451"/>
      <c r="Q39" s="259"/>
      <c r="R39" s="150"/>
      <c r="S39" s="151"/>
      <c r="T39" s="153"/>
      <c r="U39" s="152"/>
      <c r="V39" s="458"/>
      <c r="W39" s="458"/>
      <c r="X39" s="458"/>
      <c r="Y39" s="148"/>
      <c r="Z39" s="458"/>
      <c r="AA39" s="148"/>
      <c r="AB39" s="148"/>
      <c r="AC39" s="148"/>
      <c r="AD39" s="458"/>
      <c r="AE39" s="148"/>
      <c r="AF39" s="148"/>
      <c r="AG39" s="148"/>
      <c r="AH39" s="458"/>
      <c r="AI39" s="148"/>
      <c r="AJ39" s="148"/>
      <c r="AK39" s="148"/>
      <c r="AL39" s="139">
        <f t="shared" ref="AL39" ca="1" si="13">SUM(INDIRECT(ADDRESS(ROW(),CELL("col",staffing_column_before_weeks)+1) &amp; ":" &amp; ADDRESS(ROW(),CELL("col", staffing_column_after_weeks)-1)))*5</f>
        <v>0</v>
      </c>
      <c r="AM39" s="485">
        <f t="shared" ref="AM39" ca="1" si="14">IF(staffing_planned_net_work_days=0,0,AL39/staffing_planned_net_work_days)</f>
        <v>0</v>
      </c>
      <c r="AN39" s="486"/>
      <c r="AO39" s="141"/>
      <c r="AP39" s="487"/>
      <c r="AQ39" s="488">
        <f t="shared" ref="AQ39" ca="1" si="15">IF(OR(AO39="",AP39=""),0,PRODUCT(INDIRECT(ADDRESS(ROW(),CELL("col",staffing_column_Rate)+1) &amp; ":" &amp; ADDRESS(ROW(),CELL("col", staffing_column_HrsPerDay)-1)), INDIRECT(ADDRESS(ROW(),CELL("col",staffing_column_after_weeks)))))</f>
        <v>0</v>
      </c>
      <c r="AR39" s="489"/>
    </row>
    <row r="40" spans="1:44">
      <c r="B40" s="14" t="s">
        <v>90</v>
      </c>
      <c r="C40" s="38"/>
      <c r="D40" s="15"/>
      <c r="E40" s="47"/>
      <c r="F40" s="47"/>
      <c r="G40" s="303"/>
      <c r="H40" s="299"/>
      <c r="I40" s="293"/>
      <c r="J40" s="159">
        <f t="shared" ref="J40:AK40" ca="1" si="16">SUM(INDIRECT(ADDRESS(CELL("row", staffing_row_before_team)+1, COLUMN()) &amp; ":" &amp; ADDRESS(CELL("row", staffing_row_after_team)-1, COLUMN())))*5</f>
        <v>45</v>
      </c>
      <c r="K40" s="158">
        <f t="shared" ca="1" si="16"/>
        <v>45</v>
      </c>
      <c r="L40" s="158">
        <f t="shared" ca="1" si="16"/>
        <v>30</v>
      </c>
      <c r="M40" s="145">
        <f t="shared" ca="1" si="16"/>
        <v>0</v>
      </c>
      <c r="N40" s="146">
        <f t="shared" ca="1" si="16"/>
        <v>0</v>
      </c>
      <c r="O40" s="158">
        <f t="shared" ca="1" si="16"/>
        <v>0</v>
      </c>
      <c r="P40" s="145">
        <f t="shared" ca="1" si="16"/>
        <v>0</v>
      </c>
      <c r="Q40" s="145">
        <f t="shared" ca="1" si="16"/>
        <v>0</v>
      </c>
      <c r="R40" s="146">
        <f t="shared" ca="1" si="16"/>
        <v>0</v>
      </c>
      <c r="S40" s="158">
        <f t="shared" ca="1" si="16"/>
        <v>0</v>
      </c>
      <c r="T40" s="147">
        <f t="shared" ca="1" si="16"/>
        <v>0</v>
      </c>
      <c r="U40" s="145">
        <f t="shared" ca="1" si="16"/>
        <v>0</v>
      </c>
      <c r="V40" s="147">
        <f t="shared" ca="1" si="16"/>
        <v>0</v>
      </c>
      <c r="W40" s="147">
        <f t="shared" ca="1" si="16"/>
        <v>0</v>
      </c>
      <c r="X40" s="147">
        <f t="shared" ca="1" si="16"/>
        <v>0</v>
      </c>
      <c r="Y40" s="147">
        <f t="shared" ca="1" si="16"/>
        <v>0</v>
      </c>
      <c r="Z40" s="147">
        <f t="shared" ca="1" si="16"/>
        <v>0</v>
      </c>
      <c r="AA40" s="147">
        <f t="shared" ca="1" si="16"/>
        <v>0</v>
      </c>
      <c r="AB40" s="147">
        <f t="shared" ca="1" si="16"/>
        <v>0</v>
      </c>
      <c r="AC40" s="147">
        <f t="shared" ca="1" si="16"/>
        <v>0</v>
      </c>
      <c r="AD40" s="147">
        <f t="shared" ca="1" si="16"/>
        <v>0</v>
      </c>
      <c r="AE40" s="147">
        <f t="shared" ca="1" si="16"/>
        <v>0</v>
      </c>
      <c r="AF40" s="147">
        <f t="shared" ca="1" si="16"/>
        <v>0</v>
      </c>
      <c r="AG40" s="147">
        <f t="shared" ca="1" si="16"/>
        <v>0</v>
      </c>
      <c r="AH40" s="147">
        <f t="shared" ca="1" si="16"/>
        <v>0</v>
      </c>
      <c r="AI40" s="147">
        <f t="shared" ca="1" si="16"/>
        <v>0</v>
      </c>
      <c r="AJ40" s="147">
        <f t="shared" ca="1" si="16"/>
        <v>0</v>
      </c>
      <c r="AK40" s="147">
        <f t="shared" ca="1" si="16"/>
        <v>0</v>
      </c>
      <c r="AL40" s="261">
        <f ca="1">SUM(INDIRECT(ADDRESS(ROW(),CELL("col",staffing_column_before_weeks)+1) &amp; ":" &amp; ADDRESS(ROW(),CELL("col", staffing_column_after_weeks)-1)))</f>
        <v>120</v>
      </c>
      <c r="AM40" s="263"/>
      <c r="AN40" s="265" t="s">
        <v>807</v>
      </c>
      <c r="AO40" s="159">
        <f ca="1">SUM(INDIRECT(ADDRESS(CELL("row", staffing_row_before_team)+1, COLUMN()) &amp; ":" &amp; ADDRESS(CELL("row", staffing_row_after_team)-1, COLUMN())))</f>
        <v>0</v>
      </c>
      <c r="AP40" s="145">
        <f ca="1">SUM(INDIRECT(ADDRESS(CELL("row", staffing_row_before_team)+1, COLUMN()) &amp; ":" &amp; ADDRESS(CELL("row", staffing_row_after_team)-1, COLUMN())))</f>
        <v>0</v>
      </c>
      <c r="AQ40" s="43">
        <f ca="1">SUM(INDIRECT(ADDRESS(CELL("row", staffing_row_before_team)+1, COLUMN()) &amp; ":" &amp; ADDRESS(CELL("row", staffing_row_after_team)-1, COLUMN())))</f>
        <v>0</v>
      </c>
      <c r="AR40" s="45"/>
    </row>
    <row r="41" spans="1:44">
      <c r="B41" s="189" t="s">
        <v>91</v>
      </c>
      <c r="C41" s="190"/>
      <c r="D41" s="190"/>
      <c r="E41" s="190"/>
      <c r="F41" s="190"/>
      <c r="G41" s="305"/>
      <c r="H41" s="301"/>
      <c r="I41" s="295"/>
      <c r="J41" s="191">
        <f ca="1">SUM(J20,J40)</f>
        <v>45</v>
      </c>
      <c r="K41" s="192">
        <f ca="1">SUM(K20,K40)</f>
        <v>45</v>
      </c>
      <c r="L41" s="192">
        <f ca="1">SUM(L20,L40)</f>
        <v>30</v>
      </c>
      <c r="M41" s="193">
        <f ca="1">SUM(M20,M40)</f>
        <v>0</v>
      </c>
      <c r="N41" s="194">
        <f ca="1">SUM(N20,N40)</f>
        <v>0</v>
      </c>
      <c r="O41" s="192">
        <f ca="1">SUM(O20,O40)</f>
        <v>0</v>
      </c>
      <c r="P41" s="193">
        <f ca="1">SUM(P20,P40)</f>
        <v>0</v>
      </c>
      <c r="Q41" s="193">
        <f ca="1">SUM(Q20,Q40)</f>
        <v>0</v>
      </c>
      <c r="R41" s="194">
        <f ca="1">SUM(R20,R40)</f>
        <v>0</v>
      </c>
      <c r="S41" s="192">
        <f ca="1">SUM(S20,S40)</f>
        <v>0</v>
      </c>
      <c r="T41" s="195">
        <f ca="1">SUM(T20,T40)</f>
        <v>0</v>
      </c>
      <c r="U41" s="193">
        <f ca="1">SUM(U20,U40)</f>
        <v>0</v>
      </c>
      <c r="V41" s="195">
        <f ca="1">SUM(V20,V40)</f>
        <v>0</v>
      </c>
      <c r="W41" s="195">
        <f ca="1">SUM(W20,W40)</f>
        <v>0</v>
      </c>
      <c r="X41" s="195">
        <f ca="1">SUM(X20,X40)</f>
        <v>0</v>
      </c>
      <c r="Y41" s="195">
        <f ca="1">SUM(Y20,Y40)</f>
        <v>0</v>
      </c>
      <c r="Z41" s="195">
        <f ca="1">SUM(Z20,Z40)</f>
        <v>0</v>
      </c>
      <c r="AA41" s="195">
        <f ca="1">SUM(AA20,AA40)</f>
        <v>0</v>
      </c>
      <c r="AB41" s="195">
        <f ca="1">SUM(AB20,AB40)</f>
        <v>0</v>
      </c>
      <c r="AC41" s="195">
        <f ca="1">SUM(AC20,AC40)</f>
        <v>0</v>
      </c>
      <c r="AD41" s="195">
        <f ca="1">SUM(AD20,AD40)</f>
        <v>0</v>
      </c>
      <c r="AE41" s="195">
        <f ca="1">SUM(AE20,AE40)</f>
        <v>0</v>
      </c>
      <c r="AF41" s="195">
        <f ca="1">SUM(AF20,AF40)</f>
        <v>0</v>
      </c>
      <c r="AG41" s="195">
        <f ca="1">SUM(AG20,AG40)</f>
        <v>0</v>
      </c>
      <c r="AH41" s="195">
        <f ca="1">SUM(AH20,AH40)</f>
        <v>0</v>
      </c>
      <c r="AI41" s="195">
        <f ca="1">SUM(AI20,AI40)</f>
        <v>0</v>
      </c>
      <c r="AJ41" s="195">
        <f ca="1">SUM(AJ20,AJ40)</f>
        <v>0</v>
      </c>
      <c r="AK41" s="195">
        <f ca="1">SUM(AK20,AK40)</f>
        <v>0</v>
      </c>
      <c r="AL41" s="262">
        <f ca="1">SUM(AL20,AL40)</f>
        <v>120</v>
      </c>
      <c r="AM41" s="264"/>
      <c r="AN41" s="266" t="s">
        <v>808</v>
      </c>
      <c r="AO41" s="191">
        <f ca="1">SUM(AO20,AO40)</f>
        <v>0</v>
      </c>
      <c r="AP41" s="193">
        <f ca="1">SUM(AP20,AP40)</f>
        <v>0</v>
      </c>
      <c r="AQ41" s="196">
        <f ca="1">IFERROR(SUM(AQ20,AQ40),0)</f>
        <v>0</v>
      </c>
      <c r="AR41" s="197"/>
    </row>
  </sheetData>
  <autoFilter ref="B12:AR41"/>
  <dataConsolidate/>
  <mergeCells count="7">
    <mergeCell ref="AN11:AR11"/>
    <mergeCell ref="B2:C2"/>
    <mergeCell ref="B4:C4"/>
    <mergeCell ref="B8:C8"/>
    <mergeCell ref="B9:C9"/>
    <mergeCell ref="B6:C6"/>
    <mergeCell ref="AF6:AJ6"/>
  </mergeCells>
  <conditionalFormatting sqref="J13:U13 AL13 J40:AL41 J20:AL20 J19:AK19 J15:AL18 AL22:AL28 V22:AK39 J22:U38">
    <cfRule type="expression" dxfId="98" priority="21116">
      <formula>IF(AND(ISNUMBER(J$11),IF(MOD(J$11,4)=0,TRUE)),TRUE, FALSE)</formula>
    </cfRule>
    <cfRule type="containsBlanks" dxfId="97" priority="21120">
      <formula>LEN(TRIM(J13))=0</formula>
    </cfRule>
  </conditionalFormatting>
  <conditionalFormatting sqref="B15:B18">
    <cfRule type="cellIs" dxfId="96" priority="20984" operator="equal">
      <formula>"WE"</formula>
    </cfRule>
    <cfRule type="cellIs" dxfId="95" priority="20985" operator="equal">
      <formula>"W"</formula>
    </cfRule>
    <cfRule type="cellIs" dxfId="94" priority="20986" operator="equal">
      <formula>"E"</formula>
    </cfRule>
  </conditionalFormatting>
  <conditionalFormatting sqref="E2:E3">
    <cfRule type="expression" dxfId="93" priority="20973" stopIfTrue="1">
      <formula>WEEKDAY(D2)&lt;&gt;2</formula>
    </cfRule>
  </conditionalFormatting>
  <conditionalFormatting sqref="E4:E5 E7">
    <cfRule type="expression" dxfId="92" priority="20974" stopIfTrue="1">
      <formula>WEEKDAY(D4)&lt;&gt;6</formula>
    </cfRule>
  </conditionalFormatting>
  <conditionalFormatting sqref="B13">
    <cfRule type="cellIs" dxfId="91" priority="20942" operator="equal">
      <formula>"WE"</formula>
    </cfRule>
    <cfRule type="cellIs" dxfId="90" priority="20943" operator="equal">
      <formula>"W"</formula>
    </cfRule>
    <cfRule type="cellIs" dxfId="89" priority="20944" operator="equal">
      <formula>"E"</formula>
    </cfRule>
  </conditionalFormatting>
  <conditionalFormatting sqref="B27">
    <cfRule type="cellIs" dxfId="88" priority="18564" operator="equal">
      <formula>"WE"</formula>
    </cfRule>
    <cfRule type="cellIs" dxfId="87" priority="18565" operator="equal">
      <formula>"W"</formula>
    </cfRule>
    <cfRule type="cellIs" dxfId="86" priority="18566" operator="equal">
      <formula>"E"</formula>
    </cfRule>
  </conditionalFormatting>
  <conditionalFormatting sqref="B25:B26">
    <cfRule type="cellIs" dxfId="85" priority="18525" operator="equal">
      <formula>"WE"</formula>
    </cfRule>
    <cfRule type="cellIs" dxfId="84" priority="18526" operator="equal">
      <formula>"W"</formula>
    </cfRule>
    <cfRule type="cellIs" dxfId="83" priority="18527" operator="equal">
      <formula>"E"</formula>
    </cfRule>
  </conditionalFormatting>
  <conditionalFormatting sqref="B23">
    <cfRule type="cellIs" dxfId="82" priority="18090" operator="equal">
      <formula>"WE"</formula>
    </cfRule>
    <cfRule type="cellIs" dxfId="81" priority="18091" operator="equal">
      <formula>"W"</formula>
    </cfRule>
    <cfRule type="cellIs" dxfId="80" priority="18092" operator="equal">
      <formula>"E"</formula>
    </cfRule>
  </conditionalFormatting>
  <conditionalFormatting sqref="B22">
    <cfRule type="cellIs" dxfId="79" priority="18051" operator="equal">
      <formula>"WE"</formula>
    </cfRule>
    <cfRule type="cellIs" dxfId="78" priority="18052" operator="equal">
      <formula>"W"</formula>
    </cfRule>
    <cfRule type="cellIs" dxfId="77" priority="18053" operator="equal">
      <formula>"E"</formula>
    </cfRule>
  </conditionalFormatting>
  <conditionalFormatting sqref="B28:B29">
    <cfRule type="cellIs" dxfId="76" priority="17070" operator="equal">
      <formula>"WE"</formula>
    </cfRule>
    <cfRule type="cellIs" dxfId="75" priority="17071" operator="equal">
      <formula>"W"</formula>
    </cfRule>
    <cfRule type="cellIs" dxfId="74" priority="17072" operator="equal">
      <formula>"E"</formula>
    </cfRule>
  </conditionalFormatting>
  <conditionalFormatting sqref="H28 H40:H1048576 H20:H22 H1:H18">
    <cfRule type="containsText" dxfId="73" priority="13071" operator="containsText" text="research">
      <formula>NOT(ISERROR(SEARCH("research",H1)))</formula>
    </cfRule>
  </conditionalFormatting>
  <conditionalFormatting sqref="B30">
    <cfRule type="cellIs" dxfId="72" priority="3313" operator="equal">
      <formula>"WE"</formula>
    </cfRule>
    <cfRule type="cellIs" dxfId="71" priority="3314" operator="equal">
      <formula>"W"</formula>
    </cfRule>
    <cfRule type="cellIs" dxfId="70" priority="3315" operator="equal">
      <formula>"E"</formula>
    </cfRule>
  </conditionalFormatting>
  <conditionalFormatting sqref="H26">
    <cfRule type="containsText" dxfId="69" priority="1739" operator="containsText" text="research">
      <formula>NOT(ISERROR(SEARCH("research",H26)))</formula>
    </cfRule>
  </conditionalFormatting>
  <conditionalFormatting sqref="H23">
    <cfRule type="containsText" dxfId="68" priority="1748" operator="containsText" text="research">
      <formula>NOT(ISERROR(SEARCH("research",H23)))</formula>
    </cfRule>
  </conditionalFormatting>
  <conditionalFormatting sqref="H25">
    <cfRule type="containsText" dxfId="67" priority="1742" operator="containsText" text="research">
      <formula>NOT(ISERROR(SEARCH("research",H25)))</formula>
    </cfRule>
  </conditionalFormatting>
  <conditionalFormatting sqref="H27">
    <cfRule type="containsText" dxfId="66" priority="1734" operator="containsText" text="research">
      <formula>NOT(ISERROR(SEARCH("research",H27)))</formula>
    </cfRule>
  </conditionalFormatting>
  <conditionalFormatting sqref="H29:H30">
    <cfRule type="containsText" dxfId="65" priority="1593" operator="containsText" text="research">
      <formula>NOT(ISERROR(SEARCH("research",H29)))</formula>
    </cfRule>
  </conditionalFormatting>
  <conditionalFormatting sqref="AL30">
    <cfRule type="expression" dxfId="64" priority="1155">
      <formula>IF(AND(ISNUMBER(AL$11),IF(MOD(AL$11,4)=0,TRUE)),TRUE, FALSE)</formula>
    </cfRule>
    <cfRule type="containsBlanks" dxfId="63" priority="1156">
      <formula>LEN(TRIM(AL30))=0</formula>
    </cfRule>
  </conditionalFormatting>
  <conditionalFormatting sqref="AL38">
    <cfRule type="expression" dxfId="62" priority="1093">
      <formula>IF(AND(ISNUMBER(AL$11),IF(MOD(AL$11,4)=0,TRUE)),TRUE, FALSE)</formula>
    </cfRule>
    <cfRule type="containsBlanks" dxfId="61" priority="1094">
      <formula>LEN(TRIM(AL38))=0</formula>
    </cfRule>
  </conditionalFormatting>
  <conditionalFormatting sqref="AL37">
    <cfRule type="expression" dxfId="60" priority="1087">
      <formula>IF(AND(ISNUMBER(AL$11),IF(MOD(AL$11,4)=0,TRUE)),TRUE, FALSE)</formula>
    </cfRule>
    <cfRule type="containsBlanks" dxfId="59" priority="1088">
      <formula>LEN(TRIM(AL37))=0</formula>
    </cfRule>
  </conditionalFormatting>
  <conditionalFormatting sqref="AL36">
    <cfRule type="expression" dxfId="58" priority="1081">
      <formula>IF(AND(ISNUMBER(AL$11),IF(MOD(AL$11,4)=0,TRUE)),TRUE, FALSE)</formula>
    </cfRule>
    <cfRule type="containsBlanks" dxfId="57" priority="1082">
      <formula>LEN(TRIM(AL36))=0</formula>
    </cfRule>
  </conditionalFormatting>
  <conditionalFormatting sqref="AL35">
    <cfRule type="expression" dxfId="56" priority="1075">
      <formula>IF(AND(ISNUMBER(AL$11),IF(MOD(AL$11,4)=0,TRUE)),TRUE, FALSE)</formula>
    </cfRule>
    <cfRule type="containsBlanks" dxfId="55" priority="1076">
      <formula>LEN(TRIM(AL35))=0</formula>
    </cfRule>
  </conditionalFormatting>
  <conditionalFormatting sqref="AL34">
    <cfRule type="expression" dxfId="54" priority="1069">
      <formula>IF(AND(ISNUMBER(AL$11),IF(MOD(AL$11,4)=0,TRUE)),TRUE, FALSE)</formula>
    </cfRule>
    <cfRule type="containsBlanks" dxfId="53" priority="1070">
      <formula>LEN(TRIM(AL34))=0</formula>
    </cfRule>
  </conditionalFormatting>
  <conditionalFormatting sqref="H19">
    <cfRule type="containsText" dxfId="52" priority="791" operator="containsText" text="research">
      <formula>NOT(ISERROR(SEARCH("research",H19)))</formula>
    </cfRule>
  </conditionalFormatting>
  <conditionalFormatting sqref="AL19">
    <cfRule type="expression" dxfId="51" priority="795">
      <formula>IF(AND(ISNUMBER(AL$11),IF(MOD(AL$11,4)=0,TRUE)),TRUE, FALSE)</formula>
    </cfRule>
    <cfRule type="containsBlanks" dxfId="50" priority="796">
      <formula>LEN(TRIM(AL19))=0</formula>
    </cfRule>
  </conditionalFormatting>
  <conditionalFormatting sqref="B19">
    <cfRule type="cellIs" dxfId="49" priority="792" operator="equal">
      <formula>"WE"</formula>
    </cfRule>
    <cfRule type="cellIs" dxfId="48" priority="793" operator="equal">
      <formula>"W"</formula>
    </cfRule>
    <cfRule type="cellIs" dxfId="47" priority="794" operator="equal">
      <formula>"E"</formula>
    </cfRule>
  </conditionalFormatting>
  <conditionalFormatting sqref="J39:U39 AL39">
    <cfRule type="expression" dxfId="46" priority="777">
      <formula>IF(AND(ISNUMBER(J$11),IF(MOD(J$11,4)=0,TRUE)),TRUE, FALSE)</formula>
    </cfRule>
    <cfRule type="containsBlanks" dxfId="45" priority="778">
      <formula>LEN(TRIM(J39))=0</formula>
    </cfRule>
  </conditionalFormatting>
  <conditionalFormatting sqref="B39">
    <cfRule type="cellIs" dxfId="44" priority="774" operator="equal">
      <formula>"WE"</formula>
    </cfRule>
    <cfRule type="cellIs" dxfId="43" priority="775" operator="equal">
      <formula>"W"</formula>
    </cfRule>
    <cfRule type="cellIs" dxfId="42" priority="776" operator="equal">
      <formula>"E"</formula>
    </cfRule>
  </conditionalFormatting>
  <conditionalFormatting sqref="H39">
    <cfRule type="containsText" dxfId="41" priority="773" operator="containsText" text="research">
      <formula>NOT(ISERROR(SEARCH("research",H39)))</formula>
    </cfRule>
  </conditionalFormatting>
  <conditionalFormatting sqref="B32">
    <cfRule type="cellIs" dxfId="40" priority="110" operator="equal">
      <formula>"WE"</formula>
    </cfRule>
    <cfRule type="cellIs" dxfId="39" priority="111" operator="equal">
      <formula>"W"</formula>
    </cfRule>
    <cfRule type="cellIs" dxfId="38" priority="112" operator="equal">
      <formula>"E"</formula>
    </cfRule>
  </conditionalFormatting>
  <conditionalFormatting sqref="H32">
    <cfRule type="containsText" dxfId="37" priority="109" operator="containsText" text="research">
      <formula>NOT(ISERROR(SEARCH("research",H32)))</formula>
    </cfRule>
  </conditionalFormatting>
  <conditionalFormatting sqref="B24">
    <cfRule type="cellIs" dxfId="36" priority="62" operator="equal">
      <formula>"WE"</formula>
    </cfRule>
    <cfRule type="cellIs" dxfId="35" priority="63" operator="equal">
      <formula>"W"</formula>
    </cfRule>
    <cfRule type="cellIs" dxfId="34" priority="64" operator="equal">
      <formula>"E"</formula>
    </cfRule>
  </conditionalFormatting>
  <conditionalFormatting sqref="H24">
    <cfRule type="containsText" dxfId="33" priority="60" operator="containsText" text="research">
      <formula>NOT(ISERROR(SEARCH("research",H24)))</formula>
    </cfRule>
  </conditionalFormatting>
  <conditionalFormatting sqref="B33:B38">
    <cfRule type="cellIs" dxfId="32" priority="23" operator="equal">
      <formula>"WE"</formula>
    </cfRule>
    <cfRule type="cellIs" dxfId="31" priority="24" operator="equal">
      <formula>"W"</formula>
    </cfRule>
    <cfRule type="cellIs" dxfId="30" priority="25" operator="equal">
      <formula>"E"</formula>
    </cfRule>
  </conditionalFormatting>
  <conditionalFormatting sqref="H33:H38">
    <cfRule type="containsText" dxfId="29" priority="22" operator="containsText" text="research">
      <formula>NOT(ISERROR(SEARCH("research",H33)))</formula>
    </cfRule>
  </conditionalFormatting>
  <conditionalFormatting sqref="B31">
    <cfRule type="cellIs" dxfId="28" priority="19" operator="equal">
      <formula>"WE"</formula>
    </cfRule>
    <cfRule type="cellIs" dxfId="27" priority="20" operator="equal">
      <formula>"W"</formula>
    </cfRule>
    <cfRule type="cellIs" dxfId="26" priority="21" operator="equal">
      <formula>"E"</formula>
    </cfRule>
  </conditionalFormatting>
  <conditionalFormatting sqref="H31">
    <cfRule type="containsText" dxfId="25" priority="18" operator="containsText" text="research">
      <formula>NOT(ISERROR(SEARCH("research",H31)))</formula>
    </cfRule>
  </conditionalFormatting>
  <conditionalFormatting sqref="B26">
    <cfRule type="cellIs" dxfId="24" priority="12" operator="equal">
      <formula>"WE"</formula>
    </cfRule>
    <cfRule type="cellIs" dxfId="23" priority="13" operator="equal">
      <formula>"W"</formula>
    </cfRule>
    <cfRule type="cellIs" dxfId="22" priority="14" operator="equal">
      <formula>"E"</formula>
    </cfRule>
  </conditionalFormatting>
  <conditionalFormatting sqref="B27">
    <cfRule type="cellIs" dxfId="21" priority="9" operator="equal">
      <formula>"WE"</formula>
    </cfRule>
    <cfRule type="cellIs" dxfId="20" priority="10" operator="equal">
      <formula>"W"</formula>
    </cfRule>
    <cfRule type="cellIs" dxfId="19" priority="11" operator="equal">
      <formula>"E"</formula>
    </cfRule>
  </conditionalFormatting>
  <dataValidations count="9">
    <dataValidation type="list" allowBlank="1" showInputMessage="1" showErrorMessage="1" sqref="D13 D15:D19 D22:D39">
      <formula1>IF(C13="",list_offices,IF(C13="Local",list_offices_local,list_offices_india))</formula1>
    </dataValidation>
    <dataValidation type="list" allowBlank="1" showInputMessage="1" showErrorMessage="1" sqref="C13 C15:C19 C22:C39">
      <formula1>IF(ISNUMBER(MATCH(D13,list_offices_local,0)),list_bill_rate_local,IF(ISNUMBER(MATCH(D13,list_offices_india,0)),list_bill_rate_india,list_bill_rate_categories))</formula1>
    </dataValidation>
    <dataValidation type="list" allowBlank="1" showInputMessage="1" showErrorMessage="1" sqref="E13 E15:E19 E22:E39">
      <formula1>IF(project_delivery_select="Delivery",list_titles_delivery,list_titles_non_delivery)</formula1>
    </dataValidation>
    <dataValidation type="list" allowBlank="1" showInputMessage="1" showErrorMessage="1" sqref="H13 H15:H19 H22:H39">
      <formula1>list_project_tracks</formula1>
    </dataValidation>
    <dataValidation type="list" allowBlank="1" showInputMessage="1" showErrorMessage="1" sqref="F13 F15:F19 F22:F39">
      <formula1>OFFSET(data_rolename_title_location,MATCH($E13,list_title_for_mapping,0)-1,,COUNTIF(list_title_for_mapping,$E13))</formula1>
    </dataValidation>
    <dataValidation type="list" allowBlank="1" showInputMessage="1" showErrorMessage="1" sqref="G13 G15:G19 G22:G39">
      <formula1>list_Phase</formula1>
    </dataValidation>
    <dataValidation type="list" allowBlank="1" showInputMessage="1" showErrorMessage="1" sqref="I13 I15:I19 I22:I39">
      <formula1>list_Release</formula1>
    </dataValidation>
    <dataValidation type="date" operator="greaterThan" allowBlank="1" showInputMessage="1" showErrorMessage="1" errorTitle="End Date" error="Can't be less than Start Date." sqref="F4:G5">
      <formula1>F1</formula1>
    </dataValidation>
    <dataValidation type="date" operator="greaterThan" allowBlank="1" showInputMessage="1" showErrorMessage="1" errorTitle="End Date" error="Can't be less than Start Date." sqref="F7:G7">
      <formula1>F2</formula1>
    </dataValidation>
  </dataValidations>
  <pageMargins left="0.39370078740157499" right="0.39370078740157499" top="0.59055118110236204" bottom="0.59055118110236204" header="0.196850393700787" footer="0.196850393700787"/>
  <pageSetup scale="34" orientation="portrait" r:id="rId1"/>
  <headerFooter>
    <oddFooter>&amp;L&amp;"Calibri,Regular"&amp;9&amp;D&amp;C&amp;"Calibri,Regular"&amp;9&amp;GSapient Confidential
   &amp;6        Estimation Tool V5.0.0&amp;R&amp;9Page &amp;P</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75" r:id="rId5" name="Button 11">
              <controlPr defaultSize="0" print="0" autoFill="0" autoPict="0" macro="[0]!addNewWeekToStaffingPlan">
                <anchor moveWithCells="1" sizeWithCells="1">
                  <from>
                    <xdr:col>5</xdr:col>
                    <xdr:colOff>238125</xdr:colOff>
                    <xdr:row>4</xdr:row>
                    <xdr:rowOff>28575</xdr:rowOff>
                  </from>
                  <to>
                    <xdr:col>7</xdr:col>
                    <xdr:colOff>28575</xdr:colOff>
                    <xdr:row>6</xdr:row>
                    <xdr:rowOff>152400</xdr:rowOff>
                  </to>
                </anchor>
              </controlPr>
            </control>
          </mc:Choice>
        </mc:AlternateContent>
        <mc:AlternateContent xmlns:mc="http://schemas.openxmlformats.org/markup-compatibility/2006">
          <mc:Choice Requires="x14">
            <control shapeId="11276" r:id="rId6" name="Button 12">
              <controlPr defaultSize="0" print="0" autoFill="0" autoPict="0" macro="[0]!exportStaffingPlanForDealTool">
                <anchor moveWithCells="1" sizeWithCells="1">
                  <from>
                    <xdr:col>5</xdr:col>
                    <xdr:colOff>228600</xdr:colOff>
                    <xdr:row>1</xdr:row>
                    <xdr:rowOff>0</xdr:rowOff>
                  </from>
                  <to>
                    <xdr:col>7</xdr:col>
                    <xdr:colOff>9525</xdr:colOff>
                    <xdr:row>3</xdr:row>
                    <xdr:rowOff>66675</xdr:rowOff>
                  </to>
                </anchor>
              </controlPr>
            </control>
          </mc:Choice>
        </mc:AlternateContent>
        <mc:AlternateContent xmlns:mc="http://schemas.openxmlformats.org/markup-compatibility/2006">
          <mc:Choice Requires="x14">
            <control shapeId="11278" r:id="rId7" name="Button 14">
              <controlPr defaultSize="0" print="0" autoFill="0" autoPict="0" macro="[0]!startDate">
                <anchor moveWithCells="1" sizeWithCells="1">
                  <from>
                    <xdr:col>3</xdr:col>
                    <xdr:colOff>885825</xdr:colOff>
                    <xdr:row>1</xdr:row>
                    <xdr:rowOff>9525</xdr:rowOff>
                  </from>
                  <to>
                    <xdr:col>3</xdr:col>
                    <xdr:colOff>1057275</xdr:colOff>
                    <xdr:row>1</xdr:row>
                    <xdr:rowOff>304800</xdr:rowOff>
                  </to>
                </anchor>
              </controlPr>
            </control>
          </mc:Choice>
        </mc:AlternateContent>
        <mc:AlternateContent xmlns:mc="http://schemas.openxmlformats.org/markup-compatibility/2006">
          <mc:Choice Requires="x14">
            <control shapeId="11279" r:id="rId8" name="Button 15">
              <controlPr defaultSize="0" print="0" autoFill="0" autoPict="0" macro="[0]!endDate">
                <anchor moveWithCells="1" sizeWithCells="1">
                  <from>
                    <xdr:col>3</xdr:col>
                    <xdr:colOff>885825</xdr:colOff>
                    <xdr:row>3</xdr:row>
                    <xdr:rowOff>0</xdr:rowOff>
                  </from>
                  <to>
                    <xdr:col>3</xdr:col>
                    <xdr:colOff>1057275</xdr:colOff>
                    <xdr:row>3</xdr:row>
                    <xdr:rowOff>295275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L54"/>
  <sheetViews>
    <sheetView showGridLines="0" zoomScale="80" zoomScaleNormal="80" workbookViewId="0"/>
  </sheetViews>
  <sheetFormatPr defaultColWidth="8.875" defaultRowHeight="15.75"/>
  <cols>
    <col min="1" max="1" width="1.875" customWidth="1"/>
    <col min="2" max="2" width="11.375" customWidth="1"/>
    <col min="3" max="3" width="13.875" customWidth="1"/>
    <col min="4" max="4" width="15.75" bestFit="1" customWidth="1"/>
    <col min="5" max="5" width="10.875" customWidth="1"/>
    <col min="6" max="6" width="21.5" customWidth="1"/>
    <col min="7" max="7" width="9.375" customWidth="1"/>
    <col min="8" max="8" width="34.5" customWidth="1"/>
    <col min="9" max="10" width="9.375" customWidth="1"/>
    <col min="11" max="11" width="28.125" customWidth="1"/>
    <col min="12" max="12" width="25" customWidth="1"/>
    <col min="13" max="13" width="1.875" customWidth="1"/>
    <col min="14" max="17" width="8.125" customWidth="1"/>
    <col min="18" max="18" width="1.875" customWidth="1"/>
  </cols>
  <sheetData>
    <row r="1" spans="1:12" ht="2.25" customHeight="1"/>
    <row r="2" spans="1:12" ht="49.5" customHeight="1">
      <c r="B2" s="278" t="s">
        <v>27</v>
      </c>
      <c r="C2" s="273" t="str">
        <f>project_headline</f>
        <v>PG&amp;E - CRs | Estimation</v>
      </c>
      <c r="D2" s="279"/>
      <c r="G2" s="10"/>
      <c r="H2" s="589" t="s">
        <v>822</v>
      </c>
      <c r="I2" s="592"/>
      <c r="J2" s="126">
        <f>SUM(J5:J47)</f>
        <v>10</v>
      </c>
    </row>
    <row r="3" spans="1:12" ht="9" customHeight="1">
      <c r="B3" s="2"/>
      <c r="C3" s="2"/>
    </row>
    <row r="4" spans="1:12" ht="31.5" customHeight="1">
      <c r="A4" s="48"/>
      <c r="B4" s="95" t="s">
        <v>28</v>
      </c>
      <c r="C4" s="290" t="s">
        <v>1177</v>
      </c>
      <c r="D4" s="63" t="s">
        <v>29</v>
      </c>
      <c r="E4" s="288" t="s">
        <v>532</v>
      </c>
      <c r="F4" s="63" t="s">
        <v>31</v>
      </c>
      <c r="G4" s="63" t="s">
        <v>30</v>
      </c>
      <c r="H4" s="63" t="s">
        <v>32</v>
      </c>
      <c r="I4" s="63" t="s">
        <v>33</v>
      </c>
      <c r="J4" s="63" t="s">
        <v>35</v>
      </c>
      <c r="K4" s="125" t="s">
        <v>34</v>
      </c>
    </row>
    <row r="5" spans="1:12" ht="30.75" customHeight="1">
      <c r="A5" s="115"/>
      <c r="B5" s="114"/>
      <c r="C5" s="114" t="s">
        <v>1386</v>
      </c>
      <c r="D5" s="82" t="s">
        <v>1462</v>
      </c>
      <c r="E5" s="82" t="s">
        <v>17</v>
      </c>
      <c r="F5" s="83" t="s">
        <v>1931</v>
      </c>
      <c r="G5" s="104">
        <v>3</v>
      </c>
      <c r="H5" s="83"/>
      <c r="I5" s="85">
        <v>1</v>
      </c>
      <c r="J5" s="79">
        <f>I5*(IF(ISNUMBER(G5),G5,1))</f>
        <v>3</v>
      </c>
      <c r="K5" s="80"/>
      <c r="L5" s="5"/>
    </row>
    <row r="6" spans="1:12" s="390" customFormat="1" ht="15.75" customHeight="1">
      <c r="A6" s="119"/>
      <c r="B6" s="114"/>
      <c r="C6" s="114" t="s">
        <v>1386</v>
      </c>
      <c r="D6" s="82" t="s">
        <v>1482</v>
      </c>
      <c r="E6" s="82" t="s">
        <v>17</v>
      </c>
      <c r="F6" s="83" t="s">
        <v>1931</v>
      </c>
      <c r="G6" s="87">
        <v>4</v>
      </c>
      <c r="H6" s="69"/>
      <c r="I6" s="84">
        <v>1</v>
      </c>
      <c r="J6" s="74">
        <f>I6*(IF(ISNUMBER(G6),G6,1))</f>
        <v>4</v>
      </c>
      <c r="K6" s="80"/>
      <c r="L6" s="5"/>
    </row>
    <row r="7" spans="1:12" s="390" customFormat="1" ht="15.75" customHeight="1">
      <c r="A7" s="119"/>
      <c r="B7" s="114"/>
      <c r="C7" s="114" t="s">
        <v>1386</v>
      </c>
      <c r="D7" s="82" t="s">
        <v>1487</v>
      </c>
      <c r="E7" s="82" t="s">
        <v>17</v>
      </c>
      <c r="F7" s="83" t="s">
        <v>1931</v>
      </c>
      <c r="G7" s="87">
        <v>3</v>
      </c>
      <c r="H7" s="69"/>
      <c r="I7" s="84">
        <v>1</v>
      </c>
      <c r="J7" s="74">
        <f>I7*(IF(ISNUMBER(G7),G7,1))</f>
        <v>3</v>
      </c>
      <c r="K7" s="80"/>
      <c r="L7" s="5"/>
    </row>
    <row r="8" spans="1:12" s="390" customFormat="1" ht="15.75" customHeight="1">
      <c r="A8" s="119"/>
      <c r="B8" s="114"/>
      <c r="C8" s="114"/>
      <c r="D8" s="82"/>
      <c r="E8" s="131"/>
      <c r="F8" s="83"/>
      <c r="G8" s="104"/>
      <c r="H8" s="83"/>
      <c r="I8" s="84"/>
      <c r="J8" s="74">
        <f>I8*(IF(ISNUMBER(G8),G8,1))</f>
        <v>0</v>
      </c>
      <c r="K8" s="80"/>
      <c r="L8" s="5"/>
    </row>
    <row r="9" spans="1:12" s="390" customFormat="1" ht="15.75" customHeight="1">
      <c r="A9" s="119"/>
      <c r="B9" s="114"/>
      <c r="C9" s="114"/>
      <c r="D9" s="82"/>
      <c r="E9" s="131"/>
      <c r="F9" s="107"/>
      <c r="G9" s="87"/>
      <c r="H9" s="69"/>
      <c r="I9" s="84"/>
      <c r="J9" s="74">
        <f t="shared" ref="J9:J13" si="0">I9*(IF(ISNUMBER(G9),G9,1))</f>
        <v>0</v>
      </c>
      <c r="K9" s="80"/>
      <c r="L9" s="5"/>
    </row>
    <row r="10" spans="1:12" s="390" customFormat="1" ht="15.75" customHeight="1">
      <c r="A10" s="119"/>
      <c r="B10" s="114"/>
      <c r="C10" s="114"/>
      <c r="D10" s="82"/>
      <c r="E10" s="131"/>
      <c r="F10" s="107"/>
      <c r="G10" s="87"/>
      <c r="H10" s="69"/>
      <c r="I10" s="84"/>
      <c r="J10" s="74">
        <f t="shared" si="0"/>
        <v>0</v>
      </c>
      <c r="K10" s="80"/>
      <c r="L10" s="5"/>
    </row>
    <row r="11" spans="1:12" s="390" customFormat="1" ht="15.75" customHeight="1">
      <c r="A11" s="119"/>
      <c r="B11" s="114"/>
      <c r="C11" s="114"/>
      <c r="D11" s="82"/>
      <c r="E11" s="131"/>
      <c r="F11" s="83"/>
      <c r="G11" s="104"/>
      <c r="H11" s="65"/>
      <c r="I11" s="84"/>
      <c r="J11" s="74">
        <f t="shared" si="0"/>
        <v>0</v>
      </c>
      <c r="K11" s="80"/>
      <c r="L11" s="5"/>
    </row>
    <row r="12" spans="1:12" s="390" customFormat="1" ht="15.75" customHeight="1">
      <c r="A12" s="119"/>
      <c r="B12" s="114"/>
      <c r="C12" s="114"/>
      <c r="D12" s="82"/>
      <c r="E12" s="131"/>
      <c r="F12" s="107"/>
      <c r="G12" s="87"/>
      <c r="H12" s="69"/>
      <c r="I12" s="84"/>
      <c r="J12" s="74">
        <f t="shared" si="0"/>
        <v>0</v>
      </c>
      <c r="K12" s="80"/>
      <c r="L12" s="5"/>
    </row>
    <row r="13" spans="1:12" s="390" customFormat="1" ht="15.75" customHeight="1">
      <c r="A13" s="119"/>
      <c r="B13" s="114"/>
      <c r="C13" s="114"/>
      <c r="D13" s="82"/>
      <c r="E13" s="131"/>
      <c r="F13" s="107"/>
      <c r="G13" s="87"/>
      <c r="H13" s="83"/>
      <c r="I13" s="84"/>
      <c r="J13" s="74">
        <f t="shared" si="0"/>
        <v>0</v>
      </c>
      <c r="K13" s="80"/>
      <c r="L13" s="5"/>
    </row>
    <row r="14" spans="1:12">
      <c r="A14" s="115"/>
      <c r="B14" s="112"/>
      <c r="C14" s="112"/>
      <c r="D14" s="82"/>
      <c r="E14" s="127"/>
      <c r="F14" s="83"/>
      <c r="G14" s="87"/>
      <c r="H14" s="69"/>
      <c r="I14" s="71"/>
      <c r="J14" s="74">
        <f t="shared" ref="J14:J35" si="1">I14*(IF(ISNUMBER(G14),G14,1))</f>
        <v>0</v>
      </c>
      <c r="K14" s="75"/>
      <c r="L14" s="5"/>
    </row>
    <row r="15" spans="1:12">
      <c r="A15" s="115"/>
      <c r="B15" s="112"/>
      <c r="C15" s="112"/>
      <c r="D15" s="82"/>
      <c r="E15" s="127"/>
      <c r="F15" s="107"/>
      <c r="G15" s="87"/>
      <c r="H15" s="69"/>
      <c r="I15" s="70"/>
      <c r="J15" s="108">
        <f t="shared" si="1"/>
        <v>0</v>
      </c>
      <c r="K15" s="109"/>
      <c r="L15" s="5"/>
    </row>
    <row r="16" spans="1:12" s="390" customFormat="1" ht="15.75" customHeight="1">
      <c r="A16" s="119"/>
      <c r="B16" s="112"/>
      <c r="C16" s="114"/>
      <c r="D16" s="82"/>
      <c r="E16" s="131"/>
      <c r="F16" s="83"/>
      <c r="G16" s="104"/>
      <c r="H16" s="69"/>
      <c r="I16" s="84"/>
      <c r="J16" s="74">
        <f t="shared" si="1"/>
        <v>0</v>
      </c>
      <c r="K16" s="80"/>
      <c r="L16" s="5"/>
    </row>
    <row r="17" spans="1:12" s="390" customFormat="1" ht="15.75" customHeight="1">
      <c r="A17" s="119"/>
      <c r="B17" s="112"/>
      <c r="C17" s="114"/>
      <c r="D17" s="82"/>
      <c r="E17" s="131"/>
      <c r="F17" s="107"/>
      <c r="G17" s="104"/>
      <c r="H17" s="69"/>
      <c r="I17" s="84"/>
      <c r="J17" s="74">
        <f t="shared" si="1"/>
        <v>0</v>
      </c>
      <c r="K17" s="80"/>
      <c r="L17" s="5"/>
    </row>
    <row r="18" spans="1:12" s="390" customFormat="1" ht="15.75" customHeight="1">
      <c r="A18" s="119"/>
      <c r="B18" s="112"/>
      <c r="C18" s="114"/>
      <c r="D18" s="82"/>
      <c r="E18" s="131"/>
      <c r="F18" s="107"/>
      <c r="G18" s="104"/>
      <c r="H18" s="69"/>
      <c r="I18" s="84"/>
      <c r="J18" s="74">
        <f t="shared" si="1"/>
        <v>0</v>
      </c>
      <c r="K18" s="80"/>
      <c r="L18" s="5"/>
    </row>
    <row r="19" spans="1:12" s="390" customFormat="1" ht="15.75" customHeight="1">
      <c r="A19" s="119"/>
      <c r="B19" s="112"/>
      <c r="C19" s="112"/>
      <c r="D19" s="82"/>
      <c r="E19" s="131"/>
      <c r="F19" s="107"/>
      <c r="G19" s="104"/>
      <c r="H19" s="69"/>
      <c r="I19" s="84"/>
      <c r="J19" s="74">
        <f t="shared" si="1"/>
        <v>0</v>
      </c>
      <c r="K19" s="80"/>
      <c r="L19" s="5"/>
    </row>
    <row r="20" spans="1:12" s="390" customFormat="1" ht="15.75" customHeight="1">
      <c r="A20" s="119"/>
      <c r="B20" s="112"/>
      <c r="C20" s="114"/>
      <c r="D20" s="82"/>
      <c r="E20" s="131"/>
      <c r="F20" s="83"/>
      <c r="G20" s="104"/>
      <c r="H20" s="69"/>
      <c r="I20" s="84"/>
      <c r="J20" s="74">
        <f t="shared" si="1"/>
        <v>0</v>
      </c>
      <c r="K20" s="80"/>
      <c r="L20" s="5"/>
    </row>
    <row r="21" spans="1:12" s="390" customFormat="1" ht="15.75" customHeight="1">
      <c r="A21" s="119"/>
      <c r="B21" s="112"/>
      <c r="C21" s="114"/>
      <c r="D21" s="82"/>
      <c r="E21" s="131"/>
      <c r="F21" s="107"/>
      <c r="G21" s="104"/>
      <c r="H21" s="69"/>
      <c r="I21" s="84"/>
      <c r="J21" s="74">
        <f t="shared" si="1"/>
        <v>0</v>
      </c>
      <c r="K21" s="80"/>
      <c r="L21" s="5"/>
    </row>
    <row r="22" spans="1:12" s="390" customFormat="1" ht="15.75" customHeight="1">
      <c r="A22" s="119"/>
      <c r="B22" s="112"/>
      <c r="C22" s="114"/>
      <c r="D22" s="82"/>
      <c r="E22" s="131"/>
      <c r="F22" s="107"/>
      <c r="G22" s="104"/>
      <c r="H22" s="69"/>
      <c r="I22" s="84"/>
      <c r="J22" s="74">
        <f t="shared" si="1"/>
        <v>0</v>
      </c>
      <c r="K22" s="80"/>
      <c r="L22" s="5"/>
    </row>
    <row r="23" spans="1:12" s="390" customFormat="1" ht="15.75" customHeight="1">
      <c r="A23" s="119"/>
      <c r="B23" s="112"/>
      <c r="C23" s="114"/>
      <c r="D23" s="82"/>
      <c r="E23" s="131"/>
      <c r="F23" s="83"/>
      <c r="G23" s="104"/>
      <c r="H23" s="69"/>
      <c r="I23" s="84"/>
      <c r="J23" s="74">
        <f t="shared" ref="J23:J25" si="2">I23*(IF(ISNUMBER(G23),G23,1))</f>
        <v>0</v>
      </c>
      <c r="K23" s="80"/>
      <c r="L23" s="5"/>
    </row>
    <row r="24" spans="1:12" s="390" customFormat="1" ht="15.75" customHeight="1">
      <c r="A24" s="119"/>
      <c r="B24" s="112"/>
      <c r="C24" s="114"/>
      <c r="D24" s="82"/>
      <c r="E24" s="131"/>
      <c r="F24" s="107"/>
      <c r="G24" s="104"/>
      <c r="H24" s="69"/>
      <c r="I24" s="84"/>
      <c r="J24" s="74">
        <f t="shared" si="2"/>
        <v>0</v>
      </c>
      <c r="K24" s="80"/>
      <c r="L24" s="5"/>
    </row>
    <row r="25" spans="1:12" s="390" customFormat="1" ht="15.75" customHeight="1">
      <c r="A25" s="119"/>
      <c r="B25" s="112"/>
      <c r="C25" s="114"/>
      <c r="D25" s="82"/>
      <c r="E25" s="131"/>
      <c r="F25" s="107"/>
      <c r="G25" s="104"/>
      <c r="H25" s="69"/>
      <c r="I25" s="84"/>
      <c r="J25" s="74">
        <f t="shared" si="2"/>
        <v>0</v>
      </c>
      <c r="K25" s="80"/>
      <c r="L25" s="5"/>
    </row>
    <row r="26" spans="1:12" s="390" customFormat="1">
      <c r="A26" s="115"/>
      <c r="B26" s="113"/>
      <c r="C26" s="112"/>
      <c r="D26" s="64"/>
      <c r="E26" s="128"/>
      <c r="F26" s="107"/>
      <c r="G26" s="100"/>
      <c r="H26" s="69"/>
      <c r="I26" s="66"/>
      <c r="J26" s="101">
        <f t="shared" si="1"/>
        <v>0</v>
      </c>
      <c r="K26" s="102"/>
      <c r="L26" s="5"/>
    </row>
    <row r="27" spans="1:12" s="390" customFormat="1">
      <c r="A27" s="115"/>
      <c r="B27" s="113"/>
      <c r="C27" s="112"/>
      <c r="D27" s="64"/>
      <c r="E27" s="128"/>
      <c r="F27" s="107"/>
      <c r="G27" s="100"/>
      <c r="H27" s="69"/>
      <c r="I27" s="66"/>
      <c r="J27" s="454">
        <f t="shared" si="1"/>
        <v>0</v>
      </c>
      <c r="K27" s="452"/>
      <c r="L27" s="5"/>
    </row>
    <row r="28" spans="1:12" s="390" customFormat="1" ht="15.75" customHeight="1">
      <c r="A28" s="119"/>
      <c r="B28" s="114"/>
      <c r="C28" s="114"/>
      <c r="D28" s="82"/>
      <c r="E28" s="131"/>
      <c r="F28" s="103"/>
      <c r="G28" s="104"/>
      <c r="H28" s="69"/>
      <c r="I28" s="84"/>
      <c r="J28" s="74">
        <f t="shared" si="1"/>
        <v>0</v>
      </c>
      <c r="K28" s="80"/>
      <c r="L28" s="5"/>
    </row>
    <row r="29" spans="1:12">
      <c r="A29" s="115"/>
      <c r="B29" s="112"/>
      <c r="C29" s="112"/>
      <c r="D29" s="68"/>
      <c r="E29" s="127"/>
      <c r="F29" s="107"/>
      <c r="G29" s="87"/>
      <c r="H29" s="69"/>
      <c r="I29" s="70"/>
      <c r="J29" s="108">
        <f t="shared" si="1"/>
        <v>0</v>
      </c>
      <c r="K29" s="109"/>
      <c r="L29" s="5"/>
    </row>
    <row r="30" spans="1:12">
      <c r="A30" s="115"/>
      <c r="B30" s="114"/>
      <c r="C30" s="112"/>
      <c r="D30" s="82"/>
      <c r="E30" s="131"/>
      <c r="F30" s="107"/>
      <c r="G30" s="104"/>
      <c r="H30" s="69"/>
      <c r="I30" s="84"/>
      <c r="J30" s="105">
        <f t="shared" si="1"/>
        <v>0</v>
      </c>
      <c r="K30" s="106"/>
      <c r="L30" s="5"/>
    </row>
    <row r="31" spans="1:12">
      <c r="A31" s="115"/>
      <c r="B31" s="113"/>
      <c r="C31" s="112"/>
      <c r="D31" s="64"/>
      <c r="E31" s="128"/>
      <c r="F31" s="107"/>
      <c r="G31" s="100"/>
      <c r="H31" s="69"/>
      <c r="I31" s="66"/>
      <c r="J31" s="101">
        <f t="shared" si="1"/>
        <v>0</v>
      </c>
      <c r="K31" s="102"/>
      <c r="L31" s="5"/>
    </row>
    <row r="32" spans="1:12">
      <c r="A32" s="115"/>
      <c r="B32" s="112"/>
      <c r="C32" s="112"/>
      <c r="D32" s="68"/>
      <c r="E32" s="127"/>
      <c r="F32" s="107"/>
      <c r="G32" s="87"/>
      <c r="H32" s="69"/>
      <c r="I32" s="70"/>
      <c r="J32" s="108">
        <f t="shared" si="1"/>
        <v>0</v>
      </c>
      <c r="K32" s="109"/>
      <c r="L32" s="5"/>
    </row>
    <row r="33" spans="1:12">
      <c r="A33" s="116"/>
      <c r="B33" s="114"/>
      <c r="C33" s="112"/>
      <c r="D33" s="82"/>
      <c r="E33" s="131"/>
      <c r="F33" s="107"/>
      <c r="G33" s="104"/>
      <c r="H33" s="69"/>
      <c r="I33" s="84"/>
      <c r="J33" s="105">
        <f t="shared" si="1"/>
        <v>0</v>
      </c>
      <c r="K33" s="106"/>
      <c r="L33" s="5"/>
    </row>
    <row r="34" spans="1:12">
      <c r="A34" s="116"/>
      <c r="B34" s="114"/>
      <c r="C34" s="112"/>
      <c r="D34" s="82"/>
      <c r="E34" s="131"/>
      <c r="F34" s="107"/>
      <c r="G34" s="104"/>
      <c r="H34" s="69"/>
      <c r="I34" s="84"/>
      <c r="J34" s="105">
        <f t="shared" si="1"/>
        <v>0</v>
      </c>
      <c r="K34" s="106"/>
      <c r="L34" s="5"/>
    </row>
    <row r="35" spans="1:12">
      <c r="A35" s="116"/>
      <c r="B35" s="114"/>
      <c r="C35" s="112"/>
      <c r="D35" s="82"/>
      <c r="E35" s="131"/>
      <c r="F35" s="107"/>
      <c r="G35" s="104"/>
      <c r="H35" s="69"/>
      <c r="I35" s="84"/>
      <c r="J35" s="105">
        <f t="shared" si="1"/>
        <v>0</v>
      </c>
      <c r="K35" s="106"/>
      <c r="L35" s="5"/>
    </row>
    <row r="36" spans="1:12" s="390" customFormat="1">
      <c r="A36" s="116"/>
      <c r="B36" s="114"/>
      <c r="C36" s="112"/>
      <c r="D36" s="82"/>
      <c r="E36" s="131"/>
      <c r="F36" s="103"/>
      <c r="G36" s="104"/>
      <c r="H36" s="83"/>
      <c r="I36" s="84"/>
      <c r="J36" s="105"/>
      <c r="K36" s="106"/>
      <c r="L36" s="5"/>
    </row>
    <row r="37" spans="1:12" s="390" customFormat="1">
      <c r="A37" s="115"/>
      <c r="B37" s="112"/>
      <c r="C37" s="112"/>
      <c r="D37" s="82"/>
      <c r="E37" s="131"/>
      <c r="F37" s="103"/>
      <c r="G37" s="104"/>
      <c r="H37" s="69"/>
      <c r="I37" s="70"/>
      <c r="J37" s="108">
        <f t="shared" ref="J37:J47" si="3">I37*(IF(ISNUMBER(G37),G37,1))</f>
        <v>0</v>
      </c>
      <c r="K37" s="109"/>
      <c r="L37" s="5"/>
    </row>
    <row r="38" spans="1:12" s="390" customFormat="1">
      <c r="A38" s="115"/>
      <c r="B38" s="114"/>
      <c r="C38" s="112"/>
      <c r="D38" s="82"/>
      <c r="E38" s="131"/>
      <c r="F38" s="107"/>
      <c r="G38" s="104"/>
      <c r="H38" s="69"/>
      <c r="I38" s="84"/>
      <c r="J38" s="105">
        <f t="shared" si="3"/>
        <v>0</v>
      </c>
      <c r="K38" s="106"/>
      <c r="L38" s="5"/>
    </row>
    <row r="39" spans="1:12" s="390" customFormat="1">
      <c r="A39" s="115"/>
      <c r="B39" s="113"/>
      <c r="C39" s="112"/>
      <c r="D39" s="64"/>
      <c r="E39" s="128"/>
      <c r="F39" s="107"/>
      <c r="G39" s="100"/>
      <c r="H39" s="69"/>
      <c r="I39" s="66"/>
      <c r="J39" s="101">
        <f t="shared" si="3"/>
        <v>0</v>
      </c>
      <c r="K39" s="102"/>
      <c r="L39" s="5"/>
    </row>
    <row r="40" spans="1:12" s="390" customFormat="1">
      <c r="A40" s="115"/>
      <c r="B40" s="112"/>
      <c r="C40" s="112"/>
      <c r="D40" s="68"/>
      <c r="E40" s="127"/>
      <c r="F40" s="107"/>
      <c r="G40" s="87"/>
      <c r="H40" s="69"/>
      <c r="I40" s="70"/>
      <c r="J40" s="108">
        <f t="shared" si="3"/>
        <v>0</v>
      </c>
      <c r="K40" s="109"/>
      <c r="L40" s="5"/>
    </row>
    <row r="41" spans="1:12" s="390" customFormat="1">
      <c r="A41" s="116"/>
      <c r="B41" s="114"/>
      <c r="C41" s="112"/>
      <c r="D41" s="82"/>
      <c r="E41" s="131"/>
      <c r="F41" s="103"/>
      <c r="G41" s="104"/>
      <c r="H41" s="69"/>
      <c r="I41" s="84"/>
      <c r="J41" s="105">
        <f t="shared" si="3"/>
        <v>0</v>
      </c>
      <c r="K41" s="106"/>
      <c r="L41" s="5"/>
    </row>
    <row r="42" spans="1:12" s="390" customFormat="1">
      <c r="A42" s="116"/>
      <c r="B42" s="114"/>
      <c r="C42" s="112"/>
      <c r="D42" s="82"/>
      <c r="E42" s="131"/>
      <c r="F42" s="103"/>
      <c r="G42" s="104"/>
      <c r="H42" s="69"/>
      <c r="I42" s="84"/>
      <c r="J42" s="105">
        <f t="shared" si="3"/>
        <v>0</v>
      </c>
      <c r="K42" s="106"/>
      <c r="L42" s="5"/>
    </row>
    <row r="43" spans="1:12" s="390" customFormat="1">
      <c r="A43" s="116"/>
      <c r="B43" s="114"/>
      <c r="C43" s="112"/>
      <c r="D43" s="82"/>
      <c r="E43" s="131"/>
      <c r="F43" s="103"/>
      <c r="G43" s="104"/>
      <c r="H43" s="69"/>
      <c r="I43" s="84"/>
      <c r="J43" s="105">
        <f t="shared" si="3"/>
        <v>0</v>
      </c>
      <c r="K43" s="106"/>
      <c r="L43" s="5"/>
    </row>
    <row r="44" spans="1:12" s="390" customFormat="1">
      <c r="A44" s="116"/>
      <c r="B44" s="114"/>
      <c r="C44" s="112"/>
      <c r="D44" s="82"/>
      <c r="E44" s="131"/>
      <c r="F44" s="103"/>
      <c r="G44" s="104"/>
      <c r="H44" s="69"/>
      <c r="I44" s="84"/>
      <c r="J44" s="105">
        <f t="shared" si="3"/>
        <v>0</v>
      </c>
      <c r="K44" s="106"/>
      <c r="L44" s="5"/>
    </row>
    <row r="45" spans="1:12">
      <c r="A45" s="116"/>
      <c r="B45" s="114"/>
      <c r="C45" s="114"/>
      <c r="D45" s="82"/>
      <c r="E45" s="131"/>
      <c r="F45" s="103"/>
      <c r="G45" s="104"/>
      <c r="H45" s="83"/>
      <c r="I45" s="84"/>
      <c r="J45" s="105">
        <f t="shared" si="3"/>
        <v>0</v>
      </c>
      <c r="K45" s="106"/>
      <c r="L45" s="5"/>
    </row>
    <row r="46" spans="1:12">
      <c r="A46" s="117"/>
      <c r="B46" s="114"/>
      <c r="C46" s="114"/>
      <c r="D46" s="82"/>
      <c r="E46" s="131"/>
      <c r="F46" s="103"/>
      <c r="G46" s="104"/>
      <c r="H46" s="83"/>
      <c r="I46" s="84"/>
      <c r="J46" s="105">
        <f t="shared" si="3"/>
        <v>0</v>
      </c>
      <c r="K46" s="106"/>
    </row>
    <row r="47" spans="1:12" ht="3" customHeight="1">
      <c r="A47" s="119" t="s">
        <v>38</v>
      </c>
      <c r="B47" s="114"/>
      <c r="C47" s="114" t="s">
        <v>17</v>
      </c>
      <c r="D47" s="82"/>
      <c r="E47" s="131" t="s">
        <v>17</v>
      </c>
      <c r="F47" s="103"/>
      <c r="G47" s="104"/>
      <c r="H47" s="69"/>
      <c r="I47" s="84"/>
      <c r="J47" s="74">
        <f t="shared" si="3"/>
        <v>0</v>
      </c>
      <c r="K47" s="80"/>
      <c r="L47" s="5"/>
    </row>
    <row r="48" spans="1:12" ht="3" customHeight="1">
      <c r="A48" s="22"/>
      <c r="B48" s="98"/>
      <c r="C48" s="289"/>
      <c r="D48" s="120"/>
      <c r="E48" s="289"/>
      <c r="F48" s="99"/>
      <c r="G48" s="121"/>
      <c r="H48" s="122"/>
      <c r="I48" s="124"/>
      <c r="J48" s="123"/>
      <c r="K48" s="118"/>
      <c r="L48" s="5"/>
    </row>
    <row r="49" spans="1:12">
      <c r="A49" s="22"/>
      <c r="B49" s="5"/>
      <c r="C49" s="5"/>
      <c r="D49" s="5"/>
      <c r="E49" s="5"/>
      <c r="F49" s="5"/>
      <c r="G49" s="5"/>
      <c r="H49" s="5"/>
      <c r="I49" s="5"/>
      <c r="J49" s="5"/>
      <c r="K49" s="5"/>
      <c r="L49" s="5"/>
    </row>
    <row r="50" spans="1:12">
      <c r="A50" s="22"/>
      <c r="B50" s="5"/>
      <c r="C50" s="5"/>
      <c r="D50" s="5"/>
      <c r="E50" s="5"/>
      <c r="F50" s="5"/>
      <c r="G50" s="5"/>
      <c r="H50" s="5"/>
      <c r="I50" s="5"/>
      <c r="J50" s="5"/>
      <c r="K50" s="5"/>
      <c r="L50" s="5"/>
    </row>
    <row r="51" spans="1:12">
      <c r="A51" s="22"/>
      <c r="B51" s="5"/>
      <c r="C51" s="5"/>
      <c r="D51" s="5"/>
      <c r="E51" s="5"/>
      <c r="F51" s="5"/>
      <c r="G51" s="5"/>
      <c r="H51" s="5"/>
      <c r="I51" s="5"/>
      <c r="J51" s="5"/>
      <c r="K51" s="5"/>
      <c r="L51" s="5"/>
    </row>
    <row r="52" spans="1:12">
      <c r="B52" s="5"/>
      <c r="C52" s="5"/>
      <c r="D52" s="5"/>
      <c r="E52" s="5"/>
      <c r="F52" s="5"/>
      <c r="G52" s="5"/>
      <c r="H52" s="5"/>
      <c r="I52" s="5"/>
      <c r="J52" s="5"/>
      <c r="K52" s="5"/>
      <c r="L52" s="5"/>
    </row>
    <row r="53" spans="1:12">
      <c r="B53" s="5"/>
      <c r="C53" s="5"/>
      <c r="D53" s="5"/>
      <c r="E53" s="5"/>
      <c r="F53" s="5"/>
      <c r="G53" s="5"/>
      <c r="H53" s="5"/>
      <c r="I53" s="5"/>
      <c r="J53" s="5"/>
      <c r="K53" s="5"/>
      <c r="L53" s="5"/>
    </row>
    <row r="54" spans="1:12">
      <c r="B54" s="5"/>
      <c r="C54" s="5"/>
      <c r="D54" s="5"/>
      <c r="E54" s="5"/>
      <c r="F54" s="5"/>
      <c r="G54" s="5"/>
      <c r="H54" s="5"/>
      <c r="I54" s="5"/>
      <c r="J54" s="5"/>
      <c r="K54" s="5"/>
      <c r="L54" s="5"/>
    </row>
  </sheetData>
  <autoFilter ref="B4:K35"/>
  <dataConsolidate link="1"/>
  <mergeCells count="1">
    <mergeCell ref="H2:I2"/>
  </mergeCells>
  <dataValidations count="3">
    <dataValidation type="list" allowBlank="1" showInputMessage="1" showErrorMessage="1" sqref="D5:D47">
      <formula1>list_project_tracks</formula1>
    </dataValidation>
    <dataValidation type="list" allowBlank="1" showInputMessage="1" showErrorMessage="1" sqref="C5:C47">
      <formula1>list_Phase</formula1>
    </dataValidation>
    <dataValidation type="list" allowBlank="1" showInputMessage="1" showErrorMessage="1" sqref="E5:E47">
      <formula1>list_Release</formula1>
    </dataValidation>
  </dataValidations>
  <pageMargins left="0.39370078740157499" right="0.39370078740157499" top="0.59055118110236204" bottom="0.59055118110236204" header="0.196850393700787" footer="0.196850393700787"/>
  <pageSetup scale="52" orientation="portrait"/>
  <headerFooter>
    <oddFooter>&amp;L&amp;"Calibri,Regular"&amp;9&amp;D&amp;C&amp;"Calibri,Regular"&amp;9&amp;GSapient Confidential
        &amp;6   Estimation Tool V5.0.0&amp;R&amp;"Calibri,Regular"&amp;9Page &amp;P</oddFooter>
  </headerFooter>
  <drawing r:id="rId1"/>
  <legacyDrawing r:id="rId2"/>
  <legacyDrawingHF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L24"/>
  <sheetViews>
    <sheetView showGridLines="0" zoomScale="90" zoomScaleNormal="90" workbookViewId="0"/>
  </sheetViews>
  <sheetFormatPr defaultColWidth="8.875" defaultRowHeight="15.75"/>
  <cols>
    <col min="1" max="1" width="1.875" customWidth="1"/>
    <col min="2" max="2" width="12.5" customWidth="1"/>
    <col min="3" max="3" width="12" customWidth="1"/>
    <col min="4" max="4" width="21.5" bestFit="1" customWidth="1"/>
    <col min="5" max="5" width="8.625" customWidth="1"/>
    <col min="6" max="6" width="40.5" customWidth="1"/>
    <col min="7" max="7" width="9.375" customWidth="1"/>
    <col min="8" max="8" width="21.875" customWidth="1"/>
    <col min="9" max="9" width="12.125" customWidth="1"/>
    <col min="10" max="10" width="18.625" customWidth="1"/>
    <col min="11" max="11" width="28" customWidth="1"/>
    <col min="12" max="12" width="25" customWidth="1"/>
    <col min="13" max="13" width="1.875" customWidth="1"/>
    <col min="14" max="17" width="8.125" customWidth="1"/>
    <col min="18" max="18" width="1.875" customWidth="1"/>
  </cols>
  <sheetData>
    <row r="1" spans="1:12" ht="2.25" customHeight="1"/>
    <row r="2" spans="1:12" ht="49.5" customHeight="1">
      <c r="B2" s="272" t="s">
        <v>39</v>
      </c>
      <c r="D2" s="273" t="str">
        <f>project_headline</f>
        <v>PG&amp;E - CRs | Estimation</v>
      </c>
      <c r="E2" s="280"/>
      <c r="G2" s="10"/>
      <c r="I2" s="593" t="s">
        <v>821</v>
      </c>
      <c r="J2" s="594"/>
    </row>
    <row r="3" spans="1:12" ht="15" customHeight="1">
      <c r="B3" s="10"/>
      <c r="C3" s="10"/>
      <c r="D3" s="10"/>
      <c r="E3" s="10"/>
      <c r="F3" s="10"/>
      <c r="G3" s="10"/>
      <c r="I3" s="134" t="s">
        <v>45</v>
      </c>
      <c r="J3" s="135" t="s">
        <v>46</v>
      </c>
    </row>
    <row r="4" spans="1:12" ht="13.5" customHeight="1">
      <c r="B4" s="10"/>
      <c r="C4" s="10"/>
      <c r="D4" s="10"/>
      <c r="E4" s="10"/>
      <c r="F4" s="10"/>
      <c r="G4" s="10"/>
      <c r="I4" s="132">
        <f>SUM(H7:H17)</f>
        <v>0</v>
      </c>
      <c r="J4" s="133">
        <f>SUM(J7:J17)</f>
        <v>0</v>
      </c>
    </row>
    <row r="5" spans="1:12" ht="9" customHeight="1"/>
    <row r="6" spans="1:12" ht="41.25" customHeight="1">
      <c r="B6" s="95" t="s">
        <v>28</v>
      </c>
      <c r="C6" s="290" t="s">
        <v>1177</v>
      </c>
      <c r="D6" s="63" t="s">
        <v>29</v>
      </c>
      <c r="E6" s="288" t="s">
        <v>532</v>
      </c>
      <c r="F6" s="63" t="s">
        <v>40</v>
      </c>
      <c r="G6" s="63" t="s">
        <v>30</v>
      </c>
      <c r="H6" s="63" t="s">
        <v>41</v>
      </c>
      <c r="I6" s="63" t="s">
        <v>42</v>
      </c>
      <c r="J6" s="63" t="s">
        <v>43</v>
      </c>
      <c r="K6" s="61" t="s">
        <v>44</v>
      </c>
    </row>
    <row r="7" spans="1:12">
      <c r="A7" s="115"/>
      <c r="B7" s="114"/>
      <c r="C7" s="114"/>
      <c r="D7" s="82"/>
      <c r="E7" s="82"/>
      <c r="F7" s="83"/>
      <c r="G7" s="104"/>
      <c r="H7" s="396"/>
      <c r="I7" s="130"/>
      <c r="J7" s="79">
        <f>H7*I7*(IF(ISNUMBER(G7),G7,1))</f>
        <v>0</v>
      </c>
      <c r="K7" s="137"/>
      <c r="L7" s="5"/>
    </row>
    <row r="8" spans="1:12">
      <c r="A8" s="115"/>
      <c r="B8" s="112"/>
      <c r="C8" s="114"/>
      <c r="D8" s="82"/>
      <c r="E8" s="127"/>
      <c r="F8" s="83"/>
      <c r="G8" s="87"/>
      <c r="H8" s="397"/>
      <c r="I8" s="129"/>
      <c r="J8" s="74">
        <f>H8*I8*(IF(ISNUMBER(G8),G8,1))</f>
        <v>0</v>
      </c>
      <c r="K8" s="136"/>
      <c r="L8" s="5"/>
    </row>
    <row r="9" spans="1:12">
      <c r="A9" s="115"/>
      <c r="B9" s="114"/>
      <c r="C9" s="114"/>
      <c r="D9" s="82"/>
      <c r="E9" s="131"/>
      <c r="F9" s="83"/>
      <c r="G9" s="104"/>
      <c r="H9" s="396"/>
      <c r="I9" s="130"/>
      <c r="J9" s="74">
        <f t="shared" ref="J9:J17" si="0">H9*I9*(IF(ISNUMBER(G9),G9,1))</f>
        <v>0</v>
      </c>
      <c r="K9" s="136"/>
      <c r="L9" s="5"/>
    </row>
    <row r="10" spans="1:12">
      <c r="A10" s="115"/>
      <c r="B10" s="114"/>
      <c r="C10" s="114"/>
      <c r="D10" s="82"/>
      <c r="E10" s="131"/>
      <c r="F10" s="83"/>
      <c r="G10" s="104"/>
      <c r="H10" s="396"/>
      <c r="I10" s="129"/>
      <c r="J10" s="74">
        <f t="shared" si="0"/>
        <v>0</v>
      </c>
      <c r="K10" s="136"/>
      <c r="L10" s="5"/>
    </row>
    <row r="11" spans="1:12">
      <c r="A11" s="115"/>
      <c r="B11" s="114"/>
      <c r="C11" s="114"/>
      <c r="D11" s="131"/>
      <c r="E11" s="131"/>
      <c r="F11" s="69"/>
      <c r="G11" s="104"/>
      <c r="H11" s="396"/>
      <c r="I11" s="129"/>
      <c r="J11" s="74">
        <f t="shared" si="0"/>
        <v>0</v>
      </c>
      <c r="K11" s="136"/>
      <c r="L11" s="5"/>
    </row>
    <row r="12" spans="1:12">
      <c r="A12" s="115"/>
      <c r="B12" s="114"/>
      <c r="C12" s="114"/>
      <c r="D12" s="131"/>
      <c r="E12" s="128"/>
      <c r="F12" s="83"/>
      <c r="G12" s="100"/>
      <c r="H12" s="398"/>
      <c r="I12" s="129"/>
      <c r="J12" s="74">
        <f>H12*I12*(IF(ISNUMBER(G12),G12,1))</f>
        <v>0</v>
      </c>
      <c r="K12" s="136"/>
      <c r="L12" s="5"/>
    </row>
    <row r="13" spans="1:12">
      <c r="A13" s="115"/>
      <c r="B13" s="112"/>
      <c r="C13" s="112"/>
      <c r="D13" s="131"/>
      <c r="E13" s="68"/>
      <c r="F13" s="69"/>
      <c r="G13" s="87"/>
      <c r="H13" s="397"/>
      <c r="I13" s="129"/>
      <c r="J13" s="74">
        <f t="shared" si="0"/>
        <v>0</v>
      </c>
      <c r="K13" s="136"/>
      <c r="L13" s="5"/>
    </row>
    <row r="14" spans="1:12">
      <c r="A14" s="115"/>
      <c r="B14" s="114"/>
      <c r="C14" s="112"/>
      <c r="D14" s="131"/>
      <c r="E14" s="82"/>
      <c r="F14" s="83"/>
      <c r="G14" s="104"/>
      <c r="H14" s="396"/>
      <c r="I14" s="129"/>
      <c r="J14" s="74">
        <f t="shared" si="0"/>
        <v>0</v>
      </c>
      <c r="K14" s="136"/>
      <c r="L14" s="5"/>
    </row>
    <row r="15" spans="1:12">
      <c r="A15" s="115"/>
      <c r="B15" s="113"/>
      <c r="C15" s="112"/>
      <c r="D15" s="131"/>
      <c r="E15" s="128"/>
      <c r="F15" s="65"/>
      <c r="G15" s="100"/>
      <c r="H15" s="398"/>
      <c r="I15" s="129"/>
      <c r="J15" s="74">
        <f t="shared" si="0"/>
        <v>0</v>
      </c>
      <c r="K15" s="136"/>
      <c r="L15" s="5"/>
    </row>
    <row r="16" spans="1:12">
      <c r="A16" s="48"/>
      <c r="B16" s="112"/>
      <c r="C16" s="112"/>
      <c r="D16" s="127"/>
      <c r="E16" s="127"/>
      <c r="F16" s="69"/>
      <c r="G16" s="87"/>
      <c r="H16" s="397"/>
      <c r="I16" s="129"/>
      <c r="J16" s="74">
        <f t="shared" si="0"/>
        <v>0</v>
      </c>
      <c r="K16" s="136"/>
    </row>
    <row r="17" spans="1:12" ht="2.25" customHeight="1">
      <c r="A17" s="21" t="s">
        <v>38</v>
      </c>
      <c r="B17" s="67"/>
      <c r="C17" s="112"/>
      <c r="D17" s="127"/>
      <c r="E17" s="127"/>
      <c r="F17" s="69"/>
      <c r="G17" s="87"/>
      <c r="H17" s="87"/>
      <c r="I17" s="129"/>
      <c r="J17" s="74">
        <f t="shared" si="0"/>
        <v>0</v>
      </c>
      <c r="K17" s="75"/>
      <c r="L17" s="5"/>
    </row>
    <row r="18" spans="1:12" ht="3" customHeight="1">
      <c r="B18" s="8"/>
      <c r="C18" s="9"/>
      <c r="D18" s="9"/>
      <c r="E18" s="9"/>
      <c r="F18" s="18"/>
      <c r="G18" s="41"/>
      <c r="H18" s="41"/>
      <c r="I18" s="42"/>
      <c r="J18" s="40"/>
      <c r="K18" s="20"/>
      <c r="L18" s="5"/>
    </row>
    <row r="19" spans="1:12">
      <c r="B19" s="5"/>
      <c r="C19" s="5"/>
      <c r="D19" s="5"/>
      <c r="E19" s="5"/>
      <c r="F19" s="5"/>
      <c r="G19" s="5"/>
      <c r="H19" s="5"/>
      <c r="I19" s="5"/>
      <c r="J19" s="5"/>
      <c r="K19" s="5"/>
      <c r="L19" s="5"/>
    </row>
    <row r="20" spans="1:12">
      <c r="B20" s="5"/>
      <c r="C20" s="5"/>
      <c r="D20" s="5"/>
      <c r="E20" s="5"/>
      <c r="F20" s="5"/>
      <c r="G20" s="5"/>
      <c r="H20" s="5"/>
      <c r="I20" s="5"/>
      <c r="J20" s="5"/>
      <c r="K20" s="5"/>
      <c r="L20" s="5"/>
    </row>
    <row r="21" spans="1:12">
      <c r="B21" s="5"/>
      <c r="C21" s="5"/>
      <c r="D21" s="5"/>
      <c r="E21" s="5"/>
      <c r="F21" s="5"/>
      <c r="G21" s="5"/>
      <c r="H21" s="5"/>
      <c r="I21" s="5"/>
      <c r="J21" s="5"/>
      <c r="K21" s="5"/>
      <c r="L21" s="5"/>
    </row>
    <row r="22" spans="1:12">
      <c r="B22" s="5"/>
      <c r="C22" s="5"/>
      <c r="D22" s="5"/>
      <c r="E22" s="5"/>
      <c r="F22" s="5"/>
      <c r="G22" s="5"/>
      <c r="H22" s="5"/>
      <c r="I22" s="5"/>
      <c r="J22" s="5"/>
      <c r="K22" s="5"/>
      <c r="L22" s="5"/>
    </row>
    <row r="23" spans="1:12">
      <c r="B23" s="5"/>
      <c r="C23" s="5"/>
      <c r="D23" s="5"/>
      <c r="E23" s="5"/>
      <c r="F23" s="5"/>
      <c r="G23" s="5"/>
      <c r="H23" s="5"/>
      <c r="I23" s="5"/>
      <c r="J23" s="5"/>
      <c r="K23" s="5"/>
      <c r="L23" s="5"/>
    </row>
    <row r="24" spans="1:12">
      <c r="B24" s="5"/>
      <c r="C24" s="5"/>
      <c r="D24" s="5"/>
      <c r="E24" s="5"/>
      <c r="F24" s="5"/>
      <c r="G24" s="5"/>
      <c r="H24" s="5"/>
      <c r="I24" s="5"/>
      <c r="J24" s="5"/>
      <c r="K24" s="5"/>
      <c r="L24" s="5"/>
    </row>
  </sheetData>
  <dataConsolidate/>
  <mergeCells count="1">
    <mergeCell ref="I2:J2"/>
  </mergeCells>
  <dataValidations count="4">
    <dataValidation type="list" allowBlank="1" showInputMessage="1" showErrorMessage="1" sqref="D7:D17">
      <formula1>list_project_tracks</formula1>
    </dataValidation>
    <dataValidation type="list" allowBlank="1" showInputMessage="1" showErrorMessage="1" sqref="B7:B17">
      <formula1>list_risk_categories</formula1>
    </dataValidation>
    <dataValidation type="list" allowBlank="1" showInputMessage="1" showErrorMessage="1" sqref="C7:C17">
      <formula1>list_Phase</formula1>
    </dataValidation>
    <dataValidation type="list" allowBlank="1" showInputMessage="1" showErrorMessage="1" sqref="E7:E17">
      <formula1>list_Release</formula1>
    </dataValidation>
  </dataValidations>
  <pageMargins left="0.39370078740157499" right="0.39370078740157499" top="0.59055118110236204" bottom="0.59055118110236204" header="0.196850393700787" footer="0.196850393700787"/>
  <pageSetup scale="49" orientation="portrait"/>
  <headerFooter>
    <oddFooter>&amp;L&amp;"Calibri,Regular"&amp;9&amp;D&amp;C&amp;"Calibri,Regular"&amp;9&amp;GSapient Confidential
    &amp;6       Estimation Tool V5.0.0&amp;R&amp;"Calibri,Regular"&amp;9Page &amp;N</oddFooter>
  </headerFooter>
  <drawing r:id="rId1"/>
  <legacyDrawing r:id="rId2"/>
  <legacyDrawingHF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29"/>
  <sheetViews>
    <sheetView showGridLines="0" topLeftCell="G2" zoomScaleNormal="100" zoomScalePageLayoutView="90" workbookViewId="0">
      <selection activeCell="Q27" sqref="Q27"/>
    </sheetView>
  </sheetViews>
  <sheetFormatPr defaultColWidth="8.875" defaultRowHeight="15.75"/>
  <cols>
    <col min="1" max="1" width="0.875" customWidth="1"/>
    <col min="2" max="2" width="20.875" customWidth="1"/>
    <col min="3" max="3" width="10.125" customWidth="1"/>
    <col min="4" max="4" width="9.875" customWidth="1"/>
    <col min="5" max="5" width="7.375" customWidth="1"/>
    <col min="6" max="6" width="8.125" customWidth="1"/>
    <col min="7" max="9" width="10.625" customWidth="1"/>
    <col min="10" max="10" width="6.125" bestFit="1" customWidth="1"/>
    <col min="11" max="11" width="12.375" bestFit="1" customWidth="1"/>
    <col min="12" max="12" width="14.5" customWidth="1"/>
    <col min="13" max="13" width="12.875" customWidth="1"/>
    <col min="14" max="14" width="2.125" customWidth="1"/>
    <col min="15" max="15" width="14.5" customWidth="1"/>
    <col min="16" max="16" width="86.375" customWidth="1"/>
    <col min="17" max="17" width="5.625" customWidth="1"/>
    <col min="18" max="18" width="4.375" customWidth="1"/>
    <col min="19" max="19" width="12" customWidth="1"/>
    <col min="20" max="24" width="19.875" customWidth="1"/>
    <col min="25" max="25" width="8.75" customWidth="1"/>
    <col min="26" max="26" width="21.375" customWidth="1"/>
    <col min="27" max="28" width="21.375" bestFit="1" customWidth="1"/>
    <col min="29" max="29" width="9.375" bestFit="1" customWidth="1"/>
  </cols>
  <sheetData>
    <row r="1" spans="1:25" ht="47.25" customHeight="1">
      <c r="A1" s="4"/>
      <c r="B1" s="272" t="str">
        <f>track_loe_header_cell &amp;" LOE Summary"</f>
        <v>Track LOE Summary</v>
      </c>
      <c r="C1" s="272"/>
      <c r="D1" s="273" t="str">
        <f>project_headline</f>
        <v>PG&amp;E - CRs | Estimation</v>
      </c>
      <c r="E1" s="4"/>
    </row>
    <row r="2" spans="1:25" ht="18.75" customHeight="1">
      <c r="B2" s="4" t="s">
        <v>1187</v>
      </c>
      <c r="O2" s="281"/>
      <c r="P2" s="5"/>
      <c r="Q2" s="5"/>
      <c r="R2" s="5"/>
      <c r="S2" s="281"/>
      <c r="U2" s="307"/>
    </row>
    <row r="3" spans="1:25" ht="15.75" customHeight="1">
      <c r="B3" s="308" t="s">
        <v>1189</v>
      </c>
      <c r="C3" s="309" t="s">
        <v>29</v>
      </c>
      <c r="O3" s="281" t="s">
        <v>1265</v>
      </c>
      <c r="R3" s="5"/>
      <c r="S3" s="281" t="s">
        <v>1266</v>
      </c>
      <c r="U3" s="307"/>
    </row>
    <row r="4" spans="1:25">
      <c r="B4" s="310"/>
      <c r="G4" s="5"/>
      <c r="H4" s="306"/>
      <c r="I4" s="5"/>
      <c r="M4" s="5"/>
      <c r="R4" s="5"/>
      <c r="S4" s="16"/>
      <c r="T4" s="16"/>
      <c r="U4" s="307"/>
    </row>
    <row r="5" spans="1:25" ht="25.5">
      <c r="A5" s="6"/>
      <c r="B5" s="311" t="str">
        <f>C3</f>
        <v>Track</v>
      </c>
      <c r="C5" s="312" t="s">
        <v>67</v>
      </c>
      <c r="D5" s="313" t="s">
        <v>68</v>
      </c>
      <c r="E5" s="292" t="s">
        <v>69</v>
      </c>
      <c r="F5" s="292" t="s">
        <v>517</v>
      </c>
      <c r="G5" s="292" t="s">
        <v>70</v>
      </c>
      <c r="H5" s="292" t="s">
        <v>71</v>
      </c>
      <c r="I5" s="292" t="s">
        <v>1181</v>
      </c>
      <c r="J5" s="292" t="s">
        <v>1182</v>
      </c>
      <c r="K5" s="292" t="s">
        <v>1183</v>
      </c>
      <c r="L5" s="292" t="s">
        <v>1184</v>
      </c>
      <c r="M5" s="314" t="s">
        <v>34</v>
      </c>
      <c r="N5" s="291"/>
      <c r="R5" s="5"/>
      <c r="S5" s="436" t="s">
        <v>532</v>
      </c>
      <c r="T5" s="437" t="s">
        <v>1264</v>
      </c>
    </row>
    <row r="6" spans="1:25">
      <c r="A6" s="21"/>
      <c r="B6" s="340" t="s">
        <v>1377</v>
      </c>
      <c r="C6" s="316">
        <f t="shared" ref="C6:C24" si="0">IF(ISBLANK(B6),"",IF(track_loe_header_cell="Track",(SUMIF(stories_track_list_lookup,B6,stories_buffered_loe_lookup)),IF(track_loe_header_cell="Phase",(SUMIF(Stories_phase_list_lookup,B6,stories_buffered_loe_lookup)),(SUMIF(stories_release_list_lookup,B6,stories_buffered_loe_lookup)))))</f>
        <v>0</v>
      </c>
      <c r="D6" s="316">
        <f t="shared" ref="D6:D24" si="1">IF(ISBLANK(B6),"",IF(track_loe_header_cell="Track",(SUMIF(addins_track_list_lookup,B6,addins_impact_loe_lookup)),IF(track_loe_header_cell="Phase",(SUMIF(addins_phase_list_lookup,B6,addins_impact_loe_lookup)),(SUMIF(addins_release_list_lookup,B6,addins_impact_loe_lookup)))))</f>
        <v>0</v>
      </c>
      <c r="E6" s="316">
        <f t="shared" ref="E6:E24" si="2">IF(ISBLANK(B6),"",IF(track_loe_header_cell="Track",(SUMIF(risks_track_list_lookup,B6,risks_risk_buffer_lookup)),IF(track_loe_header_cell="Phase",(SUMIF(risks_phase_list_lookup,B6,risks_risk_buffer_lookup)),(SUMIF(risks_release_list_lookup,B6,risks_risk_buffer_lookup)))))</f>
        <v>0</v>
      </c>
      <c r="F6" s="317">
        <f t="shared" ref="F6:F24" si="3">IF(ISBLANK(B6),"",SUM(C6:E6))</f>
        <v>0</v>
      </c>
      <c r="G6" s="316">
        <f t="shared" ref="G6:G24" ca="1" si="4">IF(ISBLANK(B6),"",IF(track_loe_header_cell="Track",(SUMIF(staffing_track_list_lookup,B6,staffing_total_loe_lookup)),IF(track_loe_header_cell="Phase",(SUMIF(staffing_phase_list_lookup,B6,staffing_total_loe_lookup)),(SUMIF(staffing_release_list_lookup,B6,staffing_total_loe_lookup)))))</f>
        <v>0</v>
      </c>
      <c r="H6" s="318">
        <f t="shared" ref="H6:H24" ca="1" si="5">IF(ISBLANK(B6),"",G6-F6)</f>
        <v>0</v>
      </c>
      <c r="I6" s="319">
        <f t="shared" ref="I6:I24" si="6">IF(ISBLANK(B6),"",IF(ISERROR(D6/C6),0,D6/C6))</f>
        <v>0</v>
      </c>
      <c r="J6" s="319">
        <f t="shared" ref="J6:J24" si="7">IF(ISBLANK(B6),"",IF(ISERROR(E6/C6),0,E6/C6))</f>
        <v>0</v>
      </c>
      <c r="K6" s="320">
        <f t="shared" ref="K6:K24" si="8">IF(ISBLANK(B6),"",IF(ISERROR(E6+D6),0,E6+D6))</f>
        <v>0</v>
      </c>
      <c r="L6" s="319">
        <f t="shared" ref="L6:L24" si="9">IF(ISBLANK(B6),"",IF(ISERROR(K6/C6),0,K6/C6))</f>
        <v>0</v>
      </c>
      <c r="M6" s="330"/>
      <c r="N6" s="5"/>
      <c r="O6" s="433" t="s">
        <v>1177</v>
      </c>
      <c r="P6" s="442" t="s">
        <v>1264</v>
      </c>
      <c r="Q6" s="307"/>
      <c r="R6" s="5"/>
    </row>
    <row r="7" spans="1:25">
      <c r="A7" s="390"/>
      <c r="B7" s="453" t="s">
        <v>1381</v>
      </c>
      <c r="C7" s="322">
        <f t="shared" ref="C7:C16" si="10">IF(ISBLANK(B7),"",IF(track_loe_header_cell="Track",(SUMIF(stories_track_list_lookup,B7,stories_buffered_loe_lookup)),IF(track_loe_header_cell="Phase",(SUMIF(Stories_phase_list_lookup,B7,stories_buffered_loe_lookup)),(SUMIF(stories_release_list_lookup,B7,stories_buffered_loe_lookup)))))</f>
        <v>0</v>
      </c>
      <c r="D7" s="322">
        <f t="shared" ref="D7:D16" si="11">IF(ISBLANK(B7),"",IF(track_loe_header_cell="Track",(SUMIF(addins_track_list_lookup,B7,addins_impact_loe_lookup)),IF(track_loe_header_cell="Phase",(SUMIF(addins_phase_list_lookup,B7,addins_impact_loe_lookup)),(SUMIF(addins_release_list_lookup,B7,addins_impact_loe_lookup)))))</f>
        <v>0</v>
      </c>
      <c r="E7" s="322">
        <f t="shared" ref="E7:E16" si="12">IF(ISBLANK(B7),"",IF(track_loe_header_cell="Track",(SUMIF(risks_track_list_lookup,B7,risks_risk_buffer_lookup)),IF(track_loe_header_cell="Phase",(SUMIF(risks_phase_list_lookup,B7,risks_risk_buffer_lookup)),(SUMIF(risks_release_list_lookup,B7,risks_risk_buffer_lookup)))))</f>
        <v>0</v>
      </c>
      <c r="F7" s="323">
        <f t="shared" ref="F7:F16" si="13">IF(ISBLANK(B7),"",SUM(C7:E7))</f>
        <v>0</v>
      </c>
      <c r="G7" s="322">
        <f t="shared" ref="G7:G16" ca="1" si="14">IF(ISBLANK(B7),"",IF(track_loe_header_cell="Track",(SUMIF(staffing_track_list_lookup,B7,staffing_total_loe_lookup)),IF(track_loe_header_cell="Phase",(SUMIF(staffing_phase_list_lookup,B7,staffing_total_loe_lookup)),(SUMIF(staffing_release_list_lookup,B7,staffing_total_loe_lookup)))))</f>
        <v>0</v>
      </c>
      <c r="H7" s="315">
        <f ca="1">IF(ISBLANK(B7),"",G7-F7)</f>
        <v>0</v>
      </c>
      <c r="I7" s="324">
        <f>IF(ISBLANK(B7),"",IF(ISERROR(D7/C7),0,D7/C7))</f>
        <v>0</v>
      </c>
      <c r="J7" s="324">
        <f>IF(ISBLANK(B7),"",IF(ISERROR(E7/C7),0,E7/C7))</f>
        <v>0</v>
      </c>
      <c r="K7" s="325">
        <f>IF(ISBLANK(B7),"",IF(ISERROR(E7+D7),0,E7+D7))</f>
        <v>0</v>
      </c>
      <c r="L7" s="324">
        <f>IF(ISBLANK(B7),"",IF(ISERROR(K7/C7),0,K7/C7))</f>
        <v>0</v>
      </c>
      <c r="M7" s="331"/>
      <c r="N7" s="5"/>
      <c r="O7" s="528" t="s">
        <v>532</v>
      </c>
      <c r="P7" s="442" t="s">
        <v>1264</v>
      </c>
      <c r="Q7" s="307"/>
      <c r="R7" s="5"/>
      <c r="S7" s="448" t="s">
        <v>1186</v>
      </c>
      <c r="T7" s="459" t="s">
        <v>1177</v>
      </c>
      <c r="U7" s="438"/>
      <c r="V7" s="438"/>
      <c r="W7" s="438"/>
      <c r="X7" s="438"/>
      <c r="Y7" s="439"/>
    </row>
    <row r="8" spans="1:25">
      <c r="A8" s="390"/>
      <c r="B8" s="453" t="s">
        <v>1378</v>
      </c>
      <c r="C8" s="322">
        <f t="shared" si="10"/>
        <v>0</v>
      </c>
      <c r="D8" s="322">
        <f t="shared" si="11"/>
        <v>0</v>
      </c>
      <c r="E8" s="322">
        <f t="shared" si="12"/>
        <v>0</v>
      </c>
      <c r="F8" s="323">
        <f t="shared" si="13"/>
        <v>0</v>
      </c>
      <c r="G8" s="322">
        <f t="shared" ca="1" si="14"/>
        <v>0</v>
      </c>
      <c r="H8" s="315">
        <f ca="1">IF(ISBLANK(B8),"",G8-F8)</f>
        <v>0</v>
      </c>
      <c r="I8" s="324">
        <f>IF(ISBLANK(B8),"",IF(ISERROR(D8/C8),0,D8/C8))</f>
        <v>0</v>
      </c>
      <c r="J8" s="324">
        <f>IF(ISBLANK(B8),"",IF(ISERROR(E8/C8),0,E8/C8))</f>
        <v>0</v>
      </c>
      <c r="K8" s="325">
        <f>IF(ISBLANK(B8),"",IF(ISERROR(E8+D8),0,E8+D8))</f>
        <v>0</v>
      </c>
      <c r="L8" s="324">
        <f>IF(ISBLANK(B8),"",IF(ISERROR(K8/C8),0,K8/C8))</f>
        <v>0</v>
      </c>
      <c r="M8" s="331"/>
      <c r="N8" s="5"/>
      <c r="O8" s="468"/>
      <c r="P8" s="16"/>
      <c r="Q8" s="307"/>
      <c r="R8" s="5"/>
      <c r="S8" s="469"/>
      <c r="T8" s="445" t="s">
        <v>1974</v>
      </c>
      <c r="U8" s="441" t="s">
        <v>1385</v>
      </c>
      <c r="V8" s="441" t="s">
        <v>1386</v>
      </c>
      <c r="W8" s="441" t="s">
        <v>1522</v>
      </c>
      <c r="X8" s="442" t="s">
        <v>1849</v>
      </c>
      <c r="Y8" s="449" t="s">
        <v>1185</v>
      </c>
    </row>
    <row r="9" spans="1:25">
      <c r="A9" s="390"/>
      <c r="B9" s="391" t="s">
        <v>1379</v>
      </c>
      <c r="C9" s="322">
        <f t="shared" si="10"/>
        <v>0</v>
      </c>
      <c r="D9" s="322">
        <f t="shared" si="11"/>
        <v>0</v>
      </c>
      <c r="E9" s="322">
        <f t="shared" si="12"/>
        <v>0</v>
      </c>
      <c r="F9" s="323">
        <f t="shared" si="13"/>
        <v>0</v>
      </c>
      <c r="G9" s="322">
        <f t="shared" ca="1" si="14"/>
        <v>0</v>
      </c>
      <c r="H9" s="315">
        <f ca="1">IF(ISBLANK(B9),"",G9-F9)</f>
        <v>0</v>
      </c>
      <c r="I9" s="324">
        <f>IF(ISBLANK(B9),"",IF(ISERROR(D9/C9),0,D9/C9))</f>
        <v>0</v>
      </c>
      <c r="J9" s="324">
        <f>IF(ISBLANK(B9),"",IF(ISERROR(E9/C9),0,E9/C9))</f>
        <v>0</v>
      </c>
      <c r="K9" s="325">
        <f>IF(ISBLANK(B9),"",IF(ISERROR(E9+D9),0,E9+D9))</f>
        <v>0</v>
      </c>
      <c r="L9" s="324">
        <f>IF(ISBLANK(B9),"",IF(ISERROR(K9/C9),0,K9/C9))</f>
        <v>0</v>
      </c>
      <c r="M9" s="331"/>
      <c r="N9" s="5"/>
      <c r="O9" s="440" t="s">
        <v>1186</v>
      </c>
      <c r="P9" s="441"/>
      <c r="Q9" s="442"/>
      <c r="R9" s="5"/>
      <c r="S9" s="447" t="s">
        <v>1190</v>
      </c>
      <c r="T9" s="434">
        <v>0</v>
      </c>
      <c r="U9" s="434">
        <v>1.2</v>
      </c>
      <c r="V9" s="434">
        <v>35.900000000000006</v>
      </c>
      <c r="W9" s="434">
        <v>50</v>
      </c>
      <c r="X9" s="434">
        <v>21.2</v>
      </c>
      <c r="Y9" s="435">
        <v>108.30000000000001</v>
      </c>
    </row>
    <row r="10" spans="1:25">
      <c r="A10" s="390"/>
      <c r="B10" s="391" t="s">
        <v>1382</v>
      </c>
      <c r="C10" s="322">
        <f t="shared" si="10"/>
        <v>0</v>
      </c>
      <c r="D10" s="322">
        <f t="shared" si="11"/>
        <v>0</v>
      </c>
      <c r="E10" s="322">
        <f t="shared" si="12"/>
        <v>0</v>
      </c>
      <c r="F10" s="323">
        <f t="shared" si="13"/>
        <v>0</v>
      </c>
      <c r="G10" s="322">
        <f t="shared" ca="1" si="14"/>
        <v>0</v>
      </c>
      <c r="H10" s="315">
        <f ca="1">IF(ISBLANK(B10),"",G10-F10)</f>
        <v>0</v>
      </c>
      <c r="I10" s="324">
        <f>IF(ISBLANK(B10),"",IF(ISERROR(D10/C10),0,D10/C10))</f>
        <v>0</v>
      </c>
      <c r="J10" s="324">
        <f>IF(ISBLANK(B10),"",IF(ISERROR(E10/C10),0,E10/C10))</f>
        <v>0</v>
      </c>
      <c r="K10" s="325">
        <f>IF(ISBLANK(B10),"",IF(ISERROR(E10+D10),0,E10+D10))</f>
        <v>0</v>
      </c>
      <c r="L10" s="324">
        <f>IF(ISBLANK(B10),"",IF(ISERROR(K10/C10),0,K10/C10))</f>
        <v>0</v>
      </c>
      <c r="M10" s="331"/>
      <c r="N10" s="5"/>
      <c r="O10" s="443" t="s">
        <v>28</v>
      </c>
      <c r="P10" s="444" t="s">
        <v>1180</v>
      </c>
      <c r="Q10" s="442" t="s">
        <v>1190</v>
      </c>
      <c r="R10" s="5"/>
    </row>
    <row r="11" spans="1:25">
      <c r="A11" s="390"/>
      <c r="B11" s="391" t="s">
        <v>1388</v>
      </c>
      <c r="C11" s="322">
        <f t="shared" si="10"/>
        <v>0</v>
      </c>
      <c r="D11" s="322">
        <f t="shared" si="11"/>
        <v>0</v>
      </c>
      <c r="E11" s="322">
        <f t="shared" si="12"/>
        <v>0</v>
      </c>
      <c r="F11" s="323">
        <f t="shared" si="13"/>
        <v>0</v>
      </c>
      <c r="G11" s="322">
        <f t="shared" ca="1" si="14"/>
        <v>0</v>
      </c>
      <c r="H11" s="315">
        <f ca="1">IF(ISBLANK(B11),"",G11-F11)</f>
        <v>0</v>
      </c>
      <c r="I11" s="324">
        <f>IF(ISBLANK(B11),"",IF(ISERROR(D11/C11),0,D11/C11))</f>
        <v>0</v>
      </c>
      <c r="J11" s="324">
        <f>IF(ISBLANK(B11),"",IF(ISERROR(E11/C11),0,E11/C11))</f>
        <v>0</v>
      </c>
      <c r="K11" s="325">
        <f>IF(ISBLANK(B11),"",IF(ISERROR(E11+D11),0,E11+D11))</f>
        <v>0</v>
      </c>
      <c r="L11" s="324">
        <f>IF(ISBLANK(B11),"",IF(ISERROR(K11/C11),0,K11/C11))</f>
        <v>0</v>
      </c>
      <c r="M11" s="331"/>
      <c r="N11" s="5"/>
      <c r="O11" s="599" t="s">
        <v>1974</v>
      </c>
      <c r="P11" s="441" t="s">
        <v>1974</v>
      </c>
      <c r="Q11" s="435">
        <v>0</v>
      </c>
      <c r="R11" s="5"/>
    </row>
    <row r="12" spans="1:25">
      <c r="A12" s="390"/>
      <c r="B12" s="391" t="s">
        <v>1489</v>
      </c>
      <c r="C12" s="322">
        <f t="shared" si="10"/>
        <v>0</v>
      </c>
      <c r="D12" s="322">
        <f t="shared" si="11"/>
        <v>0</v>
      </c>
      <c r="E12" s="322">
        <f t="shared" si="12"/>
        <v>0</v>
      </c>
      <c r="F12" s="323">
        <f t="shared" si="13"/>
        <v>0</v>
      </c>
      <c r="G12" s="322">
        <f t="shared" ca="1" si="14"/>
        <v>0</v>
      </c>
      <c r="H12" s="315">
        <f t="shared" ca="1" si="5"/>
        <v>0</v>
      </c>
      <c r="I12" s="324">
        <f t="shared" si="6"/>
        <v>0</v>
      </c>
      <c r="J12" s="324">
        <f t="shared" si="7"/>
        <v>0</v>
      </c>
      <c r="K12" s="325">
        <f t="shared" si="8"/>
        <v>0</v>
      </c>
      <c r="L12" s="324">
        <f t="shared" si="9"/>
        <v>0</v>
      </c>
      <c r="M12" s="331"/>
      <c r="N12" s="5"/>
      <c r="O12" s="445" t="s">
        <v>1850</v>
      </c>
      <c r="P12" s="441" t="s">
        <v>1910</v>
      </c>
      <c r="Q12" s="435">
        <v>20</v>
      </c>
      <c r="R12" s="5"/>
    </row>
    <row r="13" spans="1:25">
      <c r="A13" s="390"/>
      <c r="B13" s="391" t="s">
        <v>1826</v>
      </c>
      <c r="C13" s="322">
        <f t="shared" si="10"/>
        <v>0</v>
      </c>
      <c r="D13" s="322">
        <f t="shared" si="11"/>
        <v>0</v>
      </c>
      <c r="E13" s="322">
        <f t="shared" si="12"/>
        <v>0</v>
      </c>
      <c r="F13" s="323">
        <f t="shared" si="13"/>
        <v>0</v>
      </c>
      <c r="G13" s="322">
        <f t="shared" ca="1" si="14"/>
        <v>0</v>
      </c>
      <c r="H13" s="315">
        <f t="shared" ca="1" si="5"/>
        <v>0</v>
      </c>
      <c r="I13" s="324">
        <f t="shared" si="6"/>
        <v>0</v>
      </c>
      <c r="J13" s="324">
        <f t="shared" si="7"/>
        <v>0</v>
      </c>
      <c r="K13" s="325">
        <f t="shared" si="8"/>
        <v>0</v>
      </c>
      <c r="L13" s="324">
        <f t="shared" si="9"/>
        <v>0</v>
      </c>
      <c r="M13" s="331"/>
      <c r="N13" s="5"/>
      <c r="O13" s="445"/>
      <c r="P13" s="441" t="s">
        <v>1875</v>
      </c>
      <c r="Q13" s="435">
        <v>6.3</v>
      </c>
      <c r="R13" s="5"/>
    </row>
    <row r="14" spans="1:25">
      <c r="A14" s="390"/>
      <c r="B14" s="391" t="s">
        <v>1387</v>
      </c>
      <c r="C14" s="322">
        <f t="shared" si="10"/>
        <v>0</v>
      </c>
      <c r="D14" s="322">
        <f t="shared" si="11"/>
        <v>0</v>
      </c>
      <c r="E14" s="322">
        <f t="shared" si="12"/>
        <v>0</v>
      </c>
      <c r="F14" s="323">
        <f t="shared" si="13"/>
        <v>0</v>
      </c>
      <c r="G14" s="322">
        <f t="shared" ca="1" si="14"/>
        <v>0</v>
      </c>
      <c r="H14" s="315">
        <f t="shared" ca="1" si="5"/>
        <v>0</v>
      </c>
      <c r="I14" s="324">
        <f t="shared" si="6"/>
        <v>0</v>
      </c>
      <c r="J14" s="324">
        <f t="shared" si="7"/>
        <v>0</v>
      </c>
      <c r="K14" s="325">
        <f t="shared" si="8"/>
        <v>0</v>
      </c>
      <c r="L14" s="324">
        <f t="shared" si="9"/>
        <v>0</v>
      </c>
      <c r="M14" s="331"/>
      <c r="O14" s="445"/>
      <c r="P14" s="441" t="s">
        <v>1877</v>
      </c>
      <c r="Q14" s="435">
        <v>2.5</v>
      </c>
    </row>
    <row r="15" spans="1:25">
      <c r="A15" s="390"/>
      <c r="B15" s="391" t="s">
        <v>1482</v>
      </c>
      <c r="C15" s="322">
        <f t="shared" si="10"/>
        <v>34.200000000000003</v>
      </c>
      <c r="D15" s="322">
        <f t="shared" si="11"/>
        <v>4</v>
      </c>
      <c r="E15" s="322">
        <f t="shared" si="12"/>
        <v>0</v>
      </c>
      <c r="F15" s="323">
        <f t="shared" si="13"/>
        <v>38.200000000000003</v>
      </c>
      <c r="G15" s="322">
        <f t="shared" ca="1" si="14"/>
        <v>40</v>
      </c>
      <c r="H15" s="315">
        <f t="shared" ca="1" si="5"/>
        <v>1.7999999999999972</v>
      </c>
      <c r="I15" s="324">
        <f t="shared" si="6"/>
        <v>0.11695906432748537</v>
      </c>
      <c r="J15" s="324">
        <f t="shared" si="7"/>
        <v>0</v>
      </c>
      <c r="K15" s="325">
        <f t="shared" si="8"/>
        <v>4</v>
      </c>
      <c r="L15" s="324">
        <f t="shared" si="9"/>
        <v>0.11695906432748537</v>
      </c>
      <c r="M15" s="331"/>
      <c r="O15" s="445"/>
      <c r="P15" s="441" t="s">
        <v>1879</v>
      </c>
      <c r="Q15" s="435">
        <v>6</v>
      </c>
    </row>
    <row r="16" spans="1:25">
      <c r="A16" s="390"/>
      <c r="B16" s="391" t="s">
        <v>1462</v>
      </c>
      <c r="C16" s="322">
        <f t="shared" si="10"/>
        <v>36.900000000000006</v>
      </c>
      <c r="D16" s="322">
        <f t="shared" si="11"/>
        <v>3</v>
      </c>
      <c r="E16" s="322">
        <f t="shared" si="12"/>
        <v>0</v>
      </c>
      <c r="F16" s="323">
        <f t="shared" si="13"/>
        <v>39.900000000000006</v>
      </c>
      <c r="G16" s="322">
        <f t="shared" ca="1" si="14"/>
        <v>40</v>
      </c>
      <c r="H16" s="315">
        <f t="shared" ca="1" si="5"/>
        <v>9.9999999999994316E-2</v>
      </c>
      <c r="I16" s="324">
        <f t="shared" si="6"/>
        <v>8.1300813008130066E-2</v>
      </c>
      <c r="J16" s="324">
        <f t="shared" si="7"/>
        <v>0</v>
      </c>
      <c r="K16" s="325">
        <f t="shared" si="8"/>
        <v>3</v>
      </c>
      <c r="L16" s="324">
        <f t="shared" si="9"/>
        <v>8.1300813008130066E-2</v>
      </c>
      <c r="M16" s="331"/>
      <c r="O16" s="445"/>
      <c r="P16" s="441" t="s">
        <v>1886</v>
      </c>
      <c r="Q16" s="435">
        <v>6.3</v>
      </c>
    </row>
    <row r="17" spans="1:17">
      <c r="A17" s="390"/>
      <c r="B17" s="333" t="s">
        <v>1487</v>
      </c>
      <c r="C17" s="326">
        <f t="shared" si="0"/>
        <v>37.200000000000003</v>
      </c>
      <c r="D17" s="326">
        <f t="shared" si="1"/>
        <v>3</v>
      </c>
      <c r="E17" s="326">
        <f t="shared" si="2"/>
        <v>0</v>
      </c>
      <c r="F17" s="327">
        <f t="shared" si="3"/>
        <v>40.200000000000003</v>
      </c>
      <c r="G17" s="326">
        <f t="shared" ca="1" si="4"/>
        <v>40</v>
      </c>
      <c r="H17" s="321">
        <f t="shared" ca="1" si="5"/>
        <v>-0.20000000000000284</v>
      </c>
      <c r="I17" s="328">
        <f t="shared" si="6"/>
        <v>8.0645161290322578E-2</v>
      </c>
      <c r="J17" s="328">
        <f t="shared" si="7"/>
        <v>0</v>
      </c>
      <c r="K17" s="329">
        <f t="shared" si="8"/>
        <v>3</v>
      </c>
      <c r="L17" s="328">
        <f t="shared" si="9"/>
        <v>8.0645161290322578E-2</v>
      </c>
      <c r="M17" s="332"/>
      <c r="O17" s="445"/>
      <c r="P17" s="441" t="s">
        <v>1885</v>
      </c>
      <c r="Q17" s="435">
        <v>7.3</v>
      </c>
    </row>
    <row r="18" spans="1:17">
      <c r="A18" s="390"/>
      <c r="B18" s="333" t="s">
        <v>1825</v>
      </c>
      <c r="C18" s="326">
        <f t="shared" si="0"/>
        <v>0</v>
      </c>
      <c r="D18" s="326">
        <f t="shared" si="1"/>
        <v>0</v>
      </c>
      <c r="E18" s="326">
        <f t="shared" si="2"/>
        <v>0</v>
      </c>
      <c r="F18" s="327">
        <f t="shared" si="3"/>
        <v>0</v>
      </c>
      <c r="G18" s="326">
        <f t="shared" ca="1" si="4"/>
        <v>0</v>
      </c>
      <c r="H18" s="321">
        <f t="shared" ca="1" si="5"/>
        <v>0</v>
      </c>
      <c r="I18" s="328">
        <f t="shared" si="6"/>
        <v>0</v>
      </c>
      <c r="J18" s="328">
        <f t="shared" si="7"/>
        <v>0</v>
      </c>
      <c r="K18" s="329">
        <f t="shared" si="8"/>
        <v>0</v>
      </c>
      <c r="L18" s="328">
        <f t="shared" si="9"/>
        <v>0</v>
      </c>
      <c r="M18" s="332"/>
      <c r="O18" s="445"/>
      <c r="P18" s="441" t="s">
        <v>1889</v>
      </c>
      <c r="Q18" s="435">
        <v>1.2</v>
      </c>
    </row>
    <row r="19" spans="1:17">
      <c r="A19" s="390"/>
      <c r="B19" s="391" t="s">
        <v>1841</v>
      </c>
      <c r="C19" s="322">
        <f t="shared" si="0"/>
        <v>0</v>
      </c>
      <c r="D19" s="322">
        <f t="shared" si="1"/>
        <v>0</v>
      </c>
      <c r="E19" s="322">
        <f t="shared" si="2"/>
        <v>0</v>
      </c>
      <c r="F19" s="323">
        <f t="shared" si="3"/>
        <v>0</v>
      </c>
      <c r="G19" s="322">
        <f t="shared" ca="1" si="4"/>
        <v>0</v>
      </c>
      <c r="H19" s="315">
        <f t="shared" ca="1" si="5"/>
        <v>0</v>
      </c>
      <c r="I19" s="324">
        <f t="shared" si="6"/>
        <v>0</v>
      </c>
      <c r="J19" s="324">
        <f t="shared" si="7"/>
        <v>0</v>
      </c>
      <c r="K19" s="325">
        <f t="shared" si="8"/>
        <v>0</v>
      </c>
      <c r="L19" s="324">
        <f t="shared" si="9"/>
        <v>0</v>
      </c>
      <c r="M19" s="331"/>
      <c r="O19" s="445"/>
      <c r="P19" s="441" t="s">
        <v>1891</v>
      </c>
      <c r="Q19" s="435">
        <v>1.6</v>
      </c>
    </row>
    <row r="20" spans="1:17">
      <c r="A20" s="390"/>
      <c r="B20" s="453" t="s">
        <v>1842</v>
      </c>
      <c r="C20" s="322">
        <f t="shared" si="0"/>
        <v>0</v>
      </c>
      <c r="D20" s="322">
        <f t="shared" si="1"/>
        <v>0</v>
      </c>
      <c r="E20" s="322">
        <f t="shared" si="2"/>
        <v>0</v>
      </c>
      <c r="F20" s="323">
        <f t="shared" si="3"/>
        <v>0</v>
      </c>
      <c r="G20" s="322">
        <f t="shared" ca="1" si="4"/>
        <v>0</v>
      </c>
      <c r="H20" s="315">
        <f t="shared" ca="1" si="5"/>
        <v>0</v>
      </c>
      <c r="I20" s="324">
        <f t="shared" si="6"/>
        <v>0</v>
      </c>
      <c r="J20" s="324">
        <f t="shared" si="7"/>
        <v>0</v>
      </c>
      <c r="K20" s="325">
        <f t="shared" si="8"/>
        <v>0</v>
      </c>
      <c r="L20" s="324">
        <f t="shared" si="9"/>
        <v>0</v>
      </c>
      <c r="M20" s="331"/>
      <c r="O20" s="445"/>
      <c r="P20" s="441" t="s">
        <v>1893</v>
      </c>
      <c r="Q20" s="435">
        <v>3.7</v>
      </c>
    </row>
    <row r="21" spans="1:17">
      <c r="B21" s="453" t="s">
        <v>1483</v>
      </c>
      <c r="C21" s="322">
        <f t="shared" si="0"/>
        <v>0</v>
      </c>
      <c r="D21" s="322">
        <f t="shared" si="1"/>
        <v>0</v>
      </c>
      <c r="E21" s="322">
        <f t="shared" si="2"/>
        <v>0</v>
      </c>
      <c r="F21" s="323">
        <f t="shared" si="3"/>
        <v>0</v>
      </c>
      <c r="G21" s="322">
        <f t="shared" ca="1" si="4"/>
        <v>0</v>
      </c>
      <c r="H21" s="315">
        <f t="shared" ca="1" si="5"/>
        <v>0</v>
      </c>
      <c r="I21" s="324">
        <f t="shared" si="6"/>
        <v>0</v>
      </c>
      <c r="J21" s="324">
        <f t="shared" si="7"/>
        <v>0</v>
      </c>
      <c r="K21" s="325">
        <f t="shared" si="8"/>
        <v>0</v>
      </c>
      <c r="L21" s="324">
        <f t="shared" si="9"/>
        <v>0</v>
      </c>
      <c r="M21" s="331"/>
      <c r="O21" s="445"/>
      <c r="P21" s="441" t="s">
        <v>1896</v>
      </c>
      <c r="Q21" s="435">
        <v>0</v>
      </c>
    </row>
    <row r="22" spans="1:17">
      <c r="B22" s="453" t="s">
        <v>1844</v>
      </c>
      <c r="C22" s="322">
        <f t="shared" si="0"/>
        <v>0</v>
      </c>
      <c r="D22" s="322">
        <f t="shared" si="1"/>
        <v>0</v>
      </c>
      <c r="E22" s="322">
        <f t="shared" si="2"/>
        <v>0</v>
      </c>
      <c r="F22" s="323">
        <f t="shared" si="3"/>
        <v>0</v>
      </c>
      <c r="G22" s="322">
        <f t="shared" ca="1" si="4"/>
        <v>0</v>
      </c>
      <c r="H22" s="315">
        <f t="shared" ca="1" si="5"/>
        <v>0</v>
      </c>
      <c r="I22" s="324">
        <f t="shared" si="6"/>
        <v>0</v>
      </c>
      <c r="J22" s="324">
        <f t="shared" si="7"/>
        <v>0</v>
      </c>
      <c r="K22" s="325">
        <f t="shared" si="8"/>
        <v>0</v>
      </c>
      <c r="L22" s="324">
        <f t="shared" si="9"/>
        <v>0</v>
      </c>
      <c r="M22" s="331"/>
      <c r="O22" s="445"/>
      <c r="P22" s="441" t="s">
        <v>1897</v>
      </c>
      <c r="Q22" s="435">
        <v>3.2</v>
      </c>
    </row>
    <row r="23" spans="1:17">
      <c r="B23" s="453" t="s">
        <v>1845</v>
      </c>
      <c r="C23" s="322">
        <f t="shared" si="0"/>
        <v>0</v>
      </c>
      <c r="D23" s="322">
        <f t="shared" si="1"/>
        <v>0</v>
      </c>
      <c r="E23" s="322">
        <f t="shared" si="2"/>
        <v>0</v>
      </c>
      <c r="F23" s="323">
        <f t="shared" si="3"/>
        <v>0</v>
      </c>
      <c r="G23" s="322">
        <f t="shared" ca="1" si="4"/>
        <v>0</v>
      </c>
      <c r="H23" s="315">
        <f t="shared" ca="1" si="5"/>
        <v>0</v>
      </c>
      <c r="I23" s="324">
        <f t="shared" si="6"/>
        <v>0</v>
      </c>
      <c r="J23" s="324">
        <f t="shared" si="7"/>
        <v>0</v>
      </c>
      <c r="K23" s="325">
        <f t="shared" si="8"/>
        <v>0</v>
      </c>
      <c r="L23" s="324">
        <f t="shared" si="9"/>
        <v>0</v>
      </c>
      <c r="M23" s="331"/>
      <c r="O23" s="445"/>
      <c r="P23" s="441" t="s">
        <v>1898</v>
      </c>
      <c r="Q23" s="435">
        <v>0</v>
      </c>
    </row>
    <row r="24" spans="1:17">
      <c r="B24" s="391"/>
      <c r="C24" s="322" t="str">
        <f t="shared" si="0"/>
        <v/>
      </c>
      <c r="D24" s="322" t="str">
        <f t="shared" si="1"/>
        <v/>
      </c>
      <c r="E24" s="322" t="str">
        <f t="shared" si="2"/>
        <v/>
      </c>
      <c r="F24" s="323" t="str">
        <f t="shared" si="3"/>
        <v/>
      </c>
      <c r="G24" s="322" t="str">
        <f t="shared" si="4"/>
        <v/>
      </c>
      <c r="H24" s="315" t="str">
        <f t="shared" si="5"/>
        <v/>
      </c>
      <c r="I24" s="324" t="str">
        <f t="shared" si="6"/>
        <v/>
      </c>
      <c r="J24" s="324" t="str">
        <f t="shared" si="7"/>
        <v/>
      </c>
      <c r="K24" s="325" t="str">
        <f t="shared" si="8"/>
        <v/>
      </c>
      <c r="L24" s="324" t="str">
        <f t="shared" si="9"/>
        <v/>
      </c>
      <c r="M24" s="331"/>
      <c r="O24" s="445"/>
      <c r="P24" s="441" t="s">
        <v>1899</v>
      </c>
      <c r="Q24" s="435">
        <v>7.5</v>
      </c>
    </row>
    <row r="25" spans="1:17">
      <c r="B25" s="391"/>
      <c r="C25" s="322"/>
      <c r="D25" s="322"/>
      <c r="E25" s="322"/>
      <c r="F25" s="323"/>
      <c r="G25" s="322"/>
      <c r="H25" s="315"/>
      <c r="I25" s="324"/>
      <c r="J25" s="324"/>
      <c r="K25" s="325"/>
      <c r="L25" s="324"/>
      <c r="M25" s="331"/>
      <c r="O25" s="445"/>
      <c r="P25" s="441" t="s">
        <v>1902</v>
      </c>
      <c r="Q25" s="435">
        <v>7</v>
      </c>
    </row>
    <row r="26" spans="1:17">
      <c r="B26" s="391"/>
      <c r="C26" s="322"/>
      <c r="D26" s="322"/>
      <c r="E26" s="322"/>
      <c r="F26" s="323"/>
      <c r="G26" s="322"/>
      <c r="H26" s="315"/>
      <c r="I26" s="324"/>
      <c r="J26" s="324"/>
      <c r="K26" s="325"/>
      <c r="L26" s="324"/>
      <c r="M26" s="331"/>
      <c r="O26" s="445"/>
      <c r="P26" s="441" t="s">
        <v>1907</v>
      </c>
      <c r="Q26" s="435">
        <v>5.6999999999999993</v>
      </c>
    </row>
    <row r="27" spans="1:17">
      <c r="B27" s="391"/>
      <c r="C27" s="322"/>
      <c r="D27" s="322"/>
      <c r="E27" s="322"/>
      <c r="F27" s="323"/>
      <c r="G27" s="322"/>
      <c r="H27" s="315"/>
      <c r="I27" s="324"/>
      <c r="J27" s="324"/>
      <c r="K27" s="325"/>
      <c r="L27" s="324"/>
      <c r="M27" s="331"/>
      <c r="O27" s="445"/>
      <c r="P27" s="441" t="s">
        <v>1911</v>
      </c>
      <c r="Q27" s="435">
        <v>30</v>
      </c>
    </row>
    <row r="28" spans="1:17">
      <c r="B28" s="333"/>
      <c r="C28" s="326"/>
      <c r="D28" s="326"/>
      <c r="E28" s="326"/>
      <c r="F28" s="327"/>
      <c r="G28" s="326"/>
      <c r="H28" s="321"/>
      <c r="I28" s="328"/>
      <c r="J28" s="328"/>
      <c r="K28" s="329"/>
      <c r="L28" s="328"/>
      <c r="M28" s="332"/>
      <c r="O28" s="446" t="s">
        <v>1185</v>
      </c>
      <c r="P28" s="447"/>
      <c r="Q28" s="435">
        <v>108.3</v>
      </c>
    </row>
    <row r="29" spans="1:17">
      <c r="B29" s="333"/>
      <c r="C29" s="326"/>
      <c r="D29" s="326"/>
      <c r="E29" s="326"/>
      <c r="F29" s="327"/>
      <c r="G29" s="326"/>
      <c r="H29" s="321"/>
      <c r="I29" s="328"/>
      <c r="J29" s="328"/>
      <c r="K29" s="329"/>
      <c r="L29" s="328"/>
      <c r="M29" s="332"/>
    </row>
  </sheetData>
  <dataConsolidate/>
  <conditionalFormatting sqref="L21:L25 I21:I25 I27:I28 L27:L28 I6 L6">
    <cfRule type="cellIs" dxfId="18" priority="724" stopIfTrue="1" operator="lessThan">
      <formula>0</formula>
    </cfRule>
  </conditionalFormatting>
  <conditionalFormatting sqref="I20 L20">
    <cfRule type="cellIs" dxfId="17" priority="20" stopIfTrue="1" operator="lessThan">
      <formula>0</formula>
    </cfRule>
  </conditionalFormatting>
  <conditionalFormatting sqref="I19 L19">
    <cfRule type="cellIs" dxfId="16" priority="19" stopIfTrue="1" operator="lessThan">
      <formula>0</formula>
    </cfRule>
  </conditionalFormatting>
  <conditionalFormatting sqref="L29 I29">
    <cfRule type="cellIs" dxfId="15" priority="16" stopIfTrue="1" operator="lessThan">
      <formula>0</formula>
    </cfRule>
  </conditionalFormatting>
  <conditionalFormatting sqref="L18 I18">
    <cfRule type="cellIs" dxfId="14" priority="15" stopIfTrue="1" operator="lessThan">
      <formula>0</formula>
    </cfRule>
  </conditionalFormatting>
  <conditionalFormatting sqref="L17 I17">
    <cfRule type="cellIs" dxfId="13" priority="14" stopIfTrue="1" operator="lessThan">
      <formula>0</formula>
    </cfRule>
  </conditionalFormatting>
  <conditionalFormatting sqref="L16 I16">
    <cfRule type="cellIs" dxfId="12" priority="13" stopIfTrue="1" operator="lessThan">
      <formula>0</formula>
    </cfRule>
  </conditionalFormatting>
  <conditionalFormatting sqref="L15 I15">
    <cfRule type="cellIs" dxfId="11" priority="12" stopIfTrue="1" operator="lessThan">
      <formula>0</formula>
    </cfRule>
  </conditionalFormatting>
  <conditionalFormatting sqref="L26 I26">
    <cfRule type="cellIs" dxfId="10" priority="9" stopIfTrue="1" operator="lessThan">
      <formula>0</formula>
    </cfRule>
  </conditionalFormatting>
  <conditionalFormatting sqref="L14 I14">
    <cfRule type="cellIs" dxfId="9" priority="8" stopIfTrue="1" operator="lessThan">
      <formula>0</formula>
    </cfRule>
  </conditionalFormatting>
  <conditionalFormatting sqref="L13 I13">
    <cfRule type="cellIs" dxfId="8" priority="7" stopIfTrue="1" operator="lessThan">
      <formula>0</formula>
    </cfRule>
  </conditionalFormatting>
  <conditionalFormatting sqref="L12 I12">
    <cfRule type="cellIs" dxfId="7" priority="6" stopIfTrue="1" operator="lessThan">
      <formula>0</formula>
    </cfRule>
  </conditionalFormatting>
  <conditionalFormatting sqref="L11 I11">
    <cfRule type="cellIs" dxfId="6" priority="5" stopIfTrue="1" operator="lessThan">
      <formula>0</formula>
    </cfRule>
  </conditionalFormatting>
  <conditionalFormatting sqref="L10 I10">
    <cfRule type="cellIs" dxfId="5" priority="4" stopIfTrue="1" operator="lessThan">
      <formula>0</formula>
    </cfRule>
  </conditionalFormatting>
  <conditionalFormatting sqref="L9 I9">
    <cfRule type="cellIs" dxfId="4" priority="3" stopIfTrue="1" operator="lessThan">
      <formula>0</formula>
    </cfRule>
  </conditionalFormatting>
  <conditionalFormatting sqref="L8 I8">
    <cfRule type="cellIs" dxfId="3" priority="2" stopIfTrue="1" operator="lessThan">
      <formula>0</formula>
    </cfRule>
  </conditionalFormatting>
  <conditionalFormatting sqref="L7 I7">
    <cfRule type="cellIs" dxfId="2" priority="1" stopIfTrue="1" operator="lessThan">
      <formula>0</formula>
    </cfRule>
  </conditionalFormatting>
  <dataValidations count="1">
    <dataValidation type="list" allowBlank="1" showInputMessage="1" showErrorMessage="1" sqref="C3:C4">
      <formula1>"Track,Phase,Release"</formula1>
    </dataValidation>
  </dataValidations>
  <pageMargins left="0.39370078740157499" right="0.39370078740157499" top="0.59055118110236204" bottom="0.59055118110236204" header="0.196850393700787" footer="0.196850393700787"/>
  <pageSetup scale="70" orientation="portrait"/>
  <headerFooter>
    <oddFooter>&amp;L&amp;9&amp;D&amp;C&amp;"Calibri,Regular"&amp;9&amp;GSapient Confidential
&amp;6           Estimation Tool V5.0.0&amp;R&amp;"Calibri,Regular"&amp;9Page &amp;P</oddFooter>
  </headerFooter>
  <drawing r:id="rId3"/>
  <legacyDrawing r:id="rId4"/>
  <legacyDrawingHF r:id="rId5"/>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26"/>
  <sheetViews>
    <sheetView showGridLines="0" zoomScale="90" zoomScaleNormal="90" zoomScalePageLayoutView="125" workbookViewId="0"/>
  </sheetViews>
  <sheetFormatPr defaultColWidth="8.875" defaultRowHeight="15.75"/>
  <cols>
    <col min="1" max="1" width="1.875" customWidth="1"/>
    <col min="2" max="2" width="16.125" customWidth="1"/>
    <col min="3" max="3" width="10.375" customWidth="1"/>
    <col min="4" max="4" width="9.5" customWidth="1"/>
    <col min="5" max="5" width="9.375" customWidth="1"/>
    <col min="6" max="7" width="2.625" customWidth="1"/>
    <col min="8" max="8" width="2" customWidth="1"/>
    <col min="9" max="9" width="1.875" customWidth="1"/>
    <col min="10" max="10" width="2.625" customWidth="1"/>
    <col min="11" max="11" width="1.625" customWidth="1"/>
    <col min="12" max="12" width="30.5" customWidth="1"/>
    <col min="13" max="13" width="1.625" customWidth="1"/>
    <col min="14" max="14" width="1.5" customWidth="1"/>
    <col min="15" max="15" width="2.625" customWidth="1"/>
    <col min="16" max="16" width="2" customWidth="1"/>
  </cols>
  <sheetData>
    <row r="1" spans="1:16" ht="49.5" customHeight="1">
      <c r="A1" s="4"/>
      <c r="B1" s="272" t="s">
        <v>522</v>
      </c>
      <c r="C1" s="272"/>
      <c r="D1" s="273" t="str">
        <f>project_headline</f>
        <v>PG&amp;E - CRs | Estimation</v>
      </c>
      <c r="E1" s="272"/>
    </row>
    <row r="2" spans="1:16" ht="9" customHeight="1"/>
    <row r="3" spans="1:16">
      <c r="B3" s="201" t="s">
        <v>523</v>
      </c>
      <c r="C3" s="595" t="s">
        <v>524</v>
      </c>
      <c r="D3" s="595"/>
      <c r="E3" s="596"/>
      <c r="H3" s="284"/>
      <c r="I3" s="245"/>
      <c r="J3" s="245"/>
      <c r="K3" s="245"/>
      <c r="L3" s="245"/>
      <c r="M3" s="245"/>
      <c r="N3" s="245"/>
      <c r="O3" s="245"/>
      <c r="P3" s="285"/>
    </row>
    <row r="4" spans="1:16">
      <c r="B4" s="202"/>
      <c r="C4" s="204" t="s">
        <v>21</v>
      </c>
      <c r="D4" s="168" t="s">
        <v>22</v>
      </c>
      <c r="E4" s="205" t="s">
        <v>64</v>
      </c>
      <c r="F4" s="16"/>
      <c r="G4" s="16"/>
      <c r="H4" s="246"/>
      <c r="I4" s="597" t="str">
        <f ca="1">CONCATENATE("Total LOE: ", ROUND(total_loe,0), " days (100%)")</f>
        <v>Total LOE: 118 days (100%)</v>
      </c>
      <c r="J4" s="597"/>
      <c r="K4" s="597"/>
      <c r="L4" s="597"/>
      <c r="M4" s="597"/>
      <c r="N4" s="597"/>
      <c r="O4" s="597"/>
      <c r="P4" s="247"/>
    </row>
    <row r="5" spans="1:16">
      <c r="B5" s="203" t="s">
        <v>67</v>
      </c>
      <c r="C5" s="209">
        <f>stories_total_loe_abp</f>
        <v>98.9</v>
      </c>
      <c r="D5" s="210">
        <f>stories_total_loe_hp</f>
        <v>116.9</v>
      </c>
      <c r="E5" s="211">
        <f>stories_total_loe_buffered</f>
        <v>108</v>
      </c>
      <c r="F5" s="16"/>
      <c r="G5" s="16"/>
      <c r="H5" s="246"/>
      <c r="I5" s="248"/>
      <c r="J5" s="248"/>
      <c r="K5" s="248"/>
      <c r="L5" s="248"/>
      <c r="M5" s="248"/>
      <c r="N5" s="248"/>
      <c r="O5" s="248"/>
      <c r="P5" s="247"/>
    </row>
    <row r="6" spans="1:16" ht="15.75" customHeight="1">
      <c r="B6" s="16"/>
      <c r="C6" s="16"/>
      <c r="D6" s="16"/>
      <c r="E6" s="16"/>
      <c r="F6" s="16"/>
      <c r="G6" s="16"/>
      <c r="H6" s="246"/>
      <c r="I6" s="248"/>
      <c r="J6" s="248"/>
      <c r="K6" s="248"/>
      <c r="L6" s="287" t="str">
        <f ca="1">CONCATENATE("Oversight LOE: ", staffing_total_loe_oversight, " days (",  IF(total_loe=0,0,ROUND(100*staffing_total_loe_oversight/total_loe,0)),"%)")</f>
        <v>Oversight LOE: 0 days (0%)</v>
      </c>
      <c r="M6" s="248"/>
      <c r="N6" s="248"/>
      <c r="O6" s="248"/>
      <c r="P6" s="247"/>
    </row>
    <row r="7" spans="1:16" ht="15.75" customHeight="1">
      <c r="B7" s="206" t="s">
        <v>27</v>
      </c>
      <c r="C7" s="227">
        <f>addins_total_loe</f>
        <v>10</v>
      </c>
      <c r="D7" s="226">
        <f>addins_total_loe</f>
        <v>10</v>
      </c>
      <c r="E7" s="212">
        <f>addins_total_loe</f>
        <v>10</v>
      </c>
      <c r="F7" s="16"/>
      <c r="G7" s="16"/>
      <c r="H7" s="246"/>
      <c r="I7" s="248"/>
      <c r="J7" s="248"/>
      <c r="K7" s="248"/>
      <c r="L7" s="283" t="s">
        <v>525</v>
      </c>
      <c r="M7" s="248"/>
      <c r="N7" s="248"/>
      <c r="O7" s="248"/>
      <c r="P7" s="247"/>
    </row>
    <row r="8" spans="1:16" ht="15.75" customHeight="1">
      <c r="B8" s="16"/>
      <c r="C8" s="16"/>
      <c r="D8" s="16"/>
      <c r="E8" s="16"/>
      <c r="F8" s="16"/>
      <c r="G8" s="16"/>
      <c r="H8" s="246"/>
      <c r="I8" s="248"/>
      <c r="J8" s="248"/>
      <c r="K8" s="248"/>
      <c r="L8" s="287" t="str">
        <f ca="1">CONCATENATE("Obj. Risk LOE: ", risks_total_loe, " days (",  IF(total_loe=0,0,ROUND(100*risks_total_loe/total_loe,0)),"%)")</f>
        <v>Obj. Risk LOE: 0 days (0%)</v>
      </c>
      <c r="M8" s="248"/>
      <c r="N8" s="248"/>
      <c r="O8" s="248"/>
      <c r="P8" s="247"/>
    </row>
    <row r="9" spans="1:16" ht="15.75" customHeight="1">
      <c r="B9" s="206" t="s">
        <v>512</v>
      </c>
      <c r="C9" s="223">
        <f>risks_total_loe</f>
        <v>0</v>
      </c>
      <c r="D9" s="224">
        <f>risks_total_loe</f>
        <v>0</v>
      </c>
      <c r="E9" s="213">
        <f>risks_total_loe</f>
        <v>0</v>
      </c>
      <c r="F9" s="16"/>
      <c r="G9" s="16"/>
      <c r="H9" s="246"/>
      <c r="I9" s="248"/>
      <c r="J9" s="248"/>
      <c r="K9" s="248"/>
      <c r="L9" s="283" t="s">
        <v>525</v>
      </c>
      <c r="M9" s="248"/>
      <c r="N9" s="248"/>
      <c r="O9" s="248"/>
      <c r="P9" s="247"/>
    </row>
    <row r="10" spans="1:16" ht="15.75" customHeight="1">
      <c r="B10" s="16"/>
      <c r="C10" s="16"/>
      <c r="D10" s="16"/>
      <c r="E10" s="16"/>
      <c r="F10" s="16"/>
      <c r="G10" s="16"/>
      <c r="H10" s="246"/>
      <c r="I10" s="282"/>
      <c r="J10" s="282"/>
      <c r="K10" s="282"/>
      <c r="L10" s="282"/>
      <c r="M10" s="249"/>
      <c r="N10" s="249"/>
      <c r="O10" s="249"/>
      <c r="P10" s="247"/>
    </row>
    <row r="11" spans="1:16" ht="15.75" customHeight="1">
      <c r="B11" s="189" t="s">
        <v>513</v>
      </c>
      <c r="C11" s="225">
        <f ca="1">staffing_total_loe_oversight</f>
        <v>0</v>
      </c>
      <c r="D11" s="226">
        <f ca="1">staffing_total_loe_oversight</f>
        <v>0</v>
      </c>
      <c r="E11" s="212">
        <f ca="1">staffing_total_loe_oversight</f>
        <v>0</v>
      </c>
      <c r="F11" s="16"/>
      <c r="G11" s="16"/>
      <c r="H11" s="246"/>
      <c r="I11" s="282"/>
      <c r="J11" s="282"/>
      <c r="K11" s="282"/>
      <c r="L11" s="287" t="str">
        <f ca="1">CONCATENATE("Add-ins LOE: ", addins_total_loe, " days (",  IF(total_loe=0,0,ROUND(100*addins_total_loe/total_loe,0)),"%)")</f>
        <v>Add-ins LOE: 10 days (8%)</v>
      </c>
      <c r="M11" s="249"/>
      <c r="N11" s="249"/>
      <c r="O11" s="249"/>
      <c r="P11" s="247"/>
    </row>
    <row r="12" spans="1:16" ht="15.75" customHeight="1">
      <c r="B12" s="16"/>
      <c r="C12" s="16"/>
      <c r="D12" s="16"/>
      <c r="E12" s="16"/>
      <c r="F12" s="16"/>
      <c r="G12" s="16"/>
      <c r="H12" s="246"/>
      <c r="I12" s="282"/>
      <c r="J12" s="282"/>
      <c r="K12" s="282"/>
      <c r="L12" s="282" t="s">
        <v>525</v>
      </c>
      <c r="M12" s="249"/>
      <c r="N12" s="249"/>
      <c r="O12" s="249"/>
      <c r="P12" s="247"/>
    </row>
    <row r="13" spans="1:16" ht="15.75" customHeight="1">
      <c r="B13" s="207" t="s">
        <v>65</v>
      </c>
      <c r="C13" s="214">
        <f ca="1">C5+C7+C9+C11</f>
        <v>108.9</v>
      </c>
      <c r="D13" s="219">
        <f ca="1">D5+D7+D9+D11</f>
        <v>126.9</v>
      </c>
      <c r="E13" s="220">
        <f ca="1">E5+E7+E9+E11</f>
        <v>118</v>
      </c>
      <c r="F13" s="16"/>
      <c r="G13" s="16"/>
      <c r="H13" s="246"/>
      <c r="I13" s="282"/>
      <c r="J13" s="282"/>
      <c r="K13" s="282"/>
      <c r="L13" s="287" t="str">
        <f ca="1">CONCATENATE("Story LOE: ", stories_total_loe_buffered, " days (",  IF(total_loe=0,0,ROUND(100*stories_total_loe_buffered/total_loe,0)),"%)")</f>
        <v>Story LOE: 108 days (92%)</v>
      </c>
      <c r="M13" s="249"/>
      <c r="N13" s="249"/>
      <c r="O13" s="249"/>
      <c r="P13" s="247"/>
    </row>
    <row r="14" spans="1:16" ht="15.75" customHeight="1">
      <c r="B14" s="202" t="s">
        <v>514</v>
      </c>
      <c r="C14" s="215">
        <f ca="1">C13/5</f>
        <v>21.78</v>
      </c>
      <c r="D14" s="218">
        <f ca="1">D13/5</f>
        <v>25.380000000000003</v>
      </c>
      <c r="E14" s="222">
        <f ca="1">E13/5</f>
        <v>23.6</v>
      </c>
      <c r="F14" s="16"/>
      <c r="G14" s="16"/>
      <c r="H14" s="246"/>
      <c r="I14" s="282"/>
      <c r="J14" s="282"/>
      <c r="K14" s="282"/>
      <c r="L14" s="282"/>
      <c r="M14" s="249"/>
      <c r="N14" s="249"/>
      <c r="O14" s="249"/>
      <c r="P14" s="247"/>
    </row>
    <row r="15" spans="1:16" ht="15.75" customHeight="1">
      <c r="B15" s="203" t="s">
        <v>515</v>
      </c>
      <c r="C15" s="216">
        <f ca="1">IF(ISERROR(C13/$E$13),0,C13/$E$13)</f>
        <v>0.92288135593220344</v>
      </c>
      <c r="D15" s="217">
        <f ca="1">IF(ISERROR(D13/$E$13),0,D13/$E$13)</f>
        <v>1.0754237288135593</v>
      </c>
      <c r="E15" s="221">
        <f ca="1">IF(ISERROR(E13/$E$13),0,E13/$E$13)</f>
        <v>1</v>
      </c>
      <c r="F15" s="16"/>
      <c r="G15" s="16"/>
      <c r="H15" s="250"/>
      <c r="I15" s="251"/>
      <c r="J15" s="251"/>
      <c r="K15" s="251"/>
      <c r="L15" s="251"/>
      <c r="M15" s="251"/>
      <c r="N15" s="251"/>
      <c r="O15" s="251"/>
      <c r="P15" s="252"/>
    </row>
    <row r="16" spans="1:16" ht="15.75" customHeight="1">
      <c r="B16" s="16"/>
      <c r="C16" s="16"/>
      <c r="D16" s="16"/>
      <c r="E16" s="16"/>
      <c r="F16" s="16"/>
      <c r="G16" s="16"/>
      <c r="H16" s="286"/>
      <c r="I16" s="286"/>
      <c r="J16" s="286"/>
      <c r="K16" s="286"/>
      <c r="L16" s="286"/>
      <c r="M16" s="286"/>
      <c r="N16" s="286"/>
      <c r="O16" s="286"/>
      <c r="P16" s="286"/>
    </row>
    <row r="17" spans="2:16" ht="15.75" customHeight="1">
      <c r="B17" s="16"/>
      <c r="C17" s="16"/>
      <c r="D17" s="16"/>
      <c r="E17" s="16"/>
      <c r="F17" s="16"/>
      <c r="G17" s="16"/>
      <c r="H17" s="286"/>
      <c r="I17" s="286"/>
      <c r="J17" s="286"/>
      <c r="K17" s="286"/>
      <c r="L17" s="286"/>
      <c r="M17" s="286"/>
      <c r="N17" s="286"/>
      <c r="O17" s="286"/>
      <c r="P17" s="286"/>
    </row>
    <row r="18" spans="2:16" ht="15.75" customHeight="1">
      <c r="B18" s="201" t="s">
        <v>516</v>
      </c>
      <c r="C18" s="208" t="s">
        <v>86</v>
      </c>
      <c r="D18" s="16"/>
      <c r="E18" s="234">
        <v>0.2</v>
      </c>
      <c r="F18" s="243"/>
      <c r="G18" s="17" t="str">
        <f ca="1">IF(E18&lt;=C$24,"&lt;","")</f>
        <v/>
      </c>
      <c r="H18" s="286"/>
      <c r="I18" s="286"/>
      <c r="J18" s="286"/>
      <c r="K18" s="286"/>
      <c r="L18" s="286"/>
      <c r="M18" s="286"/>
      <c r="N18" s="286"/>
      <c r="O18" s="286"/>
      <c r="P18" s="286"/>
    </row>
    <row r="19" spans="2:16" ht="15.75" customHeight="1">
      <c r="B19" s="202" t="s">
        <v>517</v>
      </c>
      <c r="C19" s="228">
        <f ca="1">ROUND(total_loe,0)</f>
        <v>118</v>
      </c>
      <c r="D19" s="16"/>
      <c r="E19" s="235">
        <v>0.1</v>
      </c>
      <c r="F19" s="244"/>
      <c r="G19" s="17" t="str">
        <f ca="1">IF(AND(E19&lt;=C$24,E18&gt;C$24),"&lt;","")</f>
        <v/>
      </c>
      <c r="H19" s="286"/>
      <c r="I19" s="286"/>
      <c r="J19" s="286"/>
      <c r="K19" s="286"/>
      <c r="L19" s="286"/>
      <c r="M19" s="286"/>
      <c r="N19" s="286"/>
      <c r="O19" s="286"/>
      <c r="P19" s="286"/>
    </row>
    <row r="20" spans="2:16" ht="15.75" customHeight="1">
      <c r="B20" s="203" t="s">
        <v>518</v>
      </c>
      <c r="C20" s="229">
        <f ca="1">staffing_total_person_days</f>
        <v>120</v>
      </c>
      <c r="D20" s="16"/>
      <c r="E20" s="236">
        <v>0.05</v>
      </c>
      <c r="F20" s="242"/>
      <c r="G20" s="17" t="str">
        <f ca="1">IF(AND(E20&lt;=C$24,E19&gt;C$24),"&lt;","")</f>
        <v/>
      </c>
      <c r="H20" s="286"/>
      <c r="I20" s="286"/>
      <c r="J20" s="286"/>
      <c r="K20" s="286"/>
      <c r="L20" s="286"/>
      <c r="M20" s="286"/>
      <c r="N20" s="286"/>
      <c r="O20" s="286"/>
      <c r="P20" s="286"/>
    </row>
    <row r="21" spans="2:16" ht="15.75" customHeight="1">
      <c r="B21" s="16"/>
      <c r="C21" s="16"/>
      <c r="D21" s="16"/>
      <c r="E21" s="232">
        <v>0</v>
      </c>
      <c r="F21" s="233"/>
      <c r="G21" s="17" t="str">
        <f ca="1">IF(AND(E22&lt;C$24,E20&gt;C$24),"&lt;","")</f>
        <v>&lt;</v>
      </c>
      <c r="H21" s="286"/>
      <c r="I21" s="286"/>
      <c r="J21" s="286"/>
      <c r="K21" s="286"/>
      <c r="L21" s="286"/>
      <c r="M21" s="286"/>
      <c r="N21" s="286"/>
      <c r="O21" s="286"/>
      <c r="P21" s="286"/>
    </row>
    <row r="22" spans="2:16" ht="15.75" customHeight="1">
      <c r="B22" s="16"/>
      <c r="C22" s="16"/>
      <c r="D22" s="16"/>
      <c r="E22" s="232">
        <v>-0.05</v>
      </c>
      <c r="F22" s="239"/>
      <c r="G22" s="17" t="str">
        <f ca="1">IF(AND(E22&gt;=C$24,E23&lt;C$24),"&lt;","")</f>
        <v/>
      </c>
      <c r="H22" s="286"/>
      <c r="I22" s="286"/>
      <c r="J22" s="286"/>
      <c r="K22" s="286"/>
      <c r="L22" s="286"/>
      <c r="M22" s="286"/>
      <c r="N22" s="286"/>
      <c r="O22" s="286"/>
      <c r="P22" s="286"/>
    </row>
    <row r="23" spans="2:16">
      <c r="B23" s="207" t="s">
        <v>520</v>
      </c>
      <c r="C23" s="231">
        <f ca="1">C20-C19</f>
        <v>2</v>
      </c>
      <c r="D23" s="16"/>
      <c r="E23" s="237">
        <v>-0.1</v>
      </c>
      <c r="F23" s="240"/>
      <c r="G23" s="17" t="str">
        <f ca="1">IF(AND(E23&gt;=C$24,E24&lt;C$24),"&lt;","")</f>
        <v/>
      </c>
      <c r="H23" s="286"/>
      <c r="I23" s="286"/>
      <c r="J23" s="286"/>
      <c r="K23" s="286"/>
      <c r="L23" s="286"/>
      <c r="M23" s="286"/>
      <c r="N23" s="286"/>
      <c r="O23" s="286"/>
      <c r="P23" s="286"/>
    </row>
    <row r="24" spans="2:16">
      <c r="B24" s="203" t="s">
        <v>521</v>
      </c>
      <c r="C24" s="230">
        <f ca="1">ROUND(IF(C20=0,-10,C23/C19),2)</f>
        <v>0.02</v>
      </c>
      <c r="D24" s="16"/>
      <c r="E24" s="238">
        <v>-0.2</v>
      </c>
      <c r="F24" s="241"/>
      <c r="G24" s="17" t="str">
        <f ca="1">IF(E24&gt;=C$24,"&lt;","")</f>
        <v/>
      </c>
      <c r="H24" s="286"/>
      <c r="I24" s="286"/>
      <c r="J24" s="286"/>
      <c r="K24" s="286"/>
      <c r="L24" s="286"/>
      <c r="M24" s="286"/>
      <c r="N24" s="286"/>
      <c r="O24" s="286"/>
      <c r="P24" s="286"/>
    </row>
    <row r="25" spans="2:16">
      <c r="H25" s="286"/>
      <c r="I25" s="286"/>
      <c r="J25" s="286"/>
      <c r="K25" s="286"/>
      <c r="L25" s="286"/>
      <c r="M25" s="286"/>
      <c r="N25" s="286"/>
      <c r="O25" s="286"/>
      <c r="P25" s="286"/>
    </row>
    <row r="26" spans="2:16">
      <c r="H26" s="16"/>
      <c r="I26" s="16"/>
    </row>
  </sheetData>
  <dataConsolidate/>
  <mergeCells count="2">
    <mergeCell ref="C3:E3"/>
    <mergeCell ref="I4:O4"/>
  </mergeCells>
  <conditionalFormatting sqref="G18:G24">
    <cfRule type="cellIs" dxfId="1" priority="1" stopIfTrue="1" operator="notEqual">
      <formula>"&lt;"</formula>
    </cfRule>
    <cfRule type="cellIs" dxfId="0" priority="2" stopIfTrue="1" operator="equal">
      <formula>"&lt;"</formula>
    </cfRule>
  </conditionalFormatting>
  <pageMargins left="0.7" right="0.7" top="0.75" bottom="0.75" header="0.3" footer="0.3"/>
  <pageSetup orientation="portrait"/>
  <headerFooter>
    <oddFooter>&amp;L&amp;"Calibri,Regular"&amp;9&amp;D&amp;C&amp;"Calibri,Regular"&amp;9&amp;GSapient Confidential
&amp;6           Estimation Tool V5.0.0&amp;R&amp;9Page &amp;P</oddFooter>
  </headerFooter>
  <drawing r:id="rId1"/>
  <legacy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7"/>
  <sheetViews>
    <sheetView workbookViewId="0"/>
  </sheetViews>
  <sheetFormatPr defaultColWidth="8.875" defaultRowHeight="15.75"/>
  <cols>
    <col min="1" max="1" width="9.5" bestFit="1" customWidth="1"/>
    <col min="2" max="2" width="7.625" bestFit="1" customWidth="1"/>
    <col min="3" max="3" width="10.125" bestFit="1" customWidth="1"/>
    <col min="4" max="4" width="6.125" bestFit="1" customWidth="1"/>
    <col min="5" max="5" width="11.625" bestFit="1" customWidth="1"/>
    <col min="6" max="6" width="13.125" bestFit="1" customWidth="1"/>
    <col min="7" max="7" width="10.125" bestFit="1" customWidth="1"/>
    <col min="8" max="8" width="14.5" bestFit="1" customWidth="1"/>
    <col min="9" max="9" width="7.5" bestFit="1" customWidth="1"/>
    <col min="10" max="10" width="4.625" bestFit="1" customWidth="1"/>
    <col min="11" max="11" width="3.625" bestFit="1" customWidth="1"/>
    <col min="12" max="12" width="15.625" bestFit="1" customWidth="1"/>
    <col min="13" max="13" width="16.625" bestFit="1" customWidth="1"/>
    <col min="14" max="14" width="27.375" bestFit="1" customWidth="1"/>
    <col min="15" max="15" width="7.875" bestFit="1" customWidth="1"/>
    <col min="16" max="16" width="15.125" bestFit="1" customWidth="1"/>
  </cols>
  <sheetData>
    <row r="1" spans="1:16">
      <c r="A1" t="s">
        <v>1116</v>
      </c>
      <c r="B1" t="s">
        <v>1277</v>
      </c>
      <c r="C1" t="s">
        <v>1278</v>
      </c>
      <c r="D1" t="s">
        <v>1358</v>
      </c>
      <c r="E1" t="s">
        <v>1118</v>
      </c>
      <c r="F1" t="s">
        <v>1119</v>
      </c>
      <c r="G1" t="s">
        <v>61</v>
      </c>
      <c r="H1" t="s">
        <v>58</v>
      </c>
      <c r="I1" t="s">
        <v>1359</v>
      </c>
      <c r="J1" t="s">
        <v>1121</v>
      </c>
      <c r="K1" t="s">
        <v>1122</v>
      </c>
      <c r="L1" t="s">
        <v>1123</v>
      </c>
      <c r="M1" t="s">
        <v>1124</v>
      </c>
      <c r="N1" t="s">
        <v>1120</v>
      </c>
      <c r="O1" t="s">
        <v>1126</v>
      </c>
      <c r="P1" t="s">
        <v>1287</v>
      </c>
    </row>
    <row r="2" spans="1:16">
      <c r="A2" t="s">
        <v>1127</v>
      </c>
      <c r="B2">
        <v>1</v>
      </c>
      <c r="D2" t="s">
        <v>1365</v>
      </c>
      <c r="E2" t="s">
        <v>17</v>
      </c>
      <c r="F2" t="s">
        <v>1360</v>
      </c>
      <c r="G2" t="s">
        <v>1360</v>
      </c>
      <c r="H2" t="s">
        <v>1360</v>
      </c>
      <c r="I2" t="s">
        <v>1362</v>
      </c>
      <c r="J2">
        <v>11</v>
      </c>
      <c r="K2">
        <v>14</v>
      </c>
      <c r="L2">
        <v>12.5</v>
      </c>
      <c r="M2" t="s">
        <v>1366</v>
      </c>
      <c r="N2" t="s">
        <v>1368</v>
      </c>
      <c r="P2">
        <v>360000</v>
      </c>
    </row>
    <row r="3" spans="1:16">
      <c r="A3" t="s">
        <v>1361</v>
      </c>
      <c r="C3">
        <v>1</v>
      </c>
      <c r="D3" t="s">
        <v>1365</v>
      </c>
      <c r="E3" t="s">
        <v>17</v>
      </c>
      <c r="F3" t="s">
        <v>1363</v>
      </c>
      <c r="H3" t="s">
        <v>1360</v>
      </c>
      <c r="I3" t="s">
        <v>1362</v>
      </c>
      <c r="J3">
        <v>5</v>
      </c>
      <c r="K3">
        <v>6</v>
      </c>
      <c r="L3">
        <v>5.5</v>
      </c>
      <c r="N3" t="s">
        <v>1368</v>
      </c>
      <c r="P3">
        <v>158400</v>
      </c>
    </row>
    <row r="4" spans="1:16">
      <c r="A4" t="s">
        <v>1361</v>
      </c>
      <c r="C4">
        <v>1</v>
      </c>
      <c r="D4" t="s">
        <v>1365</v>
      </c>
      <c r="E4" t="s">
        <v>17</v>
      </c>
      <c r="F4" t="s">
        <v>1364</v>
      </c>
      <c r="H4" t="s">
        <v>1360</v>
      </c>
      <c r="I4" t="s">
        <v>1362</v>
      </c>
      <c r="J4">
        <v>6</v>
      </c>
      <c r="K4">
        <v>8</v>
      </c>
      <c r="L4">
        <v>7</v>
      </c>
      <c r="N4" t="s">
        <v>1368</v>
      </c>
      <c r="P4">
        <v>201600</v>
      </c>
    </row>
    <row r="5" spans="1:16">
      <c r="A5" t="s">
        <v>1127</v>
      </c>
      <c r="B5">
        <v>2</v>
      </c>
      <c r="D5" t="s">
        <v>1365</v>
      </c>
      <c r="E5" t="s">
        <v>17</v>
      </c>
      <c r="F5" t="s">
        <v>1360</v>
      </c>
      <c r="G5" t="s">
        <v>1360</v>
      </c>
      <c r="H5" t="s">
        <v>1360</v>
      </c>
      <c r="I5" t="s">
        <v>1362</v>
      </c>
      <c r="J5">
        <v>11</v>
      </c>
      <c r="K5">
        <v>14</v>
      </c>
      <c r="L5">
        <v>12.5</v>
      </c>
      <c r="M5" t="s">
        <v>1367</v>
      </c>
      <c r="N5" t="s">
        <v>1368</v>
      </c>
      <c r="P5">
        <v>360000</v>
      </c>
    </row>
    <row r="6" spans="1:16">
      <c r="A6" t="s">
        <v>1361</v>
      </c>
      <c r="C6">
        <v>2</v>
      </c>
      <c r="D6" t="s">
        <v>1365</v>
      </c>
      <c r="E6" t="s">
        <v>17</v>
      </c>
      <c r="F6" t="s">
        <v>1363</v>
      </c>
      <c r="H6" t="s">
        <v>1360</v>
      </c>
      <c r="I6" t="s">
        <v>1362</v>
      </c>
      <c r="J6">
        <v>5</v>
      </c>
      <c r="K6">
        <v>6</v>
      </c>
      <c r="L6">
        <v>5.5</v>
      </c>
      <c r="N6" t="s">
        <v>1368</v>
      </c>
      <c r="P6">
        <v>158400</v>
      </c>
    </row>
    <row r="7" spans="1:16">
      <c r="A7" t="s">
        <v>1361</v>
      </c>
      <c r="C7">
        <v>2</v>
      </c>
      <c r="D7" t="s">
        <v>1365</v>
      </c>
      <c r="E7" t="s">
        <v>17</v>
      </c>
      <c r="F7" t="s">
        <v>1364</v>
      </c>
      <c r="H7" t="s">
        <v>1360</v>
      </c>
      <c r="I7" t="s">
        <v>1362</v>
      </c>
      <c r="J7">
        <v>6</v>
      </c>
      <c r="K7">
        <v>8</v>
      </c>
      <c r="L7">
        <v>7</v>
      </c>
      <c r="N7" t="s">
        <v>1368</v>
      </c>
      <c r="P7">
        <v>201600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73"/>
  <sheetViews>
    <sheetView workbookViewId="0"/>
  </sheetViews>
  <sheetFormatPr defaultColWidth="8.875" defaultRowHeight="15.75"/>
  <cols>
    <col min="1" max="1" width="13.25" bestFit="1" customWidth="1"/>
    <col min="2" max="2" width="11.875" bestFit="1" customWidth="1"/>
    <col min="3" max="3" width="15.625" bestFit="1" customWidth="1"/>
    <col min="4" max="4" width="33.375" bestFit="1" customWidth="1"/>
    <col min="5" max="5" width="35.375" bestFit="1" customWidth="1"/>
    <col min="6" max="7" width="9.375" bestFit="1" customWidth="1"/>
    <col min="8" max="8" width="5.25" bestFit="1" customWidth="1"/>
  </cols>
  <sheetData>
    <row r="1" spans="1:8">
      <c r="A1" t="s">
        <v>85</v>
      </c>
      <c r="B1" t="s">
        <v>125</v>
      </c>
      <c r="D1" t="s">
        <v>268</v>
      </c>
      <c r="E1" t="s">
        <v>971</v>
      </c>
      <c r="F1" s="399">
        <v>42471</v>
      </c>
      <c r="G1" s="399">
        <v>42580</v>
      </c>
      <c r="H1" s="400">
        <v>1</v>
      </c>
    </row>
    <row r="2" spans="1:8">
      <c r="A2" t="s">
        <v>77</v>
      </c>
      <c r="B2" t="s">
        <v>125</v>
      </c>
      <c r="D2" t="s">
        <v>247</v>
      </c>
      <c r="E2" t="s">
        <v>1002</v>
      </c>
      <c r="F2" s="399">
        <v>42457</v>
      </c>
      <c r="G2" s="399">
        <v>42559</v>
      </c>
      <c r="H2" s="400">
        <v>1</v>
      </c>
    </row>
    <row r="3" spans="1:8">
      <c r="A3" t="s">
        <v>77</v>
      </c>
      <c r="B3" t="s">
        <v>125</v>
      </c>
      <c r="D3" t="s">
        <v>247</v>
      </c>
      <c r="E3" t="s">
        <v>1002</v>
      </c>
      <c r="F3" s="399">
        <v>42471</v>
      </c>
      <c r="G3" s="399">
        <v>42580</v>
      </c>
      <c r="H3" s="400">
        <v>1</v>
      </c>
    </row>
    <row r="4" spans="1:8">
      <c r="A4" t="s">
        <v>77</v>
      </c>
      <c r="B4" t="s">
        <v>125</v>
      </c>
      <c r="D4" t="s">
        <v>223</v>
      </c>
      <c r="E4" t="s">
        <v>169</v>
      </c>
      <c r="F4" s="399">
        <v>42457</v>
      </c>
      <c r="G4" s="399">
        <v>42559</v>
      </c>
      <c r="H4" s="400">
        <v>0.1</v>
      </c>
    </row>
    <row r="5" spans="1:8">
      <c r="A5" t="s">
        <v>77</v>
      </c>
      <c r="B5" t="s">
        <v>125</v>
      </c>
      <c r="D5" t="s">
        <v>244</v>
      </c>
      <c r="E5" t="s">
        <v>634</v>
      </c>
      <c r="F5" s="399">
        <v>42457</v>
      </c>
      <c r="G5" s="399">
        <v>42475</v>
      </c>
      <c r="H5" s="400">
        <v>0.5</v>
      </c>
    </row>
    <row r="6" spans="1:8">
      <c r="A6" t="s">
        <v>77</v>
      </c>
      <c r="B6" t="s">
        <v>125</v>
      </c>
      <c r="D6" t="s">
        <v>244</v>
      </c>
      <c r="E6" t="s">
        <v>634</v>
      </c>
      <c r="F6" s="399">
        <v>42478</v>
      </c>
      <c r="G6" s="399">
        <v>42559</v>
      </c>
      <c r="H6" s="400">
        <v>1</v>
      </c>
    </row>
    <row r="7" spans="1:8">
      <c r="A7" t="s">
        <v>77</v>
      </c>
      <c r="B7" t="s">
        <v>125</v>
      </c>
      <c r="D7" t="s">
        <v>244</v>
      </c>
      <c r="E7" t="s">
        <v>634</v>
      </c>
      <c r="F7" s="399">
        <v>42562</v>
      </c>
      <c r="G7" s="399">
        <v>42580</v>
      </c>
      <c r="H7" s="400">
        <v>0.5</v>
      </c>
    </row>
    <row r="8" spans="1:8">
      <c r="A8" t="s">
        <v>77</v>
      </c>
      <c r="B8" t="s">
        <v>125</v>
      </c>
      <c r="D8" t="s">
        <v>244</v>
      </c>
      <c r="E8" t="s">
        <v>634</v>
      </c>
      <c r="F8" s="399">
        <v>42464</v>
      </c>
      <c r="G8" s="399">
        <v>42482</v>
      </c>
      <c r="H8" s="400">
        <v>0.5</v>
      </c>
    </row>
    <row r="9" spans="1:8">
      <c r="A9" t="s">
        <v>77</v>
      </c>
      <c r="B9" t="s">
        <v>125</v>
      </c>
      <c r="D9" t="s">
        <v>244</v>
      </c>
      <c r="E9" t="s">
        <v>634</v>
      </c>
      <c r="F9" s="399">
        <v>42485</v>
      </c>
      <c r="G9" s="399">
        <v>42559</v>
      </c>
      <c r="H9" s="400">
        <v>1</v>
      </c>
    </row>
    <row r="10" spans="1:8">
      <c r="A10" t="s">
        <v>77</v>
      </c>
      <c r="B10" t="s">
        <v>125</v>
      </c>
      <c r="D10" t="s">
        <v>264</v>
      </c>
      <c r="E10" t="s">
        <v>564</v>
      </c>
      <c r="F10" s="399">
        <v>42457</v>
      </c>
      <c r="G10" s="399">
        <v>42559</v>
      </c>
      <c r="H10" s="400">
        <v>1</v>
      </c>
    </row>
    <row r="11" spans="1:8">
      <c r="A11" t="s">
        <v>77</v>
      </c>
      <c r="B11" t="s">
        <v>125</v>
      </c>
      <c r="D11" t="s">
        <v>378</v>
      </c>
      <c r="E11" t="s">
        <v>839</v>
      </c>
      <c r="F11" s="399">
        <v>42478</v>
      </c>
      <c r="G11" s="399">
        <v>42559</v>
      </c>
      <c r="H11" s="400">
        <v>1</v>
      </c>
    </row>
    <row r="12" spans="1:8">
      <c r="A12" t="s">
        <v>77</v>
      </c>
      <c r="B12" t="s">
        <v>125</v>
      </c>
      <c r="D12" t="s">
        <v>245</v>
      </c>
      <c r="E12" t="s">
        <v>187</v>
      </c>
      <c r="F12" s="399">
        <v>42478</v>
      </c>
      <c r="G12" s="399">
        <v>42559</v>
      </c>
      <c r="H12" s="400">
        <v>1</v>
      </c>
    </row>
    <row r="13" spans="1:8">
      <c r="A13" t="s">
        <v>84</v>
      </c>
      <c r="B13" t="s">
        <v>107</v>
      </c>
      <c r="D13" t="s">
        <v>223</v>
      </c>
      <c r="E13" t="s">
        <v>169</v>
      </c>
      <c r="F13" s="399">
        <v>42457</v>
      </c>
      <c r="G13" s="399">
        <v>42559</v>
      </c>
      <c r="H13" s="400">
        <v>0.1</v>
      </c>
    </row>
    <row r="14" spans="1:8">
      <c r="A14" t="s">
        <v>84</v>
      </c>
      <c r="B14" t="s">
        <v>100</v>
      </c>
      <c r="D14" t="s">
        <v>290</v>
      </c>
      <c r="E14" t="s">
        <v>714</v>
      </c>
      <c r="F14" s="399">
        <v>42492</v>
      </c>
      <c r="G14" s="399">
        <v>42559</v>
      </c>
      <c r="H14" s="400">
        <v>1</v>
      </c>
    </row>
    <row r="15" spans="1:8">
      <c r="A15" t="s">
        <v>84</v>
      </c>
      <c r="B15" t="s">
        <v>116</v>
      </c>
      <c r="D15" t="s">
        <v>244</v>
      </c>
      <c r="E15" t="s">
        <v>634</v>
      </c>
      <c r="F15" s="399">
        <v>42492</v>
      </c>
      <c r="G15" s="399">
        <v>42559</v>
      </c>
      <c r="H15" s="400">
        <v>1</v>
      </c>
    </row>
    <row r="16" spans="1:8">
      <c r="A16" t="s">
        <v>84</v>
      </c>
      <c r="B16" t="s">
        <v>116</v>
      </c>
      <c r="D16" t="s">
        <v>244</v>
      </c>
      <c r="E16" t="s">
        <v>634</v>
      </c>
      <c r="F16" s="399">
        <v>42492</v>
      </c>
      <c r="G16" s="399">
        <v>42559</v>
      </c>
      <c r="H16" s="400">
        <v>1</v>
      </c>
    </row>
    <row r="17" spans="1:8">
      <c r="A17" t="s">
        <v>84</v>
      </c>
      <c r="B17" t="s">
        <v>100</v>
      </c>
      <c r="D17" t="s">
        <v>287</v>
      </c>
      <c r="E17" t="s">
        <v>169</v>
      </c>
      <c r="F17" s="399">
        <v>42492</v>
      </c>
      <c r="G17" s="399">
        <v>42559</v>
      </c>
      <c r="H17" s="400">
        <v>1</v>
      </c>
    </row>
    <row r="18" spans="1:8">
      <c r="A18" t="s">
        <v>84</v>
      </c>
      <c r="B18" t="s">
        <v>116</v>
      </c>
      <c r="D18" t="s">
        <v>247</v>
      </c>
      <c r="E18" t="s">
        <v>1002</v>
      </c>
      <c r="F18" s="399">
        <v>42492</v>
      </c>
      <c r="G18" s="399">
        <v>42559</v>
      </c>
      <c r="H18" s="400">
        <v>1</v>
      </c>
    </row>
    <row r="19" spans="1:8">
      <c r="A19" t="s">
        <v>84</v>
      </c>
      <c r="B19" t="s">
        <v>116</v>
      </c>
      <c r="D19" t="s">
        <v>329</v>
      </c>
      <c r="E19" t="s">
        <v>854</v>
      </c>
      <c r="F19" s="399">
        <v>42457</v>
      </c>
      <c r="G19" s="399">
        <v>42559</v>
      </c>
      <c r="H19" s="400">
        <v>0.25</v>
      </c>
    </row>
    <row r="20" spans="1:8">
      <c r="A20" t="s">
        <v>84</v>
      </c>
      <c r="B20" t="s">
        <v>116</v>
      </c>
      <c r="D20" t="s">
        <v>329</v>
      </c>
      <c r="E20" t="s">
        <v>853</v>
      </c>
      <c r="F20" s="399">
        <v>42457</v>
      </c>
      <c r="G20" s="399">
        <v>42559</v>
      </c>
      <c r="H20" s="400">
        <v>0.1</v>
      </c>
    </row>
    <row r="21" spans="1:8">
      <c r="A21" t="s">
        <v>77</v>
      </c>
      <c r="B21" t="s">
        <v>125</v>
      </c>
      <c r="D21" t="s">
        <v>267</v>
      </c>
      <c r="E21" t="s">
        <v>699</v>
      </c>
      <c r="F21" s="399">
        <v>42492</v>
      </c>
      <c r="G21" s="399">
        <v>42580</v>
      </c>
      <c r="H21" s="400">
        <v>1</v>
      </c>
    </row>
    <row r="22" spans="1:8">
      <c r="A22" t="s">
        <v>77</v>
      </c>
      <c r="B22" t="s">
        <v>125</v>
      </c>
      <c r="D22" t="s">
        <v>267</v>
      </c>
      <c r="E22" t="s">
        <v>699</v>
      </c>
      <c r="F22" s="399">
        <v>42478</v>
      </c>
      <c r="G22" s="399">
        <v>42559</v>
      </c>
      <c r="H22" s="400">
        <v>1</v>
      </c>
    </row>
    <row r="23" spans="1:8">
      <c r="A23" t="s">
        <v>77</v>
      </c>
      <c r="B23" t="s">
        <v>125</v>
      </c>
      <c r="D23" t="s">
        <v>205</v>
      </c>
      <c r="E23" t="s">
        <v>878</v>
      </c>
      <c r="F23" s="399">
        <v>42457</v>
      </c>
      <c r="G23" s="399">
        <v>42475</v>
      </c>
      <c r="H23" s="400">
        <v>1</v>
      </c>
    </row>
    <row r="24" spans="1:8">
      <c r="A24" t="s">
        <v>77</v>
      </c>
      <c r="B24" t="s">
        <v>125</v>
      </c>
      <c r="D24" t="s">
        <v>205</v>
      </c>
      <c r="E24" t="s">
        <v>878</v>
      </c>
      <c r="F24" s="399">
        <v>42457</v>
      </c>
      <c r="G24" s="399">
        <v>42475</v>
      </c>
      <c r="H24" s="400">
        <v>1</v>
      </c>
    </row>
    <row r="25" spans="1:8">
      <c r="A25" t="s">
        <v>77</v>
      </c>
      <c r="B25" t="s">
        <v>125</v>
      </c>
      <c r="D25" t="s">
        <v>377</v>
      </c>
      <c r="E25" t="s">
        <v>839</v>
      </c>
      <c r="F25" s="399">
        <v>42457</v>
      </c>
      <c r="G25" s="399">
        <v>42580</v>
      </c>
      <c r="H25" s="400">
        <v>1</v>
      </c>
    </row>
    <row r="26" spans="1:8">
      <c r="A26" t="s">
        <v>77</v>
      </c>
      <c r="B26" t="s">
        <v>125</v>
      </c>
      <c r="D26" t="s">
        <v>377</v>
      </c>
      <c r="E26" t="s">
        <v>839</v>
      </c>
      <c r="F26" s="399">
        <v>42457</v>
      </c>
      <c r="G26" s="399">
        <v>42545</v>
      </c>
      <c r="H26" s="400">
        <v>1</v>
      </c>
    </row>
    <row r="27" spans="1:8">
      <c r="A27" t="s">
        <v>77</v>
      </c>
      <c r="B27" t="s">
        <v>125</v>
      </c>
      <c r="D27" t="s">
        <v>348</v>
      </c>
      <c r="E27" t="s">
        <v>839</v>
      </c>
      <c r="F27" s="399">
        <v>42457</v>
      </c>
      <c r="G27" s="399">
        <v>42517</v>
      </c>
      <c r="H27" s="400">
        <v>1</v>
      </c>
    </row>
    <row r="28" spans="1:8">
      <c r="A28" t="s">
        <v>77</v>
      </c>
      <c r="B28" t="s">
        <v>125</v>
      </c>
      <c r="D28" t="s">
        <v>348</v>
      </c>
      <c r="E28" t="s">
        <v>839</v>
      </c>
      <c r="F28" s="399">
        <v>42457</v>
      </c>
      <c r="G28" s="399">
        <v>42510</v>
      </c>
      <c r="H28" s="400">
        <v>1</v>
      </c>
    </row>
    <row r="29" spans="1:8">
      <c r="A29" t="s">
        <v>77</v>
      </c>
      <c r="B29" t="s">
        <v>125</v>
      </c>
      <c r="D29" t="s">
        <v>348</v>
      </c>
      <c r="E29" t="s">
        <v>839</v>
      </c>
      <c r="F29" s="399">
        <v>42464</v>
      </c>
      <c r="G29" s="399">
        <v>42510</v>
      </c>
      <c r="H29" s="400">
        <v>1</v>
      </c>
    </row>
    <row r="30" spans="1:8">
      <c r="A30" t="s">
        <v>77</v>
      </c>
      <c r="B30" t="s">
        <v>125</v>
      </c>
      <c r="D30" t="s">
        <v>348</v>
      </c>
      <c r="E30" t="s">
        <v>839</v>
      </c>
      <c r="F30" s="399">
        <v>42464</v>
      </c>
      <c r="G30" s="399">
        <v>42489</v>
      </c>
      <c r="H30" s="400">
        <v>1</v>
      </c>
    </row>
    <row r="31" spans="1:8">
      <c r="A31" t="s">
        <v>77</v>
      </c>
      <c r="B31" t="s">
        <v>125</v>
      </c>
      <c r="D31" t="s">
        <v>265</v>
      </c>
      <c r="E31" t="s">
        <v>951</v>
      </c>
      <c r="F31" s="399">
        <v>42457</v>
      </c>
      <c r="G31" s="399">
        <v>42580</v>
      </c>
      <c r="H31" s="400">
        <v>1</v>
      </c>
    </row>
    <row r="32" spans="1:8">
      <c r="A32" t="s">
        <v>77</v>
      </c>
      <c r="B32" t="s">
        <v>125</v>
      </c>
      <c r="D32" t="s">
        <v>265</v>
      </c>
      <c r="E32" t="s">
        <v>951</v>
      </c>
      <c r="F32" s="399">
        <v>42457</v>
      </c>
      <c r="G32" s="399">
        <v>42552</v>
      </c>
      <c r="H32" s="400">
        <v>1</v>
      </c>
    </row>
    <row r="33" spans="1:8">
      <c r="A33" t="s">
        <v>77</v>
      </c>
      <c r="B33" t="s">
        <v>125</v>
      </c>
      <c r="D33" t="s">
        <v>265</v>
      </c>
      <c r="E33" t="s">
        <v>951</v>
      </c>
      <c r="F33" s="399">
        <v>42464</v>
      </c>
      <c r="G33" s="399">
        <v>42517</v>
      </c>
      <c r="H33" s="400">
        <v>1</v>
      </c>
    </row>
    <row r="34" spans="1:8">
      <c r="A34" t="s">
        <v>77</v>
      </c>
      <c r="B34" t="s">
        <v>125</v>
      </c>
      <c r="D34" t="s">
        <v>265</v>
      </c>
      <c r="E34" t="s">
        <v>951</v>
      </c>
      <c r="F34" s="399">
        <v>42478</v>
      </c>
      <c r="G34" s="399">
        <v>42489</v>
      </c>
      <c r="H34" s="400">
        <v>1</v>
      </c>
    </row>
    <row r="35" spans="1:8">
      <c r="A35" t="s">
        <v>77</v>
      </c>
      <c r="B35" t="s">
        <v>125</v>
      </c>
      <c r="D35" t="s">
        <v>258</v>
      </c>
      <c r="E35" t="s">
        <v>1114</v>
      </c>
      <c r="F35" s="399">
        <v>42492</v>
      </c>
      <c r="G35" s="399">
        <v>42559</v>
      </c>
      <c r="H35" s="400">
        <v>1</v>
      </c>
    </row>
    <row r="36" spans="1:8">
      <c r="A36" t="s">
        <v>77</v>
      </c>
      <c r="B36" t="s">
        <v>125</v>
      </c>
      <c r="D36" t="s">
        <v>338</v>
      </c>
      <c r="E36" t="s">
        <v>829</v>
      </c>
      <c r="F36" s="399">
        <v>42464</v>
      </c>
      <c r="G36" s="399">
        <v>42559</v>
      </c>
      <c r="H36" s="400">
        <v>1</v>
      </c>
    </row>
    <row r="37" spans="1:8">
      <c r="A37" t="s">
        <v>77</v>
      </c>
      <c r="B37" t="s">
        <v>125</v>
      </c>
      <c r="D37" t="s">
        <v>338</v>
      </c>
      <c r="E37" t="s">
        <v>829</v>
      </c>
      <c r="F37" s="399">
        <v>42464</v>
      </c>
      <c r="G37" s="399">
        <v>42559</v>
      </c>
      <c r="H37" s="400">
        <v>1</v>
      </c>
    </row>
    <row r="38" spans="1:8">
      <c r="A38" t="s">
        <v>77</v>
      </c>
      <c r="B38" t="s">
        <v>125</v>
      </c>
      <c r="D38" t="s">
        <v>338</v>
      </c>
      <c r="E38" t="s">
        <v>829</v>
      </c>
      <c r="F38" s="399">
        <v>42464</v>
      </c>
      <c r="G38" s="399">
        <v>42559</v>
      </c>
      <c r="H38" s="400">
        <v>1</v>
      </c>
    </row>
    <row r="39" spans="1:8">
      <c r="A39" t="s">
        <v>77</v>
      </c>
      <c r="B39" t="s">
        <v>125</v>
      </c>
      <c r="D39" t="s">
        <v>338</v>
      </c>
      <c r="E39" t="s">
        <v>829</v>
      </c>
      <c r="F39" s="399">
        <v>42464</v>
      </c>
      <c r="G39" s="399">
        <v>42552</v>
      </c>
      <c r="H39" s="400">
        <v>1</v>
      </c>
    </row>
    <row r="40" spans="1:8">
      <c r="A40" t="s">
        <v>77</v>
      </c>
      <c r="B40" t="s">
        <v>125</v>
      </c>
      <c r="D40" t="s">
        <v>338</v>
      </c>
      <c r="E40" t="s">
        <v>829</v>
      </c>
      <c r="F40" s="399">
        <v>42464</v>
      </c>
      <c r="G40" s="399">
        <v>42545</v>
      </c>
      <c r="H40" s="400">
        <v>1</v>
      </c>
    </row>
    <row r="41" spans="1:8">
      <c r="A41" t="s">
        <v>77</v>
      </c>
      <c r="B41" t="s">
        <v>125</v>
      </c>
      <c r="D41" t="s">
        <v>338</v>
      </c>
      <c r="E41" t="s">
        <v>829</v>
      </c>
      <c r="F41" s="399">
        <v>42464</v>
      </c>
      <c r="G41" s="399">
        <v>42531</v>
      </c>
      <c r="H41" s="400">
        <v>1</v>
      </c>
    </row>
    <row r="42" spans="1:8">
      <c r="A42" t="s">
        <v>77</v>
      </c>
      <c r="B42" t="s">
        <v>125</v>
      </c>
      <c r="D42" t="s">
        <v>338</v>
      </c>
      <c r="E42" t="s">
        <v>829</v>
      </c>
      <c r="F42" s="399">
        <v>42464</v>
      </c>
      <c r="G42" s="399">
        <v>42531</v>
      </c>
      <c r="H42" s="400">
        <v>1</v>
      </c>
    </row>
    <row r="43" spans="1:8">
      <c r="A43" t="s">
        <v>77</v>
      </c>
      <c r="B43" t="s">
        <v>125</v>
      </c>
      <c r="D43" t="s">
        <v>338</v>
      </c>
      <c r="E43" t="s">
        <v>829</v>
      </c>
      <c r="F43" s="399">
        <v>42457</v>
      </c>
      <c r="G43" s="399">
        <v>42531</v>
      </c>
      <c r="H43" s="400">
        <v>1</v>
      </c>
    </row>
    <row r="44" spans="1:8">
      <c r="A44" t="s">
        <v>77</v>
      </c>
      <c r="B44" t="s">
        <v>125</v>
      </c>
      <c r="D44" t="s">
        <v>338</v>
      </c>
      <c r="E44" t="s">
        <v>829</v>
      </c>
      <c r="F44" s="399">
        <v>42457</v>
      </c>
      <c r="G44" s="399">
        <v>42524</v>
      </c>
      <c r="H44" s="400">
        <v>1</v>
      </c>
    </row>
    <row r="45" spans="1:8">
      <c r="A45" t="s">
        <v>77</v>
      </c>
      <c r="B45" t="s">
        <v>125</v>
      </c>
      <c r="D45" t="s">
        <v>338</v>
      </c>
      <c r="E45" t="s">
        <v>829</v>
      </c>
      <c r="F45" s="399">
        <v>42457</v>
      </c>
      <c r="G45" s="399">
        <v>42524</v>
      </c>
      <c r="H45" s="400">
        <v>1</v>
      </c>
    </row>
    <row r="46" spans="1:8">
      <c r="A46" t="s">
        <v>77</v>
      </c>
      <c r="B46" t="s">
        <v>125</v>
      </c>
      <c r="D46" t="s">
        <v>338</v>
      </c>
      <c r="E46" t="s">
        <v>829</v>
      </c>
      <c r="F46" s="399">
        <v>42457</v>
      </c>
      <c r="G46" s="399">
        <v>42524</v>
      </c>
      <c r="H46" s="400">
        <v>1</v>
      </c>
    </row>
    <row r="47" spans="1:8">
      <c r="A47" t="s">
        <v>77</v>
      </c>
      <c r="B47" t="s">
        <v>125</v>
      </c>
      <c r="D47" t="s">
        <v>338</v>
      </c>
      <c r="E47" t="s">
        <v>829</v>
      </c>
      <c r="F47" s="399">
        <v>42457</v>
      </c>
      <c r="G47" s="399">
        <v>42524</v>
      </c>
      <c r="H47" s="400">
        <v>1</v>
      </c>
    </row>
    <row r="48" spans="1:8">
      <c r="A48" t="s">
        <v>77</v>
      </c>
      <c r="B48" t="s">
        <v>125</v>
      </c>
      <c r="D48" t="s">
        <v>338</v>
      </c>
      <c r="E48" t="s">
        <v>829</v>
      </c>
      <c r="F48" s="399">
        <v>42457</v>
      </c>
      <c r="G48" s="399">
        <v>42524</v>
      </c>
      <c r="H48" s="400">
        <v>1</v>
      </c>
    </row>
    <row r="49" spans="1:8">
      <c r="A49" t="s">
        <v>77</v>
      </c>
      <c r="B49" t="s">
        <v>125</v>
      </c>
      <c r="D49" t="s">
        <v>338</v>
      </c>
      <c r="E49" t="s">
        <v>829</v>
      </c>
      <c r="F49" s="399">
        <v>42457</v>
      </c>
      <c r="G49" s="399">
        <v>42524</v>
      </c>
      <c r="H49" s="400">
        <v>1</v>
      </c>
    </row>
    <row r="50" spans="1:8">
      <c r="A50" t="s">
        <v>77</v>
      </c>
      <c r="B50" t="s">
        <v>125</v>
      </c>
      <c r="D50" t="s">
        <v>338</v>
      </c>
      <c r="E50" t="s">
        <v>829</v>
      </c>
      <c r="F50" s="399">
        <v>42457</v>
      </c>
      <c r="G50" s="399">
        <v>42524</v>
      </c>
      <c r="H50" s="400">
        <v>1</v>
      </c>
    </row>
    <row r="51" spans="1:8">
      <c r="A51" t="s">
        <v>77</v>
      </c>
      <c r="B51" t="s">
        <v>125</v>
      </c>
      <c r="D51" t="s">
        <v>338</v>
      </c>
      <c r="E51" t="s">
        <v>829</v>
      </c>
      <c r="F51" s="399">
        <v>42457</v>
      </c>
      <c r="G51" s="399">
        <v>42524</v>
      </c>
      <c r="H51" s="400">
        <v>1</v>
      </c>
    </row>
    <row r="52" spans="1:8">
      <c r="A52" t="s">
        <v>77</v>
      </c>
      <c r="B52" t="s">
        <v>125</v>
      </c>
      <c r="D52" t="s">
        <v>338</v>
      </c>
      <c r="E52" t="s">
        <v>829</v>
      </c>
      <c r="F52" s="399">
        <v>42457</v>
      </c>
      <c r="G52" s="399">
        <v>42524</v>
      </c>
      <c r="H52" s="400">
        <v>1</v>
      </c>
    </row>
    <row r="53" spans="1:8">
      <c r="A53" t="s">
        <v>77</v>
      </c>
      <c r="B53" t="s">
        <v>125</v>
      </c>
      <c r="D53" t="s">
        <v>338</v>
      </c>
      <c r="E53" t="s">
        <v>829</v>
      </c>
      <c r="F53" s="399">
        <v>42457</v>
      </c>
      <c r="G53" s="399">
        <v>42524</v>
      </c>
      <c r="H53" s="400">
        <v>1</v>
      </c>
    </row>
    <row r="54" spans="1:8">
      <c r="A54" t="s">
        <v>77</v>
      </c>
      <c r="B54" t="s">
        <v>125</v>
      </c>
      <c r="D54" t="s">
        <v>338</v>
      </c>
      <c r="E54" t="s">
        <v>829</v>
      </c>
      <c r="F54" s="399">
        <v>42457</v>
      </c>
      <c r="G54" s="399">
        <v>42524</v>
      </c>
      <c r="H54" s="400">
        <v>1</v>
      </c>
    </row>
    <row r="55" spans="1:8">
      <c r="A55" t="s">
        <v>77</v>
      </c>
      <c r="B55" t="s">
        <v>125</v>
      </c>
      <c r="D55" t="s">
        <v>338</v>
      </c>
      <c r="E55" t="s">
        <v>829</v>
      </c>
      <c r="F55" s="399">
        <v>42478</v>
      </c>
      <c r="G55" s="399">
        <v>42524</v>
      </c>
      <c r="H55" s="400">
        <v>1</v>
      </c>
    </row>
    <row r="56" spans="1:8">
      <c r="A56" t="s">
        <v>77</v>
      </c>
      <c r="B56" t="s">
        <v>125</v>
      </c>
      <c r="D56" t="s">
        <v>338</v>
      </c>
      <c r="E56" t="s">
        <v>829</v>
      </c>
      <c r="F56" s="399">
        <v>42478</v>
      </c>
      <c r="G56" s="399">
        <v>42524</v>
      </c>
      <c r="H56" s="400">
        <v>1</v>
      </c>
    </row>
    <row r="57" spans="1:8">
      <c r="A57" t="s">
        <v>77</v>
      </c>
      <c r="B57" t="s">
        <v>125</v>
      </c>
      <c r="D57" t="s">
        <v>346</v>
      </c>
      <c r="E57" t="s">
        <v>832</v>
      </c>
      <c r="F57" s="399">
        <v>42464</v>
      </c>
      <c r="G57" s="399">
        <v>42524</v>
      </c>
      <c r="H57" s="400">
        <v>1</v>
      </c>
    </row>
    <row r="58" spans="1:8">
      <c r="A58" t="s">
        <v>77</v>
      </c>
      <c r="B58" t="s">
        <v>125</v>
      </c>
      <c r="D58" t="s">
        <v>140</v>
      </c>
      <c r="E58" t="s">
        <v>140</v>
      </c>
      <c r="F58" s="399">
        <v>42464</v>
      </c>
      <c r="G58" s="399">
        <v>42524</v>
      </c>
      <c r="H58" s="400">
        <v>1</v>
      </c>
    </row>
    <row r="59" spans="1:8">
      <c r="A59" t="s">
        <v>77</v>
      </c>
      <c r="B59" t="s">
        <v>125</v>
      </c>
      <c r="D59" t="s">
        <v>140</v>
      </c>
      <c r="E59" t="s">
        <v>140</v>
      </c>
      <c r="F59" s="399">
        <v>42464</v>
      </c>
      <c r="G59" s="399">
        <v>42510</v>
      </c>
      <c r="H59" s="400">
        <v>1</v>
      </c>
    </row>
    <row r="60" spans="1:8">
      <c r="A60" t="s">
        <v>77</v>
      </c>
      <c r="B60" t="s">
        <v>125</v>
      </c>
      <c r="D60" t="s">
        <v>140</v>
      </c>
      <c r="E60" t="s">
        <v>140</v>
      </c>
      <c r="F60" s="399">
        <v>42464</v>
      </c>
      <c r="G60" s="399">
        <v>42475</v>
      </c>
      <c r="H60" s="400">
        <v>1</v>
      </c>
    </row>
    <row r="61" spans="1:8">
      <c r="A61" t="s">
        <v>77</v>
      </c>
      <c r="B61" t="s">
        <v>125</v>
      </c>
      <c r="D61" t="s">
        <v>205</v>
      </c>
      <c r="E61" t="s">
        <v>878</v>
      </c>
      <c r="F61" s="399">
        <v>42464</v>
      </c>
      <c r="G61" s="399">
        <v>42524</v>
      </c>
      <c r="H61" s="400">
        <v>1</v>
      </c>
    </row>
    <row r="62" spans="1:8">
      <c r="A62" t="s">
        <v>77</v>
      </c>
      <c r="B62" t="s">
        <v>125</v>
      </c>
      <c r="D62" t="s">
        <v>348</v>
      </c>
      <c r="E62" t="s">
        <v>839</v>
      </c>
      <c r="F62" s="399">
        <v>42457</v>
      </c>
      <c r="G62" s="399">
        <v>42524</v>
      </c>
      <c r="H62" s="400">
        <v>1</v>
      </c>
    </row>
    <row r="63" spans="1:8">
      <c r="A63" t="s">
        <v>77</v>
      </c>
      <c r="B63" t="s">
        <v>125</v>
      </c>
      <c r="D63" t="s">
        <v>203</v>
      </c>
      <c r="E63" t="s">
        <v>188</v>
      </c>
      <c r="F63" s="399">
        <v>42457</v>
      </c>
      <c r="G63" s="399">
        <v>42552</v>
      </c>
      <c r="H63" s="400">
        <v>1</v>
      </c>
    </row>
    <row r="64" spans="1:8">
      <c r="A64" t="s">
        <v>77</v>
      </c>
      <c r="B64" t="s">
        <v>125</v>
      </c>
      <c r="D64" t="s">
        <v>203</v>
      </c>
      <c r="E64" t="s">
        <v>188</v>
      </c>
      <c r="F64" s="399">
        <v>42478</v>
      </c>
      <c r="G64" s="399">
        <v>42552</v>
      </c>
      <c r="H64" s="400">
        <v>1</v>
      </c>
    </row>
    <row r="65" spans="1:8">
      <c r="A65" t="s">
        <v>77</v>
      </c>
      <c r="B65" t="s">
        <v>125</v>
      </c>
      <c r="D65" t="s">
        <v>203</v>
      </c>
      <c r="E65" t="s">
        <v>188</v>
      </c>
      <c r="F65" s="399">
        <v>42457</v>
      </c>
      <c r="G65" s="399">
        <v>42545</v>
      </c>
      <c r="H65" s="400">
        <v>1</v>
      </c>
    </row>
    <row r="66" spans="1:8">
      <c r="A66" t="s">
        <v>77</v>
      </c>
      <c r="B66" t="s">
        <v>125</v>
      </c>
      <c r="D66" t="s">
        <v>203</v>
      </c>
      <c r="E66" t="s">
        <v>188</v>
      </c>
      <c r="F66" s="399">
        <v>42457</v>
      </c>
      <c r="G66" s="399">
        <v>42545</v>
      </c>
      <c r="H66" s="400">
        <v>1</v>
      </c>
    </row>
    <row r="67" spans="1:8">
      <c r="A67" t="s">
        <v>77</v>
      </c>
      <c r="B67" t="s">
        <v>125</v>
      </c>
      <c r="D67" t="s">
        <v>203</v>
      </c>
      <c r="E67" t="s">
        <v>188</v>
      </c>
      <c r="F67" s="399">
        <v>42457</v>
      </c>
      <c r="G67" s="399">
        <v>42524</v>
      </c>
      <c r="H67" s="400">
        <v>1</v>
      </c>
    </row>
    <row r="68" spans="1:8">
      <c r="A68" t="s">
        <v>84</v>
      </c>
      <c r="B68" t="s">
        <v>116</v>
      </c>
      <c r="D68" t="s">
        <v>341</v>
      </c>
      <c r="E68" t="s">
        <v>146</v>
      </c>
      <c r="F68" s="399">
        <v>42457</v>
      </c>
      <c r="G68" s="399">
        <v>42559</v>
      </c>
      <c r="H68" s="400">
        <v>1</v>
      </c>
    </row>
    <row r="69" spans="1:8">
      <c r="A69" t="s">
        <v>84</v>
      </c>
      <c r="B69" t="s">
        <v>116</v>
      </c>
      <c r="D69" t="s">
        <v>1137</v>
      </c>
      <c r="E69" t="s">
        <v>160</v>
      </c>
      <c r="F69" s="399">
        <v>42457</v>
      </c>
      <c r="G69" s="399">
        <v>42559</v>
      </c>
      <c r="H69" s="400">
        <v>1</v>
      </c>
    </row>
    <row r="70" spans="1:8">
      <c r="A70" t="s">
        <v>84</v>
      </c>
      <c r="B70" t="s">
        <v>116</v>
      </c>
      <c r="D70" t="s">
        <v>338</v>
      </c>
      <c r="E70" t="s">
        <v>829</v>
      </c>
      <c r="F70" s="399">
        <v>42457</v>
      </c>
      <c r="G70" s="399">
        <v>42510</v>
      </c>
      <c r="H70" s="400">
        <v>1</v>
      </c>
    </row>
    <row r="71" spans="1:8">
      <c r="A71" t="s">
        <v>84</v>
      </c>
      <c r="B71" t="s">
        <v>116</v>
      </c>
      <c r="D71" t="s">
        <v>338</v>
      </c>
      <c r="E71" t="s">
        <v>829</v>
      </c>
      <c r="F71" s="399">
        <v>42457</v>
      </c>
      <c r="G71" s="399">
        <v>42503</v>
      </c>
      <c r="H71" s="400">
        <v>1</v>
      </c>
    </row>
    <row r="72" spans="1:8">
      <c r="A72" t="s">
        <v>84</v>
      </c>
      <c r="B72" t="s">
        <v>116</v>
      </c>
      <c r="D72" t="s">
        <v>338</v>
      </c>
      <c r="E72" t="s">
        <v>829</v>
      </c>
      <c r="F72" s="399">
        <v>42457</v>
      </c>
      <c r="G72" s="399">
        <v>42503</v>
      </c>
      <c r="H72" s="400">
        <v>1</v>
      </c>
    </row>
    <row r="73" spans="1:8">
      <c r="A73" t="s">
        <v>84</v>
      </c>
      <c r="B73" t="s">
        <v>116</v>
      </c>
      <c r="D73" t="s">
        <v>338</v>
      </c>
      <c r="E73" t="s">
        <v>829</v>
      </c>
      <c r="F73" s="399">
        <v>42457</v>
      </c>
      <c r="G73" s="399">
        <v>42503</v>
      </c>
      <c r="H73" s="400">
        <v>1</v>
      </c>
    </row>
  </sheetData>
  <dataConsolidate link="1"/>
  <pageMargins left="0.7" right="0.7" top="0.75" bottom="0.75" header="0.3" footer="0.3"/>
  <pageSetup orientation="portrait" horizontalDpi="4294967292" verticalDpi="429496729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1483"/>
  <sheetViews>
    <sheetView topLeftCell="K1" workbookViewId="0">
      <selection activeCell="H20" sqref="H20"/>
    </sheetView>
  </sheetViews>
  <sheetFormatPr defaultColWidth="8.875" defaultRowHeight="15.75"/>
  <cols>
    <col min="1" max="1" width="30" bestFit="1" customWidth="1"/>
    <col min="2" max="2" width="10.375" style="13" bestFit="1" customWidth="1"/>
    <col min="3" max="3" width="0.625" style="11" customWidth="1"/>
    <col min="4" max="4" width="17.125" customWidth="1"/>
    <col min="5" max="5" width="27.625" bestFit="1" customWidth="1"/>
    <col min="6" max="6" width="15.875" customWidth="1"/>
    <col min="7" max="7" width="14.125" customWidth="1"/>
    <col min="8" max="8" width="23" customWidth="1"/>
    <col min="9" max="9" width="14.875" bestFit="1" customWidth="1"/>
    <col min="10" max="10" width="20.5" bestFit="1" customWidth="1"/>
    <col min="11" max="11" width="15.375" bestFit="1" customWidth="1"/>
    <col min="12" max="12" width="21.625" bestFit="1" customWidth="1"/>
    <col min="13" max="13" width="16.625" bestFit="1" customWidth="1"/>
    <col min="14" max="14" width="40.625" hidden="1" customWidth="1"/>
    <col min="15" max="15" width="44.125" bestFit="1" customWidth="1"/>
    <col min="16" max="16" width="34.375" customWidth="1"/>
    <col min="17" max="17" width="31.625" customWidth="1"/>
  </cols>
  <sheetData>
    <row r="1" spans="1:17">
      <c r="A1" s="2" t="s">
        <v>15</v>
      </c>
      <c r="B1" s="12" t="s">
        <v>1376</v>
      </c>
      <c r="D1" s="2" t="s">
        <v>14</v>
      </c>
      <c r="E1" s="2" t="s">
        <v>16</v>
      </c>
      <c r="F1" s="2" t="s">
        <v>127</v>
      </c>
      <c r="G1" s="2" t="s">
        <v>1179</v>
      </c>
      <c r="H1" s="2" t="s">
        <v>1178</v>
      </c>
      <c r="I1" s="2" t="s">
        <v>24</v>
      </c>
      <c r="J1" s="2" t="s">
        <v>54</v>
      </c>
      <c r="K1" s="2" t="s">
        <v>547</v>
      </c>
      <c r="L1" s="2" t="s">
        <v>83</v>
      </c>
      <c r="M1" s="2" t="s">
        <v>128</v>
      </c>
      <c r="N1" s="2" t="s">
        <v>131</v>
      </c>
      <c r="O1" s="2" t="s">
        <v>190</v>
      </c>
      <c r="P1" s="2" t="s">
        <v>823</v>
      </c>
      <c r="Q1" s="2" t="s">
        <v>824</v>
      </c>
    </row>
    <row r="2" spans="1:17" s="307" customFormat="1" ht="12.75">
      <c r="A2" s="377" t="s">
        <v>519</v>
      </c>
      <c r="B2" s="378">
        <f ca="1">stories_total_loe_buffered+addins_total_loe+risks_total_loe+staffing_total_loe_oversight</f>
        <v>118</v>
      </c>
      <c r="C2" s="379"/>
      <c r="D2" s="307" t="s">
        <v>12</v>
      </c>
      <c r="E2" s="307" t="s">
        <v>92</v>
      </c>
      <c r="F2" s="307" t="s">
        <v>17</v>
      </c>
      <c r="G2" s="307" t="s">
        <v>17</v>
      </c>
      <c r="H2" s="307" t="s">
        <v>17</v>
      </c>
      <c r="I2" s="307" t="s">
        <v>17</v>
      </c>
      <c r="J2" s="380" t="s">
        <v>47</v>
      </c>
      <c r="K2" s="307" t="s">
        <v>59</v>
      </c>
      <c r="L2" s="307" t="s">
        <v>84</v>
      </c>
      <c r="M2" s="307" t="s">
        <v>130</v>
      </c>
      <c r="N2" s="307" t="s">
        <v>564</v>
      </c>
      <c r="O2" s="307" t="s">
        <v>511</v>
      </c>
      <c r="P2" s="381" t="s">
        <v>321</v>
      </c>
      <c r="Q2" s="382" t="s">
        <v>565</v>
      </c>
    </row>
    <row r="3" spans="1:17" s="307" customFormat="1" ht="12.75">
      <c r="A3" s="377" t="s">
        <v>548</v>
      </c>
      <c r="B3" s="383" t="str">
        <f>TEXT("28/01/2015","DD/MM/YYYY")</f>
        <v>28/01/2015</v>
      </c>
      <c r="C3" s="379"/>
      <c r="D3" s="307" t="s">
        <v>13</v>
      </c>
      <c r="E3" s="307" t="s">
        <v>93</v>
      </c>
      <c r="F3" s="307" t="s">
        <v>1377</v>
      </c>
      <c r="G3" s="307" t="s">
        <v>1384</v>
      </c>
      <c r="I3" s="307" t="s">
        <v>1380</v>
      </c>
      <c r="J3" s="307" t="s">
        <v>48</v>
      </c>
      <c r="K3" s="307" t="s">
        <v>60</v>
      </c>
      <c r="L3" s="307" t="s">
        <v>77</v>
      </c>
      <c r="M3" s="307" t="s">
        <v>125</v>
      </c>
      <c r="N3" s="307" t="s">
        <v>132</v>
      </c>
      <c r="O3" s="307" t="s">
        <v>321</v>
      </c>
      <c r="P3" s="381" t="e">
        <v>#N/A</v>
      </c>
      <c r="Q3" s="382" t="s">
        <v>132</v>
      </c>
    </row>
    <row r="4" spans="1:17" s="307" customFormat="1" ht="12.75">
      <c r="A4" s="377" t="s">
        <v>549</v>
      </c>
      <c r="B4" s="384" t="s">
        <v>551</v>
      </c>
      <c r="C4" s="379"/>
      <c r="E4" s="307" t="s">
        <v>94</v>
      </c>
      <c r="F4" s="307" t="s">
        <v>1381</v>
      </c>
      <c r="G4" s="307" t="s">
        <v>1385</v>
      </c>
      <c r="I4" s="307" t="s">
        <v>1394</v>
      </c>
      <c r="J4" s="307" t="s">
        <v>49</v>
      </c>
      <c r="L4" s="307" t="s">
        <v>85</v>
      </c>
      <c r="M4" s="307" t="s">
        <v>123</v>
      </c>
      <c r="N4" s="307" t="s">
        <v>133</v>
      </c>
      <c r="O4" s="307" t="s">
        <v>133</v>
      </c>
      <c r="P4" s="381" t="s">
        <v>133</v>
      </c>
      <c r="Q4" s="382" t="s">
        <v>133</v>
      </c>
    </row>
    <row r="5" spans="1:17" s="307" customFormat="1" ht="12.75">
      <c r="A5" s="377" t="s">
        <v>550</v>
      </c>
      <c r="B5" s="384"/>
      <c r="C5" s="379"/>
      <c r="F5" s="307" t="s">
        <v>1378</v>
      </c>
      <c r="G5" s="307" t="s">
        <v>1386</v>
      </c>
      <c r="I5" s="307" t="s">
        <v>1395</v>
      </c>
      <c r="J5" s="307" t="s">
        <v>50</v>
      </c>
      <c r="M5" s="307" t="s">
        <v>124</v>
      </c>
      <c r="N5" s="307" t="s">
        <v>134</v>
      </c>
      <c r="O5" s="307" t="s">
        <v>134</v>
      </c>
      <c r="P5" s="381" t="s">
        <v>134</v>
      </c>
      <c r="Q5" s="382" t="s">
        <v>133</v>
      </c>
    </row>
    <row r="6" spans="1:17" s="307" customFormat="1" ht="12.75">
      <c r="A6" s="377" t="s">
        <v>1047</v>
      </c>
      <c r="B6" s="384"/>
      <c r="C6" s="379"/>
      <c r="F6" s="307" t="s">
        <v>1379</v>
      </c>
      <c r="G6" s="307" t="s">
        <v>1522</v>
      </c>
      <c r="I6" s="307" t="s">
        <v>1400</v>
      </c>
      <c r="J6" s="307" t="s">
        <v>51</v>
      </c>
      <c r="M6" s="307" t="s">
        <v>1270</v>
      </c>
      <c r="N6" s="307" t="s">
        <v>565</v>
      </c>
      <c r="O6" s="307" t="s">
        <v>322</v>
      </c>
      <c r="P6" s="381" t="s">
        <v>134</v>
      </c>
      <c r="Q6" s="382" t="s">
        <v>134</v>
      </c>
    </row>
    <row r="7" spans="1:17" s="307" customFormat="1" ht="12.75">
      <c r="A7" s="377" t="s">
        <v>1049</v>
      </c>
      <c r="B7" s="384" t="s">
        <v>1048</v>
      </c>
      <c r="C7" s="379"/>
      <c r="F7" s="307" t="s">
        <v>1382</v>
      </c>
      <c r="G7" s="307" t="s">
        <v>1521</v>
      </c>
      <c r="I7" s="307" t="s">
        <v>1410</v>
      </c>
      <c r="J7" s="307" t="s">
        <v>52</v>
      </c>
      <c r="M7" s="307" t="s">
        <v>126</v>
      </c>
      <c r="N7" s="307" t="s">
        <v>566</v>
      </c>
      <c r="O7" s="307" t="s">
        <v>1134</v>
      </c>
      <c r="P7" s="381" t="s">
        <v>322</v>
      </c>
      <c r="Q7" s="382" t="s">
        <v>322</v>
      </c>
    </row>
    <row r="8" spans="1:17" s="307" customFormat="1" ht="12.75">
      <c r="B8" s="384"/>
      <c r="C8" s="379"/>
      <c r="F8" s="307" t="s">
        <v>1388</v>
      </c>
      <c r="G8" s="307" t="s">
        <v>1483</v>
      </c>
      <c r="I8" s="307" t="s">
        <v>1415</v>
      </c>
      <c r="J8" s="307" t="s">
        <v>53</v>
      </c>
      <c r="M8" s="307" t="s">
        <v>1375</v>
      </c>
      <c r="N8" s="307" t="s">
        <v>567</v>
      </c>
      <c r="O8" s="307" t="s">
        <v>191</v>
      </c>
      <c r="P8" s="381" t="s">
        <v>1134</v>
      </c>
      <c r="Q8" s="382" t="s">
        <v>134</v>
      </c>
    </row>
    <row r="9" spans="1:17" s="307" customFormat="1" ht="12.75">
      <c r="B9" s="384"/>
      <c r="C9" s="379"/>
      <c r="F9" s="307" t="s">
        <v>1489</v>
      </c>
      <c r="G9" s="307" t="s">
        <v>1842</v>
      </c>
      <c r="I9" s="307" t="s">
        <v>1427</v>
      </c>
      <c r="M9" s="307" t="s">
        <v>129</v>
      </c>
      <c r="N9" s="307" t="s">
        <v>568</v>
      </c>
      <c r="O9" s="307" t="s">
        <v>323</v>
      </c>
      <c r="P9" s="381" t="s">
        <v>323</v>
      </c>
      <c r="Q9" s="382" t="s">
        <v>135</v>
      </c>
    </row>
    <row r="10" spans="1:17" s="307" customFormat="1" ht="12.75">
      <c r="B10" s="384"/>
      <c r="C10" s="379"/>
      <c r="F10" s="307" t="s">
        <v>1826</v>
      </c>
      <c r="G10" s="307" t="s">
        <v>1843</v>
      </c>
      <c r="I10" s="307" t="s">
        <v>1419</v>
      </c>
      <c r="M10" s="307" t="s">
        <v>95</v>
      </c>
      <c r="N10" s="307" t="s">
        <v>569</v>
      </c>
      <c r="O10" s="307" t="s">
        <v>324</v>
      </c>
      <c r="P10" s="381" t="s">
        <v>323</v>
      </c>
      <c r="Q10" s="382" t="s">
        <v>825</v>
      </c>
    </row>
    <row r="11" spans="1:17" s="307" customFormat="1" ht="12.75">
      <c r="B11" s="384"/>
      <c r="C11" s="379"/>
      <c r="F11" s="307" t="s">
        <v>1387</v>
      </c>
      <c r="G11" s="307" t="s">
        <v>1849</v>
      </c>
      <c r="I11" s="307" t="s">
        <v>1426</v>
      </c>
      <c r="M11" s="307" t="s">
        <v>96</v>
      </c>
      <c r="N11" s="307" t="s">
        <v>570</v>
      </c>
      <c r="O11" s="307" t="s">
        <v>327</v>
      </c>
      <c r="P11" s="381" t="s">
        <v>323</v>
      </c>
      <c r="Q11" s="382" t="s">
        <v>826</v>
      </c>
    </row>
    <row r="12" spans="1:17" s="307" customFormat="1" ht="12.75">
      <c r="B12" s="384"/>
      <c r="C12" s="379"/>
      <c r="F12" s="307" t="s">
        <v>1482</v>
      </c>
      <c r="I12" s="307" t="s">
        <v>1445</v>
      </c>
      <c r="M12" s="307" t="s">
        <v>97</v>
      </c>
      <c r="N12" s="307" t="s">
        <v>571</v>
      </c>
      <c r="O12" s="307" t="s">
        <v>325</v>
      </c>
      <c r="P12" s="381" t="s">
        <v>324</v>
      </c>
      <c r="Q12" s="382" t="s">
        <v>825</v>
      </c>
    </row>
    <row r="13" spans="1:17" s="307" customFormat="1" ht="12.75">
      <c r="B13" s="384"/>
      <c r="C13" s="379"/>
      <c r="F13" s="307" t="s">
        <v>1462</v>
      </c>
      <c r="I13" s="307" t="s">
        <v>1430</v>
      </c>
      <c r="M13" s="307" t="s">
        <v>1271</v>
      </c>
      <c r="N13" s="307" t="s">
        <v>572</v>
      </c>
      <c r="O13" s="307" t="s">
        <v>326</v>
      </c>
      <c r="P13" s="381" t="s">
        <v>324</v>
      </c>
      <c r="Q13" s="382" t="s">
        <v>826</v>
      </c>
    </row>
    <row r="14" spans="1:17" s="307" customFormat="1" ht="12.75">
      <c r="B14" s="384"/>
      <c r="C14" s="379"/>
      <c r="F14" s="307" t="s">
        <v>1487</v>
      </c>
      <c r="I14" s="307" t="s">
        <v>1448</v>
      </c>
      <c r="M14" s="307" t="s">
        <v>98</v>
      </c>
      <c r="N14" s="307" t="s">
        <v>573</v>
      </c>
      <c r="O14" s="307" t="s">
        <v>192</v>
      </c>
      <c r="P14" s="381" t="s">
        <v>811</v>
      </c>
      <c r="Q14" s="382" t="s">
        <v>1050</v>
      </c>
    </row>
    <row r="15" spans="1:17" s="307" customFormat="1" ht="12.75">
      <c r="B15" s="384"/>
      <c r="C15" s="379"/>
      <c r="F15" s="307" t="s">
        <v>1825</v>
      </c>
      <c r="I15" s="307" t="s">
        <v>1450</v>
      </c>
      <c r="M15" s="307" t="s">
        <v>99</v>
      </c>
      <c r="N15" s="307" t="s">
        <v>574</v>
      </c>
      <c r="O15" s="307" t="s">
        <v>193</v>
      </c>
      <c r="P15" s="381" t="s">
        <v>1135</v>
      </c>
      <c r="Q15" s="382" t="s">
        <v>132</v>
      </c>
    </row>
    <row r="16" spans="1:17" s="307" customFormat="1" ht="12.75">
      <c r="B16" s="384"/>
      <c r="C16" s="379"/>
      <c r="F16" s="307" t="s">
        <v>1841</v>
      </c>
      <c r="I16" s="307" t="s">
        <v>1458</v>
      </c>
      <c r="M16" s="307" t="s">
        <v>1280</v>
      </c>
      <c r="N16" s="307" t="s">
        <v>135</v>
      </c>
      <c r="O16" s="307" t="s">
        <v>392</v>
      </c>
      <c r="P16" s="381" t="s">
        <v>1135</v>
      </c>
      <c r="Q16" s="382" t="s">
        <v>158</v>
      </c>
    </row>
    <row r="17" spans="2:17" s="307" customFormat="1" ht="12.75">
      <c r="B17" s="384"/>
      <c r="C17" s="379"/>
      <c r="F17" s="307" t="s">
        <v>1842</v>
      </c>
      <c r="I17" s="307" t="s">
        <v>1498</v>
      </c>
      <c r="M17" s="307" t="s">
        <v>100</v>
      </c>
      <c r="N17" s="307" t="s">
        <v>575</v>
      </c>
      <c r="O17" s="307" t="s">
        <v>1369</v>
      </c>
      <c r="P17" s="381" t="s">
        <v>140</v>
      </c>
      <c r="Q17" s="382" t="s">
        <v>827</v>
      </c>
    </row>
    <row r="18" spans="2:17" s="307" customFormat="1" ht="12.75">
      <c r="B18" s="384"/>
      <c r="C18" s="379"/>
      <c r="F18" s="307" t="s">
        <v>1483</v>
      </c>
      <c r="I18" s="307" t="s">
        <v>1460</v>
      </c>
      <c r="M18" s="307" t="s">
        <v>563</v>
      </c>
      <c r="N18" s="307" t="s">
        <v>136</v>
      </c>
      <c r="O18" s="307" t="s">
        <v>1370</v>
      </c>
      <c r="P18" s="381" t="s">
        <v>140</v>
      </c>
      <c r="Q18" s="382" t="s">
        <v>140</v>
      </c>
    </row>
    <row r="19" spans="2:17" s="307" customFormat="1" ht="12.75">
      <c r="B19" s="384"/>
      <c r="C19" s="379"/>
      <c r="F19" s="307" t="s">
        <v>1844</v>
      </c>
      <c r="I19" s="307" t="s">
        <v>1461</v>
      </c>
      <c r="M19" s="307" t="s">
        <v>101</v>
      </c>
      <c r="N19" s="307" t="s">
        <v>137</v>
      </c>
      <c r="O19" s="307" t="s">
        <v>328</v>
      </c>
      <c r="P19" s="381" t="s">
        <v>338</v>
      </c>
      <c r="Q19" s="382" t="s">
        <v>828</v>
      </c>
    </row>
    <row r="20" spans="2:17" s="307" customFormat="1" ht="12.75">
      <c r="B20" s="384"/>
      <c r="C20" s="379"/>
      <c r="F20" s="307" t="s">
        <v>1845</v>
      </c>
      <c r="I20" s="307" t="s">
        <v>1463</v>
      </c>
      <c r="M20" s="307" t="s">
        <v>102</v>
      </c>
      <c r="N20" s="307" t="s">
        <v>138</v>
      </c>
      <c r="O20" s="307" t="s">
        <v>329</v>
      </c>
      <c r="P20" s="381" t="s">
        <v>338</v>
      </c>
      <c r="Q20" s="382" t="s">
        <v>829</v>
      </c>
    </row>
    <row r="21" spans="2:17" s="307" customFormat="1" ht="12.75">
      <c r="B21" s="384"/>
      <c r="C21" s="379"/>
      <c r="F21" s="385"/>
      <c r="I21" s="307" t="s">
        <v>1471</v>
      </c>
      <c r="M21" s="307" t="s">
        <v>103</v>
      </c>
      <c r="N21" s="307" t="s">
        <v>576</v>
      </c>
      <c r="O21" s="307" t="s">
        <v>194</v>
      </c>
      <c r="P21" s="381" t="s">
        <v>338</v>
      </c>
      <c r="Q21" s="382" t="s">
        <v>830</v>
      </c>
    </row>
    <row r="22" spans="2:17" s="307" customFormat="1" ht="12.75">
      <c r="B22" s="384"/>
      <c r="C22" s="379"/>
      <c r="F22" s="385"/>
      <c r="I22" s="307" t="s">
        <v>1479</v>
      </c>
      <c r="M22" s="307" t="s">
        <v>104</v>
      </c>
      <c r="N22" s="307" t="s">
        <v>577</v>
      </c>
      <c r="O22" s="307" t="s">
        <v>330</v>
      </c>
      <c r="P22" s="381" t="s">
        <v>339</v>
      </c>
      <c r="Q22" s="382" t="s">
        <v>579</v>
      </c>
    </row>
    <row r="23" spans="2:17" s="307" customFormat="1" ht="12.75">
      <c r="B23" s="384"/>
      <c r="C23" s="379"/>
      <c r="F23" s="385"/>
      <c r="I23" s="307" t="s">
        <v>1480</v>
      </c>
      <c r="M23" s="307" t="s">
        <v>105</v>
      </c>
      <c r="N23" s="307" t="s">
        <v>139</v>
      </c>
      <c r="O23" s="307" t="s">
        <v>195</v>
      </c>
      <c r="P23" s="381" t="s">
        <v>339</v>
      </c>
      <c r="Q23" s="382" t="s">
        <v>580</v>
      </c>
    </row>
    <row r="24" spans="2:17" s="307" customFormat="1" ht="12.75">
      <c r="B24" s="384"/>
      <c r="C24" s="379"/>
      <c r="F24" s="385"/>
      <c r="I24" s="307" t="s">
        <v>1493</v>
      </c>
      <c r="M24" s="307" t="s">
        <v>106</v>
      </c>
      <c r="N24" s="307" t="s">
        <v>140</v>
      </c>
      <c r="O24" s="307" t="s">
        <v>196</v>
      </c>
      <c r="P24" s="381" t="s">
        <v>339</v>
      </c>
      <c r="Q24" s="382" t="s">
        <v>581</v>
      </c>
    </row>
    <row r="25" spans="2:17" s="307" customFormat="1" ht="12.75">
      <c r="B25" s="384"/>
      <c r="C25" s="379"/>
      <c r="F25" s="385"/>
      <c r="I25" s="307" t="s">
        <v>1484</v>
      </c>
      <c r="M25" s="307" t="s">
        <v>107</v>
      </c>
      <c r="N25" s="307" t="s">
        <v>141</v>
      </c>
      <c r="O25" s="307" t="s">
        <v>197</v>
      </c>
      <c r="P25" s="381" t="s">
        <v>340</v>
      </c>
      <c r="Q25" s="382" t="s">
        <v>146</v>
      </c>
    </row>
    <row r="26" spans="2:17" s="307" customFormat="1" ht="12.75">
      <c r="B26" s="384"/>
      <c r="C26" s="379"/>
      <c r="F26" s="385"/>
      <c r="I26" s="307" t="s">
        <v>1495</v>
      </c>
      <c r="M26" s="307" t="s">
        <v>108</v>
      </c>
      <c r="N26" s="307" t="s">
        <v>578</v>
      </c>
      <c r="O26" s="307" t="s">
        <v>198</v>
      </c>
      <c r="P26" s="381" t="s">
        <v>340</v>
      </c>
      <c r="Q26" s="382" t="s">
        <v>831</v>
      </c>
    </row>
    <row r="27" spans="2:17" s="307" customFormat="1" ht="12.75">
      <c r="B27" s="384"/>
      <c r="C27" s="379"/>
      <c r="F27" s="385"/>
      <c r="I27" s="307" t="s">
        <v>1486</v>
      </c>
      <c r="M27" s="307" t="s">
        <v>1288</v>
      </c>
      <c r="N27" s="307" t="s">
        <v>579</v>
      </c>
      <c r="O27" s="307" t="s">
        <v>331</v>
      </c>
      <c r="P27" s="381" t="s">
        <v>341</v>
      </c>
      <c r="Q27" s="382" t="s">
        <v>146</v>
      </c>
    </row>
    <row r="28" spans="2:17" s="307" customFormat="1" ht="12.75">
      <c r="B28" s="384"/>
      <c r="C28" s="379"/>
      <c r="F28" s="385"/>
      <c r="I28" s="307" t="s">
        <v>1496</v>
      </c>
      <c r="M28" s="307" t="s">
        <v>109</v>
      </c>
      <c r="N28" s="307" t="s">
        <v>580</v>
      </c>
      <c r="O28" s="307" t="s">
        <v>332</v>
      </c>
      <c r="P28" s="381" t="s">
        <v>341</v>
      </c>
      <c r="Q28" s="382" t="s">
        <v>831</v>
      </c>
    </row>
    <row r="29" spans="2:17" s="307" customFormat="1" ht="12.75">
      <c r="B29" s="384"/>
      <c r="C29" s="379"/>
      <c r="F29" s="385"/>
      <c r="I29" s="307" t="s">
        <v>1488</v>
      </c>
      <c r="M29" s="307" t="s">
        <v>110</v>
      </c>
      <c r="N29" s="307" t="s">
        <v>581</v>
      </c>
      <c r="O29" s="307" t="s">
        <v>333</v>
      </c>
      <c r="P29" s="381" t="s">
        <v>1136</v>
      </c>
      <c r="Q29" s="382" t="s">
        <v>160</v>
      </c>
    </row>
    <row r="30" spans="2:17" s="307" customFormat="1" ht="12.75">
      <c r="B30" s="384"/>
      <c r="C30" s="379"/>
      <c r="F30" s="385"/>
      <c r="I30" s="307" t="s">
        <v>1500</v>
      </c>
      <c r="M30" s="307" t="s">
        <v>1272</v>
      </c>
      <c r="N30" s="307" t="s">
        <v>582</v>
      </c>
      <c r="O30" s="307" t="s">
        <v>136</v>
      </c>
      <c r="P30" s="381" t="s">
        <v>1137</v>
      </c>
      <c r="Q30" s="382" t="s">
        <v>160</v>
      </c>
    </row>
    <row r="31" spans="2:17" s="307" customFormat="1" ht="12.75">
      <c r="B31" s="384"/>
      <c r="C31" s="379"/>
      <c r="I31" s="307" t="s">
        <v>1490</v>
      </c>
      <c r="M31" s="307" t="s">
        <v>111</v>
      </c>
      <c r="N31" s="307" t="s">
        <v>142</v>
      </c>
      <c r="O31" s="307" t="s">
        <v>199</v>
      </c>
      <c r="P31" s="381" t="s">
        <v>1283</v>
      </c>
      <c r="Q31" s="382" t="s">
        <v>1050</v>
      </c>
    </row>
    <row r="32" spans="2:17" s="307" customFormat="1" ht="12.75">
      <c r="B32" s="384"/>
      <c r="C32" s="379"/>
      <c r="I32" s="307" t="s">
        <v>1491</v>
      </c>
      <c r="M32" s="307" t="s">
        <v>1273</v>
      </c>
      <c r="N32" s="307" t="s">
        <v>143</v>
      </c>
      <c r="O32" s="307" t="s">
        <v>200</v>
      </c>
      <c r="P32" s="381" t="s">
        <v>345</v>
      </c>
      <c r="Q32" s="382" t="s">
        <v>160</v>
      </c>
    </row>
    <row r="33" spans="2:17" s="307" customFormat="1" ht="12.75">
      <c r="B33" s="384"/>
      <c r="C33" s="379"/>
      <c r="I33" s="307" t="s">
        <v>1494</v>
      </c>
      <c r="M33" s="307" t="s">
        <v>112</v>
      </c>
      <c r="N33" s="307" t="s">
        <v>144</v>
      </c>
      <c r="O33" s="307" t="s">
        <v>334</v>
      </c>
      <c r="P33" s="381" t="s">
        <v>345</v>
      </c>
      <c r="Q33" s="382" t="s">
        <v>832</v>
      </c>
    </row>
    <row r="34" spans="2:17" s="307" customFormat="1" ht="12.75">
      <c r="B34" s="384"/>
      <c r="C34" s="379"/>
      <c r="I34" s="307" t="s">
        <v>1499</v>
      </c>
      <c r="M34" s="307" t="s">
        <v>113</v>
      </c>
      <c r="N34" s="307" t="s">
        <v>583</v>
      </c>
      <c r="O34" s="307" t="s">
        <v>335</v>
      </c>
      <c r="P34" s="381" t="s">
        <v>346</v>
      </c>
      <c r="Q34" s="382" t="s">
        <v>160</v>
      </c>
    </row>
    <row r="35" spans="2:17" s="307" customFormat="1" ht="12.75">
      <c r="B35" s="384"/>
      <c r="C35" s="379"/>
      <c r="I35" s="307" t="s">
        <v>1501</v>
      </c>
      <c r="M35" s="307" t="s">
        <v>114</v>
      </c>
      <c r="N35" s="307" t="s">
        <v>145</v>
      </c>
      <c r="O35" s="307" t="s">
        <v>336</v>
      </c>
      <c r="P35" s="381" t="s">
        <v>346</v>
      </c>
      <c r="Q35" s="382" t="s">
        <v>832</v>
      </c>
    </row>
    <row r="36" spans="2:17" s="307" customFormat="1" ht="12.75">
      <c r="B36" s="384"/>
      <c r="C36" s="379"/>
      <c r="I36" s="307" t="s">
        <v>1516</v>
      </c>
      <c r="M36" s="307" t="s">
        <v>1281</v>
      </c>
      <c r="N36" s="307" t="s">
        <v>146</v>
      </c>
      <c r="O36" s="307" t="s">
        <v>201</v>
      </c>
      <c r="P36" s="381" t="s">
        <v>833</v>
      </c>
      <c r="Q36" s="382" t="s">
        <v>146</v>
      </c>
    </row>
    <row r="37" spans="2:17" s="307" customFormat="1" ht="12.75">
      <c r="B37" s="384"/>
      <c r="C37" s="379"/>
      <c r="I37" s="307" t="s">
        <v>1503</v>
      </c>
      <c r="M37" s="307" t="s">
        <v>115</v>
      </c>
      <c r="N37" s="307" t="s">
        <v>584</v>
      </c>
      <c r="O37" s="307" t="s">
        <v>202</v>
      </c>
      <c r="P37" s="381" t="s">
        <v>833</v>
      </c>
      <c r="Q37" s="382" t="s">
        <v>831</v>
      </c>
    </row>
    <row r="38" spans="2:17" s="307" customFormat="1" ht="12.75">
      <c r="B38" s="384"/>
      <c r="C38" s="379"/>
      <c r="I38" s="307" t="s">
        <v>1504</v>
      </c>
      <c r="M38" s="307" t="s">
        <v>116</v>
      </c>
      <c r="N38" s="307" t="s">
        <v>147</v>
      </c>
      <c r="O38" s="307" t="s">
        <v>203</v>
      </c>
      <c r="P38" s="381" t="s">
        <v>834</v>
      </c>
      <c r="Q38" s="382" t="s">
        <v>146</v>
      </c>
    </row>
    <row r="39" spans="2:17" s="307" customFormat="1" ht="12.75">
      <c r="B39" s="384"/>
      <c r="C39" s="379"/>
      <c r="I39" s="307" t="s">
        <v>1505</v>
      </c>
      <c r="M39" s="307" t="s">
        <v>117</v>
      </c>
      <c r="N39" s="307" t="s">
        <v>585</v>
      </c>
      <c r="O39" s="307" t="s">
        <v>337</v>
      </c>
      <c r="P39" s="381" t="s">
        <v>834</v>
      </c>
      <c r="Q39" s="382" t="s">
        <v>831</v>
      </c>
    </row>
    <row r="40" spans="2:17" s="307" customFormat="1" ht="12.75">
      <c r="B40" s="384"/>
      <c r="C40" s="379"/>
      <c r="I40" s="307" t="s">
        <v>1510</v>
      </c>
      <c r="M40" s="307" t="s">
        <v>1274</v>
      </c>
      <c r="N40" s="307" t="s">
        <v>148</v>
      </c>
      <c r="O40" s="307" t="s">
        <v>206</v>
      </c>
      <c r="P40" s="381" t="s">
        <v>347</v>
      </c>
      <c r="Q40" s="382" t="s">
        <v>835</v>
      </c>
    </row>
    <row r="41" spans="2:17" s="307" customFormat="1" ht="12.75">
      <c r="B41" s="384"/>
      <c r="C41" s="379"/>
      <c r="I41" s="307" t="s">
        <v>1511</v>
      </c>
      <c r="M41" s="307" t="s">
        <v>118</v>
      </c>
      <c r="N41" s="307" t="s">
        <v>149</v>
      </c>
      <c r="O41" s="307" t="s">
        <v>207</v>
      </c>
      <c r="P41" s="381" t="s">
        <v>347</v>
      </c>
      <c r="Q41" s="382" t="s">
        <v>836</v>
      </c>
    </row>
    <row r="42" spans="2:17" s="307" customFormat="1" ht="12.75">
      <c r="B42" s="384"/>
      <c r="C42" s="379"/>
      <c r="I42" s="307" t="s">
        <v>1517</v>
      </c>
      <c r="M42" s="307" t="s">
        <v>119</v>
      </c>
      <c r="N42" s="307" t="s">
        <v>586</v>
      </c>
      <c r="O42" s="307" t="s">
        <v>208</v>
      </c>
      <c r="P42" s="381" t="s">
        <v>347</v>
      </c>
      <c r="Q42" s="382" t="s">
        <v>837</v>
      </c>
    </row>
    <row r="43" spans="2:17" s="307" customFormat="1" ht="12.75">
      <c r="B43" s="384"/>
      <c r="C43" s="379"/>
      <c r="I43" s="307" t="s">
        <v>1523</v>
      </c>
      <c r="M43" s="307" t="s">
        <v>1275</v>
      </c>
      <c r="N43" s="307" t="s">
        <v>587</v>
      </c>
      <c r="O43" s="307" t="s">
        <v>209</v>
      </c>
      <c r="P43" s="381" t="s">
        <v>347</v>
      </c>
      <c r="Q43" s="382" t="s">
        <v>838</v>
      </c>
    </row>
    <row r="44" spans="2:17" s="307" customFormat="1" ht="12.75">
      <c r="B44" s="384"/>
      <c r="C44" s="379"/>
      <c r="I44" s="307" t="s">
        <v>1533</v>
      </c>
      <c r="M44" s="307" t="s">
        <v>120</v>
      </c>
      <c r="N44" s="307" t="s">
        <v>150</v>
      </c>
      <c r="O44" s="307" t="s">
        <v>210</v>
      </c>
      <c r="P44" s="381" t="s">
        <v>347</v>
      </c>
      <c r="Q44" s="382" t="s">
        <v>839</v>
      </c>
    </row>
    <row r="45" spans="2:17" s="307" customFormat="1" ht="12.75">
      <c r="B45" s="384"/>
      <c r="C45" s="379"/>
      <c r="I45" s="307" t="s">
        <v>1536</v>
      </c>
      <c r="M45" s="307" t="s">
        <v>121</v>
      </c>
      <c r="N45" s="307" t="s">
        <v>588</v>
      </c>
      <c r="O45" s="307" t="s">
        <v>204</v>
      </c>
      <c r="P45" s="381" t="s">
        <v>347</v>
      </c>
      <c r="Q45" s="382" t="s">
        <v>840</v>
      </c>
    </row>
    <row r="46" spans="2:17" s="307" customFormat="1" ht="12.75">
      <c r="B46" s="384"/>
      <c r="C46" s="379"/>
      <c r="I46" s="307" t="s">
        <v>1538</v>
      </c>
      <c r="M46" s="307" t="s">
        <v>122</v>
      </c>
      <c r="N46" s="307" t="s">
        <v>151</v>
      </c>
      <c r="O46" s="307" t="s">
        <v>205</v>
      </c>
      <c r="P46" s="381" t="s">
        <v>347</v>
      </c>
      <c r="Q46" s="382" t="s">
        <v>841</v>
      </c>
    </row>
    <row r="47" spans="2:17" s="307" customFormat="1" ht="12.75">
      <c r="B47" s="384"/>
      <c r="C47" s="379"/>
      <c r="I47" s="307" t="s">
        <v>1547</v>
      </c>
      <c r="N47" s="307" t="s">
        <v>589</v>
      </c>
      <c r="O47" s="307" t="s">
        <v>211</v>
      </c>
      <c r="P47" s="381" t="s">
        <v>348</v>
      </c>
      <c r="Q47" s="382" t="s">
        <v>835</v>
      </c>
    </row>
    <row r="48" spans="2:17" s="307" customFormat="1" ht="12.75">
      <c r="B48" s="384"/>
      <c r="C48" s="379"/>
      <c r="I48" s="307" t="s">
        <v>1549</v>
      </c>
      <c r="N48" s="307" t="s">
        <v>590</v>
      </c>
      <c r="O48" s="307" t="s">
        <v>1135</v>
      </c>
      <c r="P48" s="381" t="s">
        <v>348</v>
      </c>
      <c r="Q48" s="382" t="s">
        <v>836</v>
      </c>
    </row>
    <row r="49" spans="2:17" s="307" customFormat="1" ht="12.75">
      <c r="B49" s="384"/>
      <c r="C49" s="379"/>
      <c r="I49" s="307" t="s">
        <v>1551</v>
      </c>
      <c r="N49" s="307" t="s">
        <v>152</v>
      </c>
      <c r="O49" s="307" t="s">
        <v>417</v>
      </c>
      <c r="P49" s="381" t="s">
        <v>348</v>
      </c>
      <c r="Q49" s="382" t="s">
        <v>837</v>
      </c>
    </row>
    <row r="50" spans="2:17" s="307" customFormat="1" ht="12.75">
      <c r="B50" s="384"/>
      <c r="C50" s="379"/>
      <c r="I50" s="307" t="s">
        <v>1557</v>
      </c>
      <c r="N50" s="307" t="s">
        <v>153</v>
      </c>
      <c r="O50" s="307" t="s">
        <v>212</v>
      </c>
      <c r="P50" s="381" t="s">
        <v>348</v>
      </c>
      <c r="Q50" s="382" t="s">
        <v>838</v>
      </c>
    </row>
    <row r="51" spans="2:17" s="307" customFormat="1" ht="12.75">
      <c r="B51" s="384"/>
      <c r="C51" s="379"/>
      <c r="I51" s="307" t="s">
        <v>1559</v>
      </c>
      <c r="N51" s="307" t="s">
        <v>591</v>
      </c>
      <c r="O51" s="307" t="s">
        <v>418</v>
      </c>
      <c r="P51" s="381" t="s">
        <v>348</v>
      </c>
      <c r="Q51" s="382" t="s">
        <v>839</v>
      </c>
    </row>
    <row r="52" spans="2:17" s="307" customFormat="1" ht="12.75">
      <c r="B52" s="384"/>
      <c r="C52" s="379"/>
      <c r="I52" s="307" t="s">
        <v>1561</v>
      </c>
      <c r="N52" s="307" t="s">
        <v>154</v>
      </c>
      <c r="O52" s="307" t="s">
        <v>419</v>
      </c>
      <c r="P52" s="381" t="s">
        <v>348</v>
      </c>
      <c r="Q52" s="382" t="s">
        <v>840</v>
      </c>
    </row>
    <row r="53" spans="2:17" s="307" customFormat="1" ht="12.75">
      <c r="B53" s="384"/>
      <c r="C53" s="379"/>
      <c r="I53" s="307" t="s">
        <v>1574</v>
      </c>
      <c r="N53" s="307" t="s">
        <v>592</v>
      </c>
      <c r="O53" s="307" t="s">
        <v>213</v>
      </c>
      <c r="P53" s="381" t="s">
        <v>348</v>
      </c>
      <c r="Q53" s="382" t="s">
        <v>841</v>
      </c>
    </row>
    <row r="54" spans="2:17" s="307" customFormat="1" ht="12.75">
      <c r="B54" s="384"/>
      <c r="C54" s="379"/>
      <c r="I54" s="307" t="s">
        <v>1583</v>
      </c>
      <c r="N54" s="307" t="s">
        <v>155</v>
      </c>
      <c r="O54" s="307" t="s">
        <v>214</v>
      </c>
      <c r="P54" s="381" t="s">
        <v>164</v>
      </c>
      <c r="Q54" s="382" t="s">
        <v>164</v>
      </c>
    </row>
    <row r="55" spans="2:17" s="307" customFormat="1" ht="12.75">
      <c r="B55" s="384"/>
      <c r="C55" s="379"/>
      <c r="I55" s="307" t="s">
        <v>1590</v>
      </c>
      <c r="N55" s="307" t="s">
        <v>593</v>
      </c>
      <c r="O55" s="307" t="s">
        <v>140</v>
      </c>
      <c r="P55" s="381" t="s">
        <v>165</v>
      </c>
      <c r="Q55" s="382" t="s">
        <v>165</v>
      </c>
    </row>
    <row r="56" spans="2:17" s="307" customFormat="1" ht="12.75">
      <c r="B56" s="384"/>
      <c r="C56" s="379"/>
      <c r="I56" s="307" t="s">
        <v>1593</v>
      </c>
      <c r="N56" s="307" t="s">
        <v>594</v>
      </c>
      <c r="O56" s="307" t="s">
        <v>215</v>
      </c>
      <c r="P56" s="381" t="s">
        <v>367</v>
      </c>
      <c r="Q56" s="382" t="s">
        <v>610</v>
      </c>
    </row>
    <row r="57" spans="2:17" s="307" customFormat="1" ht="12.75">
      <c r="B57" s="384"/>
      <c r="C57" s="379"/>
      <c r="I57" s="307" t="s">
        <v>1596</v>
      </c>
      <c r="N57" s="307" t="s">
        <v>595</v>
      </c>
      <c r="O57" s="307" t="s">
        <v>338</v>
      </c>
      <c r="P57" s="381" t="s">
        <v>367</v>
      </c>
      <c r="Q57" s="382" t="s">
        <v>611</v>
      </c>
    </row>
    <row r="58" spans="2:17" s="307" customFormat="1" ht="12.75">
      <c r="B58" s="384"/>
      <c r="C58" s="379"/>
      <c r="I58" s="307" t="s">
        <v>1609</v>
      </c>
      <c r="N58" s="307" t="s">
        <v>596</v>
      </c>
      <c r="O58" s="307" t="s">
        <v>339</v>
      </c>
      <c r="P58" s="381" t="s">
        <v>1282</v>
      </c>
      <c r="Q58" s="382" t="s">
        <v>1082</v>
      </c>
    </row>
    <row r="59" spans="2:17" s="307" customFormat="1" ht="12.75">
      <c r="B59" s="384"/>
      <c r="C59" s="379"/>
      <c r="I59" s="307" t="s">
        <v>1613</v>
      </c>
      <c r="N59" s="307" t="s">
        <v>597</v>
      </c>
      <c r="O59" s="307" t="s">
        <v>216</v>
      </c>
      <c r="P59" s="381" t="s">
        <v>1041</v>
      </c>
      <c r="Q59" s="382" t="s">
        <v>1051</v>
      </c>
    </row>
    <row r="60" spans="2:17" s="307" customFormat="1" ht="12.75">
      <c r="B60" s="384"/>
      <c r="C60" s="379"/>
      <c r="I60" s="307" t="s">
        <v>1616</v>
      </c>
      <c r="N60" s="307" t="s">
        <v>598</v>
      </c>
      <c r="O60" s="307" t="s">
        <v>340</v>
      </c>
      <c r="P60" s="381" t="s">
        <v>1042</v>
      </c>
      <c r="Q60" s="382" t="s">
        <v>1051</v>
      </c>
    </row>
    <row r="61" spans="2:17" s="307" customFormat="1" ht="12.75">
      <c r="B61" s="384"/>
      <c r="C61" s="379"/>
      <c r="I61" s="307" t="s">
        <v>1623</v>
      </c>
      <c r="N61" s="307" t="s">
        <v>156</v>
      </c>
      <c r="O61" s="307" t="s">
        <v>341</v>
      </c>
      <c r="P61" s="381" t="s">
        <v>1043</v>
      </c>
      <c r="Q61" s="382" t="s">
        <v>1051</v>
      </c>
    </row>
    <row r="62" spans="2:17" s="307" customFormat="1" ht="12.75">
      <c r="B62" s="384"/>
      <c r="C62" s="379"/>
      <c r="I62" s="307" t="s">
        <v>1626</v>
      </c>
      <c r="N62" s="307" t="s">
        <v>157</v>
      </c>
      <c r="O62" s="307" t="s">
        <v>553</v>
      </c>
      <c r="P62" s="381" t="s">
        <v>1044</v>
      </c>
      <c r="Q62" s="382" t="s">
        <v>1051</v>
      </c>
    </row>
    <row r="63" spans="2:17" s="307" customFormat="1" ht="12.75">
      <c r="B63" s="384"/>
      <c r="C63" s="379"/>
      <c r="I63" s="307" t="s">
        <v>1629</v>
      </c>
      <c r="N63" s="307" t="s">
        <v>158</v>
      </c>
      <c r="O63" s="307" t="s">
        <v>554</v>
      </c>
      <c r="P63" s="381" t="s">
        <v>1045</v>
      </c>
      <c r="Q63" s="382" t="s">
        <v>1051</v>
      </c>
    </row>
    <row r="64" spans="2:17" s="307" customFormat="1" ht="12.75">
      <c r="B64" s="384"/>
      <c r="C64" s="379"/>
      <c r="I64" s="307" t="s">
        <v>1639</v>
      </c>
      <c r="N64" s="307" t="s">
        <v>159</v>
      </c>
      <c r="O64" s="307" t="s">
        <v>1268</v>
      </c>
      <c r="P64" s="381" t="s">
        <v>1046</v>
      </c>
      <c r="Q64" s="382" t="s">
        <v>1051</v>
      </c>
    </row>
    <row r="65" spans="2:17" s="307" customFormat="1" ht="12.75">
      <c r="B65" s="384"/>
      <c r="C65" s="379"/>
      <c r="I65" s="307" t="s">
        <v>1643</v>
      </c>
      <c r="N65" s="307" t="s">
        <v>160</v>
      </c>
      <c r="O65" s="307" t="s">
        <v>217</v>
      </c>
      <c r="P65" s="381" t="s">
        <v>171</v>
      </c>
      <c r="Q65" s="382" t="s">
        <v>171</v>
      </c>
    </row>
    <row r="66" spans="2:17" s="307" customFormat="1" ht="12.75">
      <c r="B66" s="384"/>
      <c r="C66" s="379"/>
      <c r="I66" s="307" t="s">
        <v>1645</v>
      </c>
      <c r="N66" s="307" t="s">
        <v>161</v>
      </c>
      <c r="O66" s="307" t="s">
        <v>218</v>
      </c>
      <c r="P66" s="381" t="s">
        <v>171</v>
      </c>
      <c r="Q66" s="382" t="s">
        <v>842</v>
      </c>
    </row>
    <row r="67" spans="2:17" s="307" customFormat="1" ht="12.75">
      <c r="B67" s="384"/>
      <c r="C67" s="379"/>
      <c r="I67" s="307" t="s">
        <v>1648</v>
      </c>
      <c r="N67" s="307" t="s">
        <v>599</v>
      </c>
      <c r="O67" s="307" t="s">
        <v>421</v>
      </c>
      <c r="P67" s="381" t="s">
        <v>172</v>
      </c>
      <c r="Q67" s="382" t="s">
        <v>172</v>
      </c>
    </row>
    <row r="68" spans="2:17" s="307" customFormat="1" ht="12.75">
      <c r="B68" s="384"/>
      <c r="C68" s="379"/>
      <c r="I68" s="307" t="s">
        <v>1657</v>
      </c>
      <c r="N68" s="307" t="s">
        <v>600</v>
      </c>
      <c r="O68" s="307" t="s">
        <v>219</v>
      </c>
      <c r="P68" s="381" t="s">
        <v>173</v>
      </c>
      <c r="Q68" s="382" t="s">
        <v>173</v>
      </c>
    </row>
    <row r="69" spans="2:17" s="307" customFormat="1" ht="12.75">
      <c r="B69" s="384"/>
      <c r="C69" s="379"/>
      <c r="I69" s="307" t="s">
        <v>1659</v>
      </c>
      <c r="N69" s="307" t="s">
        <v>601</v>
      </c>
      <c r="O69" s="307" t="s">
        <v>220</v>
      </c>
      <c r="P69" s="381" t="s">
        <v>368</v>
      </c>
      <c r="Q69" s="382" t="s">
        <v>368</v>
      </c>
    </row>
    <row r="70" spans="2:17" s="307" customFormat="1" ht="12.75">
      <c r="B70" s="384"/>
      <c r="C70" s="379"/>
      <c r="I70" s="307" t="s">
        <v>1661</v>
      </c>
      <c r="N70" s="307" t="s">
        <v>602</v>
      </c>
      <c r="O70" s="307" t="s">
        <v>342</v>
      </c>
      <c r="P70" s="381" t="s">
        <v>327</v>
      </c>
      <c r="Q70" s="382" t="s">
        <v>165</v>
      </c>
    </row>
    <row r="71" spans="2:17" s="307" customFormat="1" ht="12.75">
      <c r="B71" s="384"/>
      <c r="C71" s="379"/>
      <c r="I71" s="307" t="s">
        <v>1667</v>
      </c>
      <c r="N71" s="307" t="s">
        <v>603</v>
      </c>
      <c r="O71" s="307" t="s">
        <v>221</v>
      </c>
      <c r="P71" s="381" t="s">
        <v>194</v>
      </c>
      <c r="Q71" s="382" t="s">
        <v>843</v>
      </c>
    </row>
    <row r="72" spans="2:17" s="307" customFormat="1" ht="12.75">
      <c r="B72" s="384"/>
      <c r="C72" s="379"/>
      <c r="I72" s="307" t="s">
        <v>1675</v>
      </c>
      <c r="N72" s="307" t="s">
        <v>604</v>
      </c>
      <c r="O72" s="307" t="s">
        <v>222</v>
      </c>
      <c r="P72" s="381" t="s">
        <v>403</v>
      </c>
      <c r="Q72" s="382" t="s">
        <v>1052</v>
      </c>
    </row>
    <row r="73" spans="2:17" s="307" customFormat="1" ht="12.75">
      <c r="B73" s="384"/>
      <c r="C73" s="379"/>
      <c r="I73" s="307" t="s">
        <v>1677</v>
      </c>
      <c r="N73" s="307" t="s">
        <v>605</v>
      </c>
      <c r="O73" s="307" t="s">
        <v>154</v>
      </c>
      <c r="P73" s="381" t="s">
        <v>404</v>
      </c>
      <c r="Q73" s="382" t="s">
        <v>1052</v>
      </c>
    </row>
    <row r="74" spans="2:17" s="307" customFormat="1" ht="12.75">
      <c r="B74" s="384"/>
      <c r="C74" s="379"/>
      <c r="I74" s="307" t="s">
        <v>1679</v>
      </c>
      <c r="N74" s="307" t="s">
        <v>606</v>
      </c>
      <c r="O74" s="307" t="s">
        <v>809</v>
      </c>
      <c r="P74" s="381" t="s">
        <v>405</v>
      </c>
      <c r="Q74" s="382" t="s">
        <v>1052</v>
      </c>
    </row>
    <row r="75" spans="2:17" s="307" customFormat="1" ht="12.75">
      <c r="B75" s="384"/>
      <c r="C75" s="379"/>
      <c r="I75" s="307" t="s">
        <v>1689</v>
      </c>
      <c r="N75" s="307" t="s">
        <v>607</v>
      </c>
      <c r="O75" s="307" t="s">
        <v>343</v>
      </c>
      <c r="P75" s="381" t="s">
        <v>406</v>
      </c>
      <c r="Q75" s="382" t="s">
        <v>1052</v>
      </c>
    </row>
    <row r="76" spans="2:17" s="307" customFormat="1" ht="12.75">
      <c r="B76" s="384"/>
      <c r="C76" s="379"/>
      <c r="I76" s="307" t="s">
        <v>1691</v>
      </c>
      <c r="N76" s="307" t="s">
        <v>608</v>
      </c>
      <c r="O76" s="307" t="s">
        <v>781</v>
      </c>
      <c r="P76" s="381" t="s">
        <v>391</v>
      </c>
      <c r="Q76" s="382" t="s">
        <v>1053</v>
      </c>
    </row>
    <row r="77" spans="2:17" s="307" customFormat="1" ht="12.75">
      <c r="B77" s="384"/>
      <c r="C77" s="379"/>
      <c r="I77" s="307" t="s">
        <v>1694</v>
      </c>
      <c r="N77" s="307" t="s">
        <v>162</v>
      </c>
      <c r="O77" s="307" t="s">
        <v>344</v>
      </c>
      <c r="P77" s="381" t="s">
        <v>325</v>
      </c>
      <c r="Q77" s="382" t="s">
        <v>825</v>
      </c>
    </row>
    <row r="78" spans="2:17" s="307" customFormat="1" ht="12.75">
      <c r="B78" s="384"/>
      <c r="C78" s="379"/>
      <c r="I78" s="307" t="s">
        <v>1697</v>
      </c>
      <c r="N78" s="307" t="s">
        <v>163</v>
      </c>
      <c r="O78" s="307" t="s">
        <v>223</v>
      </c>
      <c r="P78" s="381" t="s">
        <v>325</v>
      </c>
      <c r="Q78" s="382" t="s">
        <v>826</v>
      </c>
    </row>
    <row r="79" spans="2:17" s="307" customFormat="1" ht="12.75">
      <c r="B79" s="384"/>
      <c r="C79" s="379"/>
      <c r="I79" s="307" t="s">
        <v>1700</v>
      </c>
      <c r="N79" s="307" t="s">
        <v>609</v>
      </c>
      <c r="O79" s="307" t="s">
        <v>224</v>
      </c>
      <c r="P79" s="381" t="s">
        <v>326</v>
      </c>
      <c r="Q79" s="382" t="s">
        <v>825</v>
      </c>
    </row>
    <row r="80" spans="2:17" s="307" customFormat="1" ht="12.75">
      <c r="B80" s="384"/>
      <c r="C80" s="379"/>
      <c r="I80" s="307" t="s">
        <v>1702</v>
      </c>
      <c r="N80" s="307" t="s">
        <v>164</v>
      </c>
      <c r="O80" s="307" t="s">
        <v>225</v>
      </c>
      <c r="P80" s="381" t="s">
        <v>326</v>
      </c>
      <c r="Q80" s="382" t="s">
        <v>826</v>
      </c>
    </row>
    <row r="81" spans="2:17" s="307" customFormat="1" ht="12.75">
      <c r="B81" s="384"/>
      <c r="C81" s="379"/>
      <c r="I81" s="307" t="s">
        <v>1706</v>
      </c>
      <c r="N81" s="307" t="s">
        <v>165</v>
      </c>
      <c r="O81" s="307" t="s">
        <v>227</v>
      </c>
      <c r="P81" s="381" t="s">
        <v>193</v>
      </c>
      <c r="Q81" s="382" t="s">
        <v>577</v>
      </c>
    </row>
    <row r="82" spans="2:17" s="307" customFormat="1" ht="12.75">
      <c r="B82" s="384"/>
      <c r="C82" s="379"/>
      <c r="I82" s="307" t="s">
        <v>1710</v>
      </c>
      <c r="N82" s="307" t="s">
        <v>610</v>
      </c>
      <c r="O82" s="307" t="s">
        <v>228</v>
      </c>
      <c r="P82" s="381" t="s">
        <v>193</v>
      </c>
      <c r="Q82" s="382" t="s">
        <v>648</v>
      </c>
    </row>
    <row r="83" spans="2:17" s="307" customFormat="1" ht="12.75">
      <c r="B83" s="384"/>
      <c r="C83" s="379"/>
      <c r="I83" s="307" t="s">
        <v>1712</v>
      </c>
      <c r="N83" s="307" t="s">
        <v>611</v>
      </c>
      <c r="O83" s="307" t="s">
        <v>226</v>
      </c>
      <c r="P83" s="381" t="s">
        <v>193</v>
      </c>
      <c r="Q83" s="382" t="s">
        <v>754</v>
      </c>
    </row>
    <row r="84" spans="2:17" s="307" customFormat="1" ht="12.75">
      <c r="B84" s="384"/>
      <c r="C84" s="379"/>
      <c r="I84" s="307" t="s">
        <v>1717</v>
      </c>
      <c r="N84" s="307" t="s">
        <v>612</v>
      </c>
      <c r="O84" s="307" t="s">
        <v>229</v>
      </c>
      <c r="P84" s="381" t="s">
        <v>193</v>
      </c>
      <c r="Q84" s="382" t="s">
        <v>755</v>
      </c>
    </row>
    <row r="85" spans="2:17" s="307" customFormat="1" ht="12.75">
      <c r="B85" s="384"/>
      <c r="C85" s="379"/>
      <c r="I85" s="307" t="s">
        <v>1720</v>
      </c>
      <c r="N85" s="307" t="s">
        <v>613</v>
      </c>
      <c r="O85" s="307" t="s">
        <v>230</v>
      </c>
      <c r="P85" s="381" t="s">
        <v>192</v>
      </c>
      <c r="Q85" s="382" t="s">
        <v>1054</v>
      </c>
    </row>
    <row r="86" spans="2:17" s="307" customFormat="1" ht="12.75">
      <c r="B86" s="384"/>
      <c r="C86" s="379"/>
      <c r="I86" s="307" t="s">
        <v>1721</v>
      </c>
      <c r="N86" s="307" t="s">
        <v>614</v>
      </c>
      <c r="O86" s="307" t="s">
        <v>433</v>
      </c>
      <c r="P86" s="381" t="s">
        <v>192</v>
      </c>
      <c r="Q86" s="382" t="s">
        <v>844</v>
      </c>
    </row>
    <row r="87" spans="2:17" s="307" customFormat="1" ht="12.75">
      <c r="B87" s="384"/>
      <c r="C87" s="379"/>
      <c r="I87" s="307" t="s">
        <v>1723</v>
      </c>
      <c r="N87" s="307" t="s">
        <v>615</v>
      </c>
      <c r="O87" s="307" t="s">
        <v>1136</v>
      </c>
      <c r="P87" s="381" t="s">
        <v>192</v>
      </c>
      <c r="Q87" s="382" t="s">
        <v>1055</v>
      </c>
    </row>
    <row r="88" spans="2:17" s="307" customFormat="1" ht="12.75">
      <c r="B88" s="384"/>
      <c r="C88" s="379"/>
      <c r="I88" s="307" t="s">
        <v>1725</v>
      </c>
      <c r="N88" s="307" t="s">
        <v>616</v>
      </c>
      <c r="O88" s="307" t="s">
        <v>1137</v>
      </c>
      <c r="P88" s="381" t="s">
        <v>192</v>
      </c>
      <c r="Q88" s="382" t="s">
        <v>1056</v>
      </c>
    </row>
    <row r="89" spans="2:17" s="307" customFormat="1" ht="12.75">
      <c r="B89" s="384"/>
      <c r="C89" s="379"/>
      <c r="I89" s="307" t="s">
        <v>1727</v>
      </c>
      <c r="N89" s="307" t="s">
        <v>617</v>
      </c>
      <c r="O89" s="307" t="s">
        <v>231</v>
      </c>
      <c r="P89" s="381" t="s">
        <v>192</v>
      </c>
      <c r="Q89" s="382" t="s">
        <v>845</v>
      </c>
    </row>
    <row r="90" spans="2:17" s="307" customFormat="1" ht="12.75">
      <c r="B90" s="384"/>
      <c r="C90" s="379"/>
      <c r="I90" s="307" t="s">
        <v>1731</v>
      </c>
      <c r="N90" s="307" t="s">
        <v>618</v>
      </c>
      <c r="O90" s="307" t="s">
        <v>776</v>
      </c>
      <c r="P90" s="381" t="s">
        <v>192</v>
      </c>
      <c r="Q90" s="382" t="s">
        <v>846</v>
      </c>
    </row>
    <row r="91" spans="2:17" s="307" customFormat="1" ht="12.75">
      <c r="B91" s="384"/>
      <c r="C91" s="379"/>
      <c r="I91" s="307" t="s">
        <v>1733</v>
      </c>
      <c r="N91" s="307" t="s">
        <v>619</v>
      </c>
      <c r="O91" s="307" t="s">
        <v>232</v>
      </c>
      <c r="P91" s="381" t="s">
        <v>192</v>
      </c>
      <c r="Q91" s="382" t="s">
        <v>1057</v>
      </c>
    </row>
    <row r="92" spans="2:17" s="307" customFormat="1" ht="12.75">
      <c r="B92" s="384"/>
      <c r="C92" s="379"/>
      <c r="I92" s="307" t="s">
        <v>1734</v>
      </c>
      <c r="N92" s="307" t="s">
        <v>620</v>
      </c>
      <c r="O92" s="307" t="s">
        <v>233</v>
      </c>
      <c r="P92" s="381" t="s">
        <v>192</v>
      </c>
      <c r="Q92" s="382" t="s">
        <v>1058</v>
      </c>
    </row>
    <row r="93" spans="2:17" s="307" customFormat="1" ht="12.75">
      <c r="B93" s="384"/>
      <c r="C93" s="379"/>
      <c r="I93" s="307" t="s">
        <v>1736</v>
      </c>
      <c r="N93" s="307" t="s">
        <v>621</v>
      </c>
      <c r="O93" s="307" t="s">
        <v>234</v>
      </c>
      <c r="P93" s="381" t="s">
        <v>192</v>
      </c>
      <c r="Q93" s="382" t="s">
        <v>1059</v>
      </c>
    </row>
    <row r="94" spans="2:17" s="307" customFormat="1" ht="12.75">
      <c r="B94" s="384"/>
      <c r="C94" s="379"/>
      <c r="I94" s="307" t="s">
        <v>1737</v>
      </c>
      <c r="N94" s="307" t="s">
        <v>622</v>
      </c>
      <c r="O94" s="307" t="s">
        <v>158</v>
      </c>
      <c r="P94" s="381" t="s">
        <v>192</v>
      </c>
      <c r="Q94" s="382" t="s">
        <v>1060</v>
      </c>
    </row>
    <row r="95" spans="2:17" s="307" customFormat="1" ht="12.75">
      <c r="B95" s="384"/>
      <c r="C95" s="379"/>
      <c r="I95" s="307" t="s">
        <v>1743</v>
      </c>
      <c r="N95" s="307" t="s">
        <v>623</v>
      </c>
      <c r="O95" s="307" t="s">
        <v>235</v>
      </c>
      <c r="P95" s="381" t="s">
        <v>192</v>
      </c>
      <c r="Q95" s="382" t="s">
        <v>847</v>
      </c>
    </row>
    <row r="96" spans="2:17" s="307" customFormat="1" ht="12.75">
      <c r="B96" s="384"/>
      <c r="C96" s="379"/>
      <c r="I96" s="307" t="s">
        <v>1748</v>
      </c>
      <c r="N96" s="307" t="s">
        <v>624</v>
      </c>
      <c r="O96" s="307" t="s">
        <v>345</v>
      </c>
      <c r="P96" s="381" t="s">
        <v>192</v>
      </c>
      <c r="Q96" s="382" t="s">
        <v>1061</v>
      </c>
    </row>
    <row r="97" spans="2:17" s="307" customFormat="1" ht="12.75">
      <c r="B97" s="384"/>
      <c r="C97" s="379"/>
      <c r="I97" s="307" t="s">
        <v>1754</v>
      </c>
      <c r="N97" s="307" t="s">
        <v>625</v>
      </c>
      <c r="O97" s="307" t="s">
        <v>346</v>
      </c>
      <c r="P97" s="381" t="s">
        <v>192</v>
      </c>
      <c r="Q97" s="382" t="s">
        <v>848</v>
      </c>
    </row>
    <row r="98" spans="2:17" s="307" customFormat="1" ht="12.75">
      <c r="B98" s="384"/>
      <c r="C98" s="379"/>
      <c r="I98" s="307" t="s">
        <v>1759</v>
      </c>
      <c r="N98" s="307" t="s">
        <v>626</v>
      </c>
      <c r="O98" s="307" t="s">
        <v>833</v>
      </c>
      <c r="P98" s="381" t="s">
        <v>192</v>
      </c>
      <c r="Q98" s="382" t="s">
        <v>849</v>
      </c>
    </row>
    <row r="99" spans="2:17" s="307" customFormat="1" ht="12.75">
      <c r="B99" s="384"/>
      <c r="C99" s="379"/>
      <c r="I99" s="307" t="s">
        <v>1764</v>
      </c>
      <c r="N99" s="307" t="s">
        <v>627</v>
      </c>
      <c r="O99" s="307" t="s">
        <v>834</v>
      </c>
      <c r="P99" s="381" t="s">
        <v>192</v>
      </c>
      <c r="Q99" s="382" t="s">
        <v>1062</v>
      </c>
    </row>
    <row r="100" spans="2:17" s="307" customFormat="1" ht="12.75">
      <c r="B100" s="384"/>
      <c r="C100" s="379"/>
      <c r="I100" s="307" t="s">
        <v>1769</v>
      </c>
      <c r="N100" s="307" t="s">
        <v>628</v>
      </c>
      <c r="O100" s="307" t="s">
        <v>347</v>
      </c>
      <c r="P100" s="381" t="s">
        <v>192</v>
      </c>
      <c r="Q100" s="382" t="s">
        <v>1063</v>
      </c>
    </row>
    <row r="101" spans="2:17" s="307" customFormat="1" ht="12.75">
      <c r="B101" s="384"/>
      <c r="C101" s="379"/>
      <c r="I101" s="307" t="s">
        <v>1772</v>
      </c>
      <c r="N101" s="307" t="s">
        <v>629</v>
      </c>
      <c r="O101" s="307" t="s">
        <v>348</v>
      </c>
      <c r="P101" s="381" t="s">
        <v>192</v>
      </c>
      <c r="Q101" s="382" t="s">
        <v>850</v>
      </c>
    </row>
    <row r="102" spans="2:17" s="307" customFormat="1" ht="12.75">
      <c r="B102" s="384"/>
      <c r="C102" s="379"/>
      <c r="I102" s="307" t="s">
        <v>1775</v>
      </c>
      <c r="N102" s="307" t="s">
        <v>630</v>
      </c>
      <c r="O102" s="307" t="s">
        <v>349</v>
      </c>
      <c r="P102" s="381" t="s">
        <v>192</v>
      </c>
      <c r="Q102" s="382" t="s">
        <v>1064</v>
      </c>
    </row>
    <row r="103" spans="2:17" s="307" customFormat="1" ht="12.75">
      <c r="B103" s="384"/>
      <c r="C103" s="379"/>
      <c r="I103" s="307" t="s">
        <v>1779</v>
      </c>
      <c r="N103" s="307" t="s">
        <v>631</v>
      </c>
      <c r="O103" s="307" t="s">
        <v>350</v>
      </c>
      <c r="P103" s="381" t="s">
        <v>192</v>
      </c>
      <c r="Q103" s="382" t="s">
        <v>1065</v>
      </c>
    </row>
    <row r="104" spans="2:17" s="307" customFormat="1" ht="12.75">
      <c r="B104" s="384"/>
      <c r="C104" s="379"/>
      <c r="I104" s="307" t="s">
        <v>1788</v>
      </c>
      <c r="N104" s="307" t="s">
        <v>632</v>
      </c>
      <c r="O104" s="307" t="s">
        <v>351</v>
      </c>
      <c r="P104" s="381" t="s">
        <v>192</v>
      </c>
      <c r="Q104" s="382" t="s">
        <v>1066</v>
      </c>
    </row>
    <row r="105" spans="2:17" s="307" customFormat="1" ht="12.75">
      <c r="B105" s="384"/>
      <c r="C105" s="379"/>
      <c r="I105" s="307" t="s">
        <v>1791</v>
      </c>
      <c r="N105" s="307" t="s">
        <v>633</v>
      </c>
      <c r="O105" s="307" t="s">
        <v>352</v>
      </c>
      <c r="P105" s="381" t="s">
        <v>192</v>
      </c>
      <c r="Q105" s="382" t="s">
        <v>1067</v>
      </c>
    </row>
    <row r="106" spans="2:17" s="307" customFormat="1" ht="12.75">
      <c r="B106" s="384"/>
      <c r="C106" s="379"/>
      <c r="I106" s="307" t="s">
        <v>1795</v>
      </c>
      <c r="N106" s="307" t="s">
        <v>634</v>
      </c>
      <c r="O106" s="307" t="s">
        <v>353</v>
      </c>
      <c r="P106" s="381" t="s">
        <v>192</v>
      </c>
      <c r="Q106" s="382" t="s">
        <v>1068</v>
      </c>
    </row>
    <row r="107" spans="2:17" s="307" customFormat="1" ht="12.75">
      <c r="B107" s="384"/>
      <c r="C107" s="379"/>
      <c r="I107" s="307" t="s">
        <v>1797</v>
      </c>
      <c r="N107" s="307" t="s">
        <v>166</v>
      </c>
      <c r="O107" s="307" t="s">
        <v>354</v>
      </c>
      <c r="P107" s="381" t="s">
        <v>192</v>
      </c>
      <c r="Q107" s="382" t="s">
        <v>851</v>
      </c>
    </row>
    <row r="108" spans="2:17" s="307" customFormat="1" ht="12.75">
      <c r="B108" s="384"/>
      <c r="C108" s="379"/>
      <c r="I108" s="307" t="s">
        <v>1805</v>
      </c>
      <c r="N108" s="307" t="s">
        <v>167</v>
      </c>
      <c r="O108" s="307" t="s">
        <v>1138</v>
      </c>
      <c r="P108" s="381" t="s">
        <v>192</v>
      </c>
      <c r="Q108" s="382" t="s">
        <v>1069</v>
      </c>
    </row>
    <row r="109" spans="2:17" s="307" customFormat="1" ht="12.75">
      <c r="B109" s="384"/>
      <c r="C109" s="379"/>
      <c r="I109" s="307" t="s">
        <v>1814</v>
      </c>
      <c r="N109" s="307" t="s">
        <v>635</v>
      </c>
      <c r="O109" s="307" t="s">
        <v>355</v>
      </c>
      <c r="P109" s="381" t="s">
        <v>192</v>
      </c>
      <c r="Q109" s="382" t="s">
        <v>1070</v>
      </c>
    </row>
    <row r="110" spans="2:17" s="307" customFormat="1" ht="12.75">
      <c r="B110" s="384"/>
      <c r="C110" s="379"/>
      <c r="I110" s="307" t="s">
        <v>1821</v>
      </c>
      <c r="N110" s="307" t="s">
        <v>168</v>
      </c>
      <c r="O110" s="307" t="s">
        <v>356</v>
      </c>
      <c r="P110" s="381" t="s">
        <v>192</v>
      </c>
      <c r="Q110" s="382" t="s">
        <v>852</v>
      </c>
    </row>
    <row r="111" spans="2:17" s="307" customFormat="1" ht="12.75">
      <c r="B111" s="384"/>
      <c r="C111" s="379"/>
      <c r="I111" s="307" t="s">
        <v>1823</v>
      </c>
      <c r="N111" s="307" t="s">
        <v>636</v>
      </c>
      <c r="O111" s="307" t="s">
        <v>357</v>
      </c>
      <c r="P111" s="381" t="s">
        <v>192</v>
      </c>
      <c r="Q111" s="382" t="s">
        <v>1071</v>
      </c>
    </row>
    <row r="112" spans="2:17" s="307" customFormat="1" ht="12.75">
      <c r="B112" s="384"/>
      <c r="C112" s="379"/>
      <c r="I112" s="307" t="s">
        <v>1828</v>
      </c>
      <c r="N112" s="307" t="s">
        <v>637</v>
      </c>
      <c r="O112" s="307" t="s">
        <v>236</v>
      </c>
      <c r="P112" s="381" t="s">
        <v>392</v>
      </c>
      <c r="Q112" s="382" t="s">
        <v>613</v>
      </c>
    </row>
    <row r="113" spans="2:17" s="307" customFormat="1" ht="12.75">
      <c r="B113" s="384"/>
      <c r="C113" s="379"/>
      <c r="I113" s="307" t="s">
        <v>1835</v>
      </c>
      <c r="N113" s="307" t="s">
        <v>638</v>
      </c>
      <c r="O113" s="307" t="s">
        <v>237</v>
      </c>
      <c r="P113" s="381" t="s">
        <v>328</v>
      </c>
      <c r="Q113" s="382" t="s">
        <v>828</v>
      </c>
    </row>
    <row r="114" spans="2:17" s="307" customFormat="1" ht="12.75">
      <c r="B114" s="384"/>
      <c r="C114" s="379"/>
      <c r="I114" s="307" t="s">
        <v>1838</v>
      </c>
      <c r="N114" s="307" t="s">
        <v>639</v>
      </c>
      <c r="O114" s="307" t="s">
        <v>238</v>
      </c>
      <c r="P114" s="381" t="s">
        <v>328</v>
      </c>
      <c r="Q114" s="382" t="s">
        <v>829</v>
      </c>
    </row>
    <row r="115" spans="2:17" s="307" customFormat="1" ht="12.75">
      <c r="B115" s="384"/>
      <c r="C115" s="379"/>
      <c r="I115" s="307" t="s">
        <v>1846</v>
      </c>
      <c r="N115" s="307" t="s">
        <v>640</v>
      </c>
      <c r="O115" s="307" t="s">
        <v>555</v>
      </c>
      <c r="P115" s="381" t="s">
        <v>328</v>
      </c>
      <c r="Q115" s="382" t="s">
        <v>830</v>
      </c>
    </row>
    <row r="116" spans="2:17" s="307" customFormat="1" ht="12.75">
      <c r="B116" s="384"/>
      <c r="C116" s="379"/>
      <c r="I116" s="307" t="s">
        <v>1851</v>
      </c>
      <c r="N116" s="307" t="s">
        <v>169</v>
      </c>
      <c r="O116" s="307" t="s">
        <v>1139</v>
      </c>
      <c r="P116" s="381" t="s">
        <v>329</v>
      </c>
      <c r="Q116" s="382" t="s">
        <v>853</v>
      </c>
    </row>
    <row r="117" spans="2:17" s="307" customFormat="1" ht="12.75">
      <c r="B117" s="384"/>
      <c r="C117" s="379"/>
      <c r="I117" s="307" t="s">
        <v>1856</v>
      </c>
      <c r="N117" s="307" t="s">
        <v>641</v>
      </c>
      <c r="O117" s="307" t="s">
        <v>906</v>
      </c>
      <c r="P117" s="381" t="s">
        <v>329</v>
      </c>
      <c r="Q117" s="382" t="s">
        <v>854</v>
      </c>
    </row>
    <row r="118" spans="2:17" s="307" customFormat="1" ht="12.75">
      <c r="B118" s="384"/>
      <c r="C118" s="379"/>
      <c r="I118" s="307" t="s">
        <v>1858</v>
      </c>
      <c r="N118" s="307" t="s">
        <v>642</v>
      </c>
      <c r="O118" s="307" t="s">
        <v>358</v>
      </c>
      <c r="P118" s="381" t="s">
        <v>329</v>
      </c>
      <c r="Q118" s="382" t="s">
        <v>855</v>
      </c>
    </row>
    <row r="119" spans="2:17" s="307" customFormat="1" ht="12.75">
      <c r="B119" s="384"/>
      <c r="C119" s="379"/>
      <c r="I119" s="307" t="s">
        <v>1859</v>
      </c>
      <c r="N119" s="307" t="s">
        <v>643</v>
      </c>
      <c r="O119" s="307" t="s">
        <v>239</v>
      </c>
      <c r="P119" s="381" t="s">
        <v>330</v>
      </c>
      <c r="Q119" s="382" t="s">
        <v>637</v>
      </c>
    </row>
    <row r="120" spans="2:17" s="307" customFormat="1" ht="12.75">
      <c r="B120" s="384"/>
      <c r="C120" s="379"/>
      <c r="I120" s="307" t="s">
        <v>1871</v>
      </c>
      <c r="N120" s="307" t="s">
        <v>644</v>
      </c>
      <c r="O120" s="307" t="s">
        <v>240</v>
      </c>
      <c r="P120" s="381" t="s">
        <v>330</v>
      </c>
      <c r="Q120" s="382" t="s">
        <v>646</v>
      </c>
    </row>
    <row r="121" spans="2:17" s="307" customFormat="1" ht="12.75">
      <c r="B121" s="384"/>
      <c r="C121" s="379"/>
      <c r="N121" s="307" t="s">
        <v>645</v>
      </c>
      <c r="O121" s="307" t="s">
        <v>241</v>
      </c>
      <c r="P121" s="381" t="s">
        <v>330</v>
      </c>
      <c r="Q121" s="382" t="s">
        <v>730</v>
      </c>
    </row>
    <row r="122" spans="2:17" s="307" customFormat="1" ht="12.75">
      <c r="B122" s="384"/>
      <c r="C122" s="379"/>
      <c r="N122" s="307" t="s">
        <v>646</v>
      </c>
      <c r="O122" s="307" t="s">
        <v>436</v>
      </c>
      <c r="P122" s="381" t="s">
        <v>195</v>
      </c>
      <c r="Q122" s="382" t="s">
        <v>856</v>
      </c>
    </row>
    <row r="123" spans="2:17" s="307" customFormat="1" ht="12.75">
      <c r="B123" s="384"/>
      <c r="C123" s="379"/>
      <c r="N123" s="307" t="s">
        <v>170</v>
      </c>
      <c r="O123" s="307" t="s">
        <v>359</v>
      </c>
      <c r="P123" s="381" t="s">
        <v>195</v>
      </c>
      <c r="Q123" s="382" t="s">
        <v>582</v>
      </c>
    </row>
    <row r="124" spans="2:17" s="307" customFormat="1" ht="12.75">
      <c r="B124" s="384"/>
      <c r="C124" s="379"/>
      <c r="N124" s="307" t="s">
        <v>647</v>
      </c>
      <c r="O124" s="307" t="s">
        <v>360</v>
      </c>
      <c r="P124" s="381" t="s">
        <v>195</v>
      </c>
      <c r="Q124" s="382" t="s">
        <v>142</v>
      </c>
    </row>
    <row r="125" spans="2:17" s="307" customFormat="1" ht="12.75">
      <c r="B125" s="384"/>
      <c r="C125" s="379"/>
      <c r="N125" s="307" t="s">
        <v>648</v>
      </c>
      <c r="O125" s="307" t="s">
        <v>242</v>
      </c>
      <c r="P125" s="381" t="s">
        <v>195</v>
      </c>
      <c r="Q125" s="382" t="s">
        <v>143</v>
      </c>
    </row>
    <row r="126" spans="2:17" s="307" customFormat="1" ht="12.75">
      <c r="B126" s="384"/>
      <c r="C126" s="379"/>
      <c r="N126" s="307" t="s">
        <v>649</v>
      </c>
      <c r="O126" s="307" t="s">
        <v>1140</v>
      </c>
      <c r="P126" s="381" t="s">
        <v>195</v>
      </c>
      <c r="Q126" s="382" t="s">
        <v>144</v>
      </c>
    </row>
    <row r="127" spans="2:17" s="307" customFormat="1" ht="12.75">
      <c r="B127" s="384"/>
      <c r="C127" s="379"/>
      <c r="N127" s="307" t="s">
        <v>650</v>
      </c>
      <c r="O127" s="307" t="s">
        <v>361</v>
      </c>
      <c r="P127" s="381" t="s">
        <v>195</v>
      </c>
      <c r="Q127" s="382" t="s">
        <v>145</v>
      </c>
    </row>
    <row r="128" spans="2:17" s="307" customFormat="1" ht="12.75">
      <c r="B128" s="384"/>
      <c r="C128" s="379"/>
      <c r="N128" s="307" t="s">
        <v>651</v>
      </c>
      <c r="O128" s="307" t="s">
        <v>910</v>
      </c>
      <c r="P128" s="381" t="s">
        <v>196</v>
      </c>
      <c r="Q128" s="382" t="s">
        <v>856</v>
      </c>
    </row>
    <row r="129" spans="2:17" s="307" customFormat="1" ht="12.75">
      <c r="B129" s="384"/>
      <c r="C129" s="379"/>
      <c r="N129" s="307" t="s">
        <v>652</v>
      </c>
      <c r="O129" s="307" t="s">
        <v>362</v>
      </c>
      <c r="P129" s="381" t="s">
        <v>196</v>
      </c>
      <c r="Q129" s="382" t="s">
        <v>582</v>
      </c>
    </row>
    <row r="130" spans="2:17" s="307" customFormat="1" ht="12.75">
      <c r="B130" s="384"/>
      <c r="C130" s="379"/>
      <c r="N130" s="307" t="s">
        <v>653</v>
      </c>
      <c r="O130" s="307" t="s">
        <v>363</v>
      </c>
      <c r="P130" s="381" t="s">
        <v>196</v>
      </c>
      <c r="Q130" s="382" t="s">
        <v>142</v>
      </c>
    </row>
    <row r="131" spans="2:17" s="307" customFormat="1" ht="12.75">
      <c r="B131" s="384"/>
      <c r="C131" s="379"/>
      <c r="N131" s="307" t="s">
        <v>654</v>
      </c>
      <c r="O131" s="307" t="s">
        <v>364</v>
      </c>
      <c r="P131" s="381" t="s">
        <v>196</v>
      </c>
      <c r="Q131" s="382" t="s">
        <v>143</v>
      </c>
    </row>
    <row r="132" spans="2:17" s="307" customFormat="1" ht="12.75">
      <c r="B132" s="384"/>
      <c r="C132" s="379"/>
      <c r="N132" s="307" t="s">
        <v>655</v>
      </c>
      <c r="O132" s="307" t="s">
        <v>556</v>
      </c>
      <c r="P132" s="381" t="s">
        <v>196</v>
      </c>
      <c r="Q132" s="382" t="s">
        <v>144</v>
      </c>
    </row>
    <row r="133" spans="2:17" s="307" customFormat="1" ht="12.75">
      <c r="B133" s="384"/>
      <c r="C133" s="379"/>
      <c r="N133" s="307" t="s">
        <v>656</v>
      </c>
      <c r="O133" s="307" t="s">
        <v>243</v>
      </c>
      <c r="P133" s="381" t="s">
        <v>196</v>
      </c>
      <c r="Q133" s="382" t="s">
        <v>145</v>
      </c>
    </row>
    <row r="134" spans="2:17" s="307" customFormat="1" ht="12.75">
      <c r="B134" s="384"/>
      <c r="C134" s="379"/>
      <c r="N134" s="307" t="s">
        <v>657</v>
      </c>
      <c r="O134" s="307" t="s">
        <v>784</v>
      </c>
      <c r="P134" s="381" t="s">
        <v>393</v>
      </c>
      <c r="Q134" s="382" t="s">
        <v>1072</v>
      </c>
    </row>
    <row r="135" spans="2:17" s="307" customFormat="1" ht="12.75">
      <c r="B135" s="384"/>
      <c r="C135" s="379"/>
      <c r="N135" s="307" t="s">
        <v>658</v>
      </c>
      <c r="O135" s="307" t="s">
        <v>365</v>
      </c>
      <c r="P135" s="381" t="s">
        <v>394</v>
      </c>
      <c r="Q135" s="382" t="s">
        <v>1073</v>
      </c>
    </row>
    <row r="136" spans="2:17" s="307" customFormat="1" ht="12.75">
      <c r="B136" s="384"/>
      <c r="C136" s="379"/>
      <c r="N136" s="307" t="s">
        <v>659</v>
      </c>
      <c r="O136" s="307" t="s">
        <v>366</v>
      </c>
      <c r="P136" s="381" t="s">
        <v>395</v>
      </c>
      <c r="Q136" s="382" t="s">
        <v>1074</v>
      </c>
    </row>
    <row r="137" spans="2:17" s="307" customFormat="1" ht="12.75">
      <c r="B137" s="384"/>
      <c r="C137" s="379"/>
      <c r="N137" s="307" t="s">
        <v>660</v>
      </c>
      <c r="O137" s="307" t="s">
        <v>244</v>
      </c>
      <c r="P137" s="381" t="s">
        <v>395</v>
      </c>
      <c r="Q137" s="382" t="s">
        <v>36</v>
      </c>
    </row>
    <row r="138" spans="2:17" s="307" customFormat="1" ht="12.75">
      <c r="B138" s="384"/>
      <c r="C138" s="379"/>
      <c r="N138" s="307" t="s">
        <v>661</v>
      </c>
      <c r="O138" s="307" t="s">
        <v>245</v>
      </c>
      <c r="P138" s="381" t="s">
        <v>396</v>
      </c>
      <c r="Q138" s="382" t="s">
        <v>1074</v>
      </c>
    </row>
    <row r="139" spans="2:17" s="307" customFormat="1" ht="12.75">
      <c r="B139" s="384"/>
      <c r="C139" s="379"/>
      <c r="N139" s="307" t="s">
        <v>662</v>
      </c>
      <c r="O139" s="307" t="s">
        <v>246</v>
      </c>
      <c r="P139" s="381" t="s">
        <v>397</v>
      </c>
      <c r="Q139" s="382" t="s">
        <v>1075</v>
      </c>
    </row>
    <row r="140" spans="2:17" s="307" customFormat="1" ht="12.75">
      <c r="B140" s="384"/>
      <c r="C140" s="379"/>
      <c r="N140" s="307" t="s">
        <v>663</v>
      </c>
      <c r="O140" s="307" t="s">
        <v>248</v>
      </c>
      <c r="P140" s="381" t="s">
        <v>399</v>
      </c>
      <c r="Q140" s="382" t="s">
        <v>1076</v>
      </c>
    </row>
    <row r="141" spans="2:17" s="307" customFormat="1" ht="12.75">
      <c r="B141" s="384"/>
      <c r="C141" s="379"/>
      <c r="N141" s="307" t="s">
        <v>664</v>
      </c>
      <c r="O141" s="307" t="s">
        <v>249</v>
      </c>
      <c r="P141" s="381" t="s">
        <v>398</v>
      </c>
      <c r="Q141" s="382" t="s">
        <v>1076</v>
      </c>
    </row>
    <row r="142" spans="2:17" s="307" customFormat="1" ht="12.75">
      <c r="B142" s="384"/>
      <c r="C142" s="379"/>
      <c r="N142" s="307" t="s">
        <v>665</v>
      </c>
      <c r="O142" s="307" t="s">
        <v>247</v>
      </c>
      <c r="P142" s="381" t="s">
        <v>401</v>
      </c>
      <c r="Q142" s="382" t="s">
        <v>1050</v>
      </c>
    </row>
    <row r="143" spans="2:17" s="307" customFormat="1" ht="12.75">
      <c r="B143" s="384"/>
      <c r="C143" s="379"/>
      <c r="N143" s="307" t="s">
        <v>666</v>
      </c>
      <c r="O143" s="307" t="s">
        <v>164</v>
      </c>
      <c r="P143" s="381" t="s">
        <v>402</v>
      </c>
      <c r="Q143" s="382" t="s">
        <v>1050</v>
      </c>
    </row>
    <row r="144" spans="2:17" s="307" customFormat="1" ht="12.75">
      <c r="B144" s="384"/>
      <c r="C144" s="379"/>
      <c r="N144" s="307" t="s">
        <v>667</v>
      </c>
      <c r="O144" s="307" t="s">
        <v>165</v>
      </c>
      <c r="P144" s="381" t="s">
        <v>400</v>
      </c>
      <c r="Q144" s="382" t="s">
        <v>1050</v>
      </c>
    </row>
    <row r="145" spans="2:17" s="307" customFormat="1" ht="12.75">
      <c r="B145" s="384"/>
      <c r="C145" s="379"/>
      <c r="N145" s="307" t="s">
        <v>668</v>
      </c>
      <c r="O145" s="307" t="s">
        <v>367</v>
      </c>
      <c r="P145" s="381" t="s">
        <v>810</v>
      </c>
      <c r="Q145" s="382" t="s">
        <v>1050</v>
      </c>
    </row>
    <row r="146" spans="2:17" s="307" customFormat="1" ht="12.75">
      <c r="B146" s="384"/>
      <c r="C146" s="379"/>
      <c r="N146" s="307" t="s">
        <v>669</v>
      </c>
      <c r="O146" s="307" t="s">
        <v>250</v>
      </c>
      <c r="P146" s="381" t="s">
        <v>197</v>
      </c>
      <c r="Q146" s="382" t="s">
        <v>161</v>
      </c>
    </row>
    <row r="147" spans="2:17" s="307" customFormat="1" ht="12.75">
      <c r="B147" s="384"/>
      <c r="C147" s="379"/>
      <c r="N147" s="307" t="s">
        <v>670</v>
      </c>
      <c r="O147" s="307" t="s">
        <v>251</v>
      </c>
      <c r="P147" s="381" t="s">
        <v>197</v>
      </c>
      <c r="Q147" s="382" t="s">
        <v>1077</v>
      </c>
    </row>
    <row r="148" spans="2:17" s="307" customFormat="1" ht="12.75">
      <c r="B148" s="384"/>
      <c r="C148" s="379"/>
      <c r="N148" s="307" t="s">
        <v>671</v>
      </c>
      <c r="O148" s="307" t="s">
        <v>252</v>
      </c>
      <c r="P148" s="381" t="s">
        <v>197</v>
      </c>
      <c r="Q148" s="382" t="s">
        <v>857</v>
      </c>
    </row>
    <row r="149" spans="2:17" s="307" customFormat="1" ht="12.75">
      <c r="B149" s="384"/>
      <c r="C149" s="379"/>
      <c r="N149" s="307" t="s">
        <v>672</v>
      </c>
      <c r="O149" s="307" t="s">
        <v>1282</v>
      </c>
      <c r="P149" s="381" t="s">
        <v>197</v>
      </c>
      <c r="Q149" s="382" t="s">
        <v>858</v>
      </c>
    </row>
    <row r="150" spans="2:17" s="307" customFormat="1" ht="12.75">
      <c r="B150" s="384"/>
      <c r="C150" s="379"/>
      <c r="N150" s="307" t="s">
        <v>673</v>
      </c>
      <c r="O150" s="307" t="s">
        <v>1041</v>
      </c>
      <c r="P150" s="381" t="s">
        <v>198</v>
      </c>
      <c r="Q150" s="382" t="s">
        <v>161</v>
      </c>
    </row>
    <row r="151" spans="2:17" s="307" customFormat="1" ht="12.75">
      <c r="B151" s="384"/>
      <c r="C151" s="379"/>
      <c r="N151" s="307" t="s">
        <v>674</v>
      </c>
      <c r="O151" s="307" t="s">
        <v>1042</v>
      </c>
      <c r="P151" s="381" t="s">
        <v>198</v>
      </c>
      <c r="Q151" s="382" t="s">
        <v>1077</v>
      </c>
    </row>
    <row r="152" spans="2:17" s="307" customFormat="1" ht="12.75">
      <c r="B152" s="384"/>
      <c r="C152" s="379"/>
      <c r="N152" s="307" t="s">
        <v>675</v>
      </c>
      <c r="O152" s="307" t="s">
        <v>1043</v>
      </c>
      <c r="P152" s="381" t="s">
        <v>198</v>
      </c>
      <c r="Q152" s="382" t="s">
        <v>857</v>
      </c>
    </row>
    <row r="153" spans="2:17" s="307" customFormat="1" ht="12.75">
      <c r="B153" s="384"/>
      <c r="C153" s="379"/>
      <c r="N153" s="307" t="s">
        <v>676</v>
      </c>
      <c r="O153" s="307" t="s">
        <v>1044</v>
      </c>
      <c r="P153" s="381" t="s">
        <v>198</v>
      </c>
      <c r="Q153" s="382" t="s">
        <v>858</v>
      </c>
    </row>
    <row r="154" spans="2:17" s="307" customFormat="1" ht="12.75">
      <c r="B154" s="384"/>
      <c r="C154" s="379"/>
      <c r="N154" s="307" t="s">
        <v>677</v>
      </c>
      <c r="O154" s="307" t="s">
        <v>1045</v>
      </c>
      <c r="P154" s="381" t="s">
        <v>331</v>
      </c>
      <c r="Q154" s="382" t="s">
        <v>859</v>
      </c>
    </row>
    <row r="155" spans="2:17" s="307" customFormat="1" ht="12.75">
      <c r="B155" s="384"/>
      <c r="C155" s="379"/>
      <c r="N155" s="307" t="s">
        <v>678</v>
      </c>
      <c r="O155" s="307" t="s">
        <v>1046</v>
      </c>
      <c r="P155" s="381" t="s">
        <v>407</v>
      </c>
      <c r="Q155" s="382" t="s">
        <v>1075</v>
      </c>
    </row>
    <row r="156" spans="2:17" s="307" customFormat="1" ht="12.75">
      <c r="B156" s="384"/>
      <c r="C156" s="379"/>
      <c r="N156" s="307" t="s">
        <v>679</v>
      </c>
      <c r="O156" s="307" t="s">
        <v>171</v>
      </c>
      <c r="P156" s="381" t="s">
        <v>408</v>
      </c>
      <c r="Q156" s="382" t="s">
        <v>1078</v>
      </c>
    </row>
    <row r="157" spans="2:17" s="307" customFormat="1" ht="12.75">
      <c r="B157" s="384"/>
      <c r="C157" s="379"/>
      <c r="N157" s="307" t="s">
        <v>680</v>
      </c>
      <c r="O157" s="307" t="s">
        <v>172</v>
      </c>
      <c r="P157" s="381" t="s">
        <v>332</v>
      </c>
      <c r="Q157" s="382" t="s">
        <v>566</v>
      </c>
    </row>
    <row r="158" spans="2:17" s="307" customFormat="1" ht="12.75">
      <c r="B158" s="384"/>
      <c r="C158" s="379"/>
      <c r="N158" s="307" t="s">
        <v>681</v>
      </c>
      <c r="O158" s="307" t="s">
        <v>173</v>
      </c>
      <c r="P158" s="381" t="s">
        <v>332</v>
      </c>
      <c r="Q158" s="382" t="s">
        <v>567</v>
      </c>
    </row>
    <row r="159" spans="2:17" s="307" customFormat="1" ht="12.75">
      <c r="B159" s="384"/>
      <c r="C159" s="379"/>
      <c r="N159" s="307" t="s">
        <v>682</v>
      </c>
      <c r="O159" s="307" t="s">
        <v>253</v>
      </c>
      <c r="P159" s="381" t="s">
        <v>332</v>
      </c>
      <c r="Q159" s="382" t="s">
        <v>860</v>
      </c>
    </row>
    <row r="160" spans="2:17" s="307" customFormat="1" ht="12.75">
      <c r="B160" s="384"/>
      <c r="C160" s="379"/>
      <c r="N160" s="307" t="s">
        <v>683</v>
      </c>
      <c r="O160" s="307" t="s">
        <v>1141</v>
      </c>
      <c r="P160" s="381" t="s">
        <v>332</v>
      </c>
      <c r="Q160" s="382" t="s">
        <v>861</v>
      </c>
    </row>
    <row r="161" spans="2:17" s="307" customFormat="1" ht="12.75">
      <c r="B161" s="384"/>
      <c r="C161" s="379"/>
      <c r="N161" s="307" t="s">
        <v>684</v>
      </c>
      <c r="O161" s="307" t="s">
        <v>1142</v>
      </c>
      <c r="P161" s="381" t="s">
        <v>332</v>
      </c>
      <c r="Q161" s="382" t="s">
        <v>862</v>
      </c>
    </row>
    <row r="162" spans="2:17" s="307" customFormat="1" ht="12.75">
      <c r="B162" s="384"/>
      <c r="C162" s="379"/>
      <c r="N162" s="307" t="s">
        <v>171</v>
      </c>
      <c r="O162" s="307" t="s">
        <v>1143</v>
      </c>
      <c r="P162" s="381" t="s">
        <v>332</v>
      </c>
      <c r="Q162" s="382" t="s">
        <v>863</v>
      </c>
    </row>
    <row r="163" spans="2:17" s="307" customFormat="1" ht="12.75">
      <c r="B163" s="384"/>
      <c r="C163" s="379"/>
      <c r="N163" s="307" t="s">
        <v>172</v>
      </c>
      <c r="O163" s="307" t="s">
        <v>368</v>
      </c>
      <c r="P163" s="381" t="s">
        <v>332</v>
      </c>
      <c r="Q163" s="382" t="s">
        <v>864</v>
      </c>
    </row>
    <row r="164" spans="2:17" s="307" customFormat="1" ht="12.75">
      <c r="B164" s="384"/>
      <c r="C164" s="379"/>
      <c r="N164" s="307" t="s">
        <v>173</v>
      </c>
      <c r="O164" s="307" t="s">
        <v>254</v>
      </c>
      <c r="P164" s="381" t="s">
        <v>332</v>
      </c>
      <c r="Q164" s="382" t="s">
        <v>865</v>
      </c>
    </row>
    <row r="165" spans="2:17" s="307" customFormat="1" ht="12.75">
      <c r="B165" s="384"/>
      <c r="C165" s="379"/>
      <c r="N165" s="307" t="s">
        <v>174</v>
      </c>
      <c r="O165" s="307" t="s">
        <v>255</v>
      </c>
      <c r="P165" s="381" t="s">
        <v>332</v>
      </c>
      <c r="Q165" s="382" t="s">
        <v>866</v>
      </c>
    </row>
    <row r="166" spans="2:17" s="307" customFormat="1" ht="12.75">
      <c r="B166" s="384"/>
      <c r="C166" s="379"/>
      <c r="N166" s="307" t="s">
        <v>685</v>
      </c>
      <c r="O166" s="307" t="s">
        <v>456</v>
      </c>
      <c r="P166" s="381" t="s">
        <v>332</v>
      </c>
      <c r="Q166" s="382" t="s">
        <v>569</v>
      </c>
    </row>
    <row r="167" spans="2:17" s="307" customFormat="1" ht="12.75">
      <c r="B167" s="384"/>
      <c r="C167" s="379"/>
      <c r="N167" s="307" t="s">
        <v>686</v>
      </c>
      <c r="O167" s="307" t="s">
        <v>1371</v>
      </c>
      <c r="P167" s="381" t="s">
        <v>332</v>
      </c>
      <c r="Q167" s="382" t="s">
        <v>570</v>
      </c>
    </row>
    <row r="168" spans="2:17" s="307" customFormat="1" ht="12.75">
      <c r="B168" s="384"/>
      <c r="C168" s="379"/>
      <c r="N168" s="307" t="s">
        <v>687</v>
      </c>
      <c r="O168" s="307" t="s">
        <v>1372</v>
      </c>
      <c r="P168" s="381" t="s">
        <v>332</v>
      </c>
      <c r="Q168" s="382" t="s">
        <v>1147</v>
      </c>
    </row>
    <row r="169" spans="2:17" s="307" customFormat="1" ht="12.75">
      <c r="B169" s="384"/>
      <c r="C169" s="379"/>
      <c r="N169" s="307" t="s">
        <v>688</v>
      </c>
      <c r="O169" s="307" t="s">
        <v>369</v>
      </c>
      <c r="P169" s="381" t="s">
        <v>332</v>
      </c>
      <c r="Q169" s="382" t="s">
        <v>1148</v>
      </c>
    </row>
    <row r="170" spans="2:17" s="307" customFormat="1" ht="12.75">
      <c r="B170" s="384"/>
      <c r="C170" s="379"/>
      <c r="N170" s="307" t="s">
        <v>689</v>
      </c>
      <c r="O170" s="307" t="s">
        <v>256</v>
      </c>
      <c r="P170" s="381" t="s">
        <v>409</v>
      </c>
      <c r="Q170" s="382" t="s">
        <v>1079</v>
      </c>
    </row>
    <row r="171" spans="2:17" s="307" customFormat="1" ht="12.75">
      <c r="B171" s="384"/>
      <c r="C171" s="379"/>
      <c r="N171" s="307" t="s">
        <v>690</v>
      </c>
      <c r="O171" s="307" t="s">
        <v>257</v>
      </c>
      <c r="P171" s="381" t="s">
        <v>333</v>
      </c>
      <c r="Q171" s="382" t="s">
        <v>164</v>
      </c>
    </row>
    <row r="172" spans="2:17" s="307" customFormat="1" ht="12.75">
      <c r="B172" s="384"/>
      <c r="C172" s="379"/>
      <c r="N172" s="307" t="s">
        <v>691</v>
      </c>
      <c r="O172" s="307" t="s">
        <v>258</v>
      </c>
      <c r="P172" s="381" t="s">
        <v>136</v>
      </c>
      <c r="Q172" s="382" t="s">
        <v>136</v>
      </c>
    </row>
    <row r="173" spans="2:17" s="307" customFormat="1" ht="12.75">
      <c r="B173" s="384"/>
      <c r="C173" s="379"/>
      <c r="N173" s="307" t="s">
        <v>692</v>
      </c>
      <c r="O173" s="307" t="s">
        <v>259</v>
      </c>
      <c r="P173" s="381" t="s">
        <v>410</v>
      </c>
      <c r="Q173" s="382" t="s">
        <v>1080</v>
      </c>
    </row>
    <row r="174" spans="2:17" s="307" customFormat="1" ht="12.75">
      <c r="B174" s="384"/>
      <c r="C174" s="379"/>
      <c r="N174" s="307" t="s">
        <v>693</v>
      </c>
      <c r="O174" s="307" t="s">
        <v>370</v>
      </c>
      <c r="P174" s="381" t="s">
        <v>199</v>
      </c>
      <c r="Q174" s="382" t="s">
        <v>615</v>
      </c>
    </row>
    <row r="175" spans="2:17" s="307" customFormat="1" ht="12.75">
      <c r="B175" s="384"/>
      <c r="C175" s="379"/>
      <c r="N175" s="307" t="s">
        <v>694</v>
      </c>
      <c r="O175" s="307" t="s">
        <v>174</v>
      </c>
      <c r="P175" s="381" t="s">
        <v>199</v>
      </c>
      <c r="Q175" s="382" t="s">
        <v>617</v>
      </c>
    </row>
    <row r="176" spans="2:17" s="307" customFormat="1" ht="12.75">
      <c r="B176" s="384"/>
      <c r="C176" s="379"/>
      <c r="N176" s="307" t="s">
        <v>695</v>
      </c>
      <c r="O176" s="307" t="s">
        <v>260</v>
      </c>
      <c r="P176" s="381" t="s">
        <v>199</v>
      </c>
      <c r="Q176" s="382" t="s">
        <v>622</v>
      </c>
    </row>
    <row r="177" spans="2:17" s="307" customFormat="1" ht="12.75">
      <c r="B177" s="384"/>
      <c r="C177" s="379"/>
      <c r="N177" s="307" t="s">
        <v>696</v>
      </c>
      <c r="O177" s="307" t="s">
        <v>261</v>
      </c>
      <c r="P177" s="381" t="s">
        <v>200</v>
      </c>
      <c r="Q177" s="382" t="s">
        <v>615</v>
      </c>
    </row>
    <row r="178" spans="2:17" s="307" customFormat="1" ht="12.75">
      <c r="B178" s="384"/>
      <c r="C178" s="379"/>
      <c r="N178" s="307" t="s">
        <v>697</v>
      </c>
      <c r="O178" s="307" t="s">
        <v>262</v>
      </c>
      <c r="P178" s="381" t="s">
        <v>200</v>
      </c>
      <c r="Q178" s="382" t="s">
        <v>617</v>
      </c>
    </row>
    <row r="179" spans="2:17" s="307" customFormat="1" ht="12.75">
      <c r="B179" s="384"/>
      <c r="C179" s="379"/>
      <c r="N179" s="307" t="s">
        <v>698</v>
      </c>
      <c r="O179" s="307" t="s">
        <v>263</v>
      </c>
      <c r="P179" s="381" t="s">
        <v>200</v>
      </c>
      <c r="Q179" s="382" t="s">
        <v>622</v>
      </c>
    </row>
    <row r="180" spans="2:17" s="307" customFormat="1" ht="12.75">
      <c r="B180" s="384"/>
      <c r="C180" s="379"/>
      <c r="N180" s="307" t="s">
        <v>699</v>
      </c>
      <c r="O180" s="307" t="s">
        <v>371</v>
      </c>
      <c r="P180" s="381" t="s">
        <v>777</v>
      </c>
      <c r="Q180" s="382" t="s">
        <v>1075</v>
      </c>
    </row>
    <row r="181" spans="2:17" s="307" customFormat="1" ht="12.75">
      <c r="B181" s="384"/>
      <c r="C181" s="379"/>
      <c r="N181" s="307" t="s">
        <v>700</v>
      </c>
      <c r="O181" s="307" t="s">
        <v>372</v>
      </c>
      <c r="P181" s="381" t="s">
        <v>412</v>
      </c>
      <c r="Q181" s="382" t="s">
        <v>1075</v>
      </c>
    </row>
    <row r="182" spans="2:17" s="307" customFormat="1" ht="12.75">
      <c r="B182" s="384"/>
      <c r="C182" s="379"/>
      <c r="N182" s="307" t="s">
        <v>701</v>
      </c>
      <c r="O182" s="307" t="s">
        <v>373</v>
      </c>
      <c r="P182" s="381" t="s">
        <v>778</v>
      </c>
      <c r="Q182" s="382" t="s">
        <v>1075</v>
      </c>
    </row>
    <row r="183" spans="2:17" s="307" customFormat="1" ht="12.75">
      <c r="B183" s="384"/>
      <c r="C183" s="379"/>
      <c r="N183" s="307" t="s">
        <v>702</v>
      </c>
      <c r="O183" s="307" t="s">
        <v>264</v>
      </c>
      <c r="P183" s="381" t="s">
        <v>411</v>
      </c>
      <c r="Q183" s="382" t="s">
        <v>1075</v>
      </c>
    </row>
    <row r="184" spans="2:17" s="307" customFormat="1" ht="12.75">
      <c r="B184" s="384"/>
      <c r="C184" s="379"/>
      <c r="N184" s="307" t="s">
        <v>703</v>
      </c>
      <c r="O184" s="307" t="s">
        <v>265</v>
      </c>
      <c r="P184" s="381" t="s">
        <v>334</v>
      </c>
      <c r="Q184" s="382" t="s">
        <v>638</v>
      </c>
    </row>
    <row r="185" spans="2:17" s="307" customFormat="1" ht="12.75">
      <c r="B185" s="384"/>
      <c r="C185" s="379"/>
      <c r="N185" s="307" t="s">
        <v>704</v>
      </c>
      <c r="O185" s="307" t="s">
        <v>266</v>
      </c>
      <c r="P185" s="381" t="s">
        <v>335</v>
      </c>
      <c r="Q185" s="382" t="s">
        <v>575</v>
      </c>
    </row>
    <row r="186" spans="2:17" s="307" customFormat="1" ht="12.75">
      <c r="B186" s="384"/>
      <c r="C186" s="379"/>
      <c r="N186" s="307" t="s">
        <v>705</v>
      </c>
      <c r="O186" s="307" t="s">
        <v>269</v>
      </c>
      <c r="P186" s="381" t="s">
        <v>335</v>
      </c>
      <c r="Q186" s="382" t="s">
        <v>591</v>
      </c>
    </row>
    <row r="187" spans="2:17" s="307" customFormat="1" ht="12.75">
      <c r="B187" s="384"/>
      <c r="C187" s="379"/>
      <c r="N187" s="307" t="s">
        <v>706</v>
      </c>
      <c r="O187" s="307" t="s">
        <v>270</v>
      </c>
      <c r="P187" s="381" t="s">
        <v>335</v>
      </c>
      <c r="Q187" s="382" t="s">
        <v>867</v>
      </c>
    </row>
    <row r="188" spans="2:17" s="307" customFormat="1" ht="12.75">
      <c r="B188" s="384"/>
      <c r="C188" s="379"/>
      <c r="N188" s="307" t="s">
        <v>707</v>
      </c>
      <c r="O188" s="307" t="s">
        <v>271</v>
      </c>
      <c r="P188" s="381" t="s">
        <v>335</v>
      </c>
      <c r="Q188" s="382" t="s">
        <v>649</v>
      </c>
    </row>
    <row r="189" spans="2:17" s="307" customFormat="1" ht="12.75">
      <c r="B189" s="384"/>
      <c r="C189" s="379"/>
      <c r="N189" s="307" t="s">
        <v>175</v>
      </c>
      <c r="O189" s="307" t="s">
        <v>272</v>
      </c>
      <c r="P189" s="381" t="s">
        <v>335</v>
      </c>
      <c r="Q189" s="382" t="s">
        <v>717</v>
      </c>
    </row>
    <row r="190" spans="2:17" s="307" customFormat="1" ht="12.75">
      <c r="B190" s="384"/>
      <c r="C190" s="379"/>
      <c r="N190" s="307" t="s">
        <v>708</v>
      </c>
      <c r="O190" s="307" t="s">
        <v>273</v>
      </c>
      <c r="P190" s="381" t="s">
        <v>336</v>
      </c>
      <c r="Q190" s="382" t="s">
        <v>575</v>
      </c>
    </row>
    <row r="191" spans="2:17" s="307" customFormat="1" ht="12.75">
      <c r="B191" s="384"/>
      <c r="C191" s="379"/>
      <c r="N191" s="307" t="s">
        <v>709</v>
      </c>
      <c r="O191" s="307" t="s">
        <v>267</v>
      </c>
      <c r="P191" s="381" t="s">
        <v>336</v>
      </c>
      <c r="Q191" s="382" t="s">
        <v>591</v>
      </c>
    </row>
    <row r="192" spans="2:17" s="307" customFormat="1" ht="12.75">
      <c r="B192" s="384"/>
      <c r="C192" s="379"/>
      <c r="N192" s="307" t="s">
        <v>710</v>
      </c>
      <c r="O192" s="307" t="s">
        <v>268</v>
      </c>
      <c r="P192" s="381" t="s">
        <v>336</v>
      </c>
      <c r="Q192" s="382" t="s">
        <v>867</v>
      </c>
    </row>
    <row r="193" spans="2:17" s="307" customFormat="1" ht="12.75">
      <c r="B193" s="384"/>
      <c r="C193" s="379"/>
      <c r="N193" s="307" t="s">
        <v>176</v>
      </c>
      <c r="O193" s="307" t="s">
        <v>274</v>
      </c>
      <c r="P193" s="381" t="s">
        <v>336</v>
      </c>
      <c r="Q193" s="382" t="s">
        <v>649</v>
      </c>
    </row>
    <row r="194" spans="2:17" s="307" customFormat="1" ht="12.75">
      <c r="B194" s="384"/>
      <c r="C194" s="379"/>
      <c r="N194" s="307" t="s">
        <v>711</v>
      </c>
      <c r="O194" s="307" t="s">
        <v>790</v>
      </c>
      <c r="P194" s="381" t="s">
        <v>336</v>
      </c>
      <c r="Q194" s="382" t="s">
        <v>717</v>
      </c>
    </row>
    <row r="195" spans="2:17" s="307" customFormat="1" ht="12.75">
      <c r="B195" s="384"/>
      <c r="C195" s="379"/>
      <c r="N195" s="307" t="s">
        <v>712</v>
      </c>
      <c r="O195" s="307" t="s">
        <v>791</v>
      </c>
      <c r="P195" s="381" t="s">
        <v>201</v>
      </c>
      <c r="Q195" s="382" t="s">
        <v>564</v>
      </c>
    </row>
    <row r="196" spans="2:17" s="307" customFormat="1" ht="12.75">
      <c r="B196" s="384"/>
      <c r="C196" s="379"/>
      <c r="N196" s="307" t="s">
        <v>713</v>
      </c>
      <c r="O196" s="307" t="s">
        <v>275</v>
      </c>
      <c r="P196" s="381" t="s">
        <v>202</v>
      </c>
      <c r="Q196" s="382" t="s">
        <v>188</v>
      </c>
    </row>
    <row r="197" spans="2:17" s="307" customFormat="1" ht="12.75">
      <c r="B197" s="384"/>
      <c r="C197" s="379"/>
      <c r="N197" s="307" t="s">
        <v>714</v>
      </c>
      <c r="O197" s="307" t="s">
        <v>276</v>
      </c>
      <c r="P197" s="381" t="s">
        <v>202</v>
      </c>
      <c r="Q197" s="382" t="s">
        <v>770</v>
      </c>
    </row>
    <row r="198" spans="2:17" s="307" customFormat="1" ht="12.75">
      <c r="B198" s="384"/>
      <c r="C198" s="379"/>
      <c r="N198" s="307" t="s">
        <v>715</v>
      </c>
      <c r="O198" s="307" t="s">
        <v>474</v>
      </c>
      <c r="P198" s="381" t="s">
        <v>203</v>
      </c>
      <c r="Q198" s="382" t="s">
        <v>188</v>
      </c>
    </row>
    <row r="199" spans="2:17" s="307" customFormat="1" ht="12.75">
      <c r="B199" s="384"/>
      <c r="C199" s="379"/>
      <c r="N199" s="307" t="s">
        <v>716</v>
      </c>
      <c r="O199" s="307" t="s">
        <v>475</v>
      </c>
      <c r="P199" s="381" t="s">
        <v>203</v>
      </c>
      <c r="Q199" s="382" t="s">
        <v>770</v>
      </c>
    </row>
    <row r="200" spans="2:17" s="307" customFormat="1" ht="12.75">
      <c r="B200" s="384"/>
      <c r="C200" s="379"/>
      <c r="N200" s="307" t="s">
        <v>717</v>
      </c>
      <c r="O200" s="307" t="s">
        <v>277</v>
      </c>
      <c r="P200" s="381" t="s">
        <v>337</v>
      </c>
      <c r="Q200" s="382" t="s">
        <v>173</v>
      </c>
    </row>
    <row r="201" spans="2:17" s="307" customFormat="1" ht="12.75">
      <c r="B201" s="384"/>
      <c r="C201" s="379"/>
      <c r="N201" s="307" t="s">
        <v>177</v>
      </c>
      <c r="O201" s="307" t="s">
        <v>278</v>
      </c>
      <c r="P201" s="381" t="s">
        <v>413</v>
      </c>
      <c r="Q201" s="382" t="s">
        <v>1081</v>
      </c>
    </row>
    <row r="202" spans="2:17" s="307" customFormat="1" ht="12.75">
      <c r="B202" s="384"/>
      <c r="C202" s="379"/>
      <c r="N202" s="307" t="s">
        <v>718</v>
      </c>
      <c r="O202" s="307" t="s">
        <v>374</v>
      </c>
      <c r="P202" s="381" t="s">
        <v>208</v>
      </c>
      <c r="Q202" s="382" t="s">
        <v>746</v>
      </c>
    </row>
    <row r="203" spans="2:17" s="307" customFormat="1" ht="12.75">
      <c r="B203" s="384"/>
      <c r="C203" s="379"/>
      <c r="N203" s="307" t="s">
        <v>719</v>
      </c>
      <c r="O203" s="307" t="s">
        <v>279</v>
      </c>
      <c r="P203" s="381" t="s">
        <v>209</v>
      </c>
      <c r="Q203" s="382" t="s">
        <v>732</v>
      </c>
    </row>
    <row r="204" spans="2:17" s="307" customFormat="1" ht="12.75">
      <c r="B204" s="384"/>
      <c r="C204" s="379"/>
      <c r="N204" s="307" t="s">
        <v>178</v>
      </c>
      <c r="O204" s="307" t="s">
        <v>280</v>
      </c>
      <c r="P204" s="381" t="s">
        <v>209</v>
      </c>
      <c r="Q204" s="382" t="s">
        <v>733</v>
      </c>
    </row>
    <row r="205" spans="2:17" s="307" customFormat="1" ht="12.75">
      <c r="B205" s="384"/>
      <c r="C205" s="379"/>
      <c r="N205" s="307" t="s">
        <v>720</v>
      </c>
      <c r="O205" s="307" t="s">
        <v>281</v>
      </c>
      <c r="P205" s="381" t="s">
        <v>209</v>
      </c>
      <c r="Q205" s="382" t="s">
        <v>735</v>
      </c>
    </row>
    <row r="206" spans="2:17" s="307" customFormat="1" ht="12.75">
      <c r="B206" s="384"/>
      <c r="C206" s="379"/>
      <c r="N206" s="307" t="s">
        <v>721</v>
      </c>
      <c r="O206" s="307" t="s">
        <v>557</v>
      </c>
      <c r="P206" s="381" t="s">
        <v>209</v>
      </c>
      <c r="Q206" s="382" t="s">
        <v>737</v>
      </c>
    </row>
    <row r="207" spans="2:17" s="307" customFormat="1" ht="12.75">
      <c r="B207" s="384"/>
      <c r="C207" s="379"/>
      <c r="N207" s="307" t="s">
        <v>722</v>
      </c>
      <c r="O207" s="307" t="s">
        <v>558</v>
      </c>
      <c r="P207" s="381" t="s">
        <v>209</v>
      </c>
      <c r="Q207" s="382" t="s">
        <v>738</v>
      </c>
    </row>
    <row r="208" spans="2:17" s="307" customFormat="1" ht="12.75">
      <c r="B208" s="384"/>
      <c r="C208" s="379"/>
      <c r="N208" s="307" t="s">
        <v>723</v>
      </c>
      <c r="O208" s="307" t="s">
        <v>1144</v>
      </c>
      <c r="P208" s="381" t="s">
        <v>209</v>
      </c>
      <c r="Q208" s="382" t="s">
        <v>740</v>
      </c>
    </row>
    <row r="209" spans="2:17" s="307" customFormat="1" ht="12.75">
      <c r="B209" s="384"/>
      <c r="C209" s="379"/>
      <c r="N209" s="307" t="s">
        <v>724</v>
      </c>
      <c r="O209" s="307" t="s">
        <v>1145</v>
      </c>
      <c r="P209" s="381" t="s">
        <v>209</v>
      </c>
      <c r="Q209" s="382" t="s">
        <v>745</v>
      </c>
    </row>
    <row r="210" spans="2:17" s="307" customFormat="1" ht="12.75">
      <c r="B210" s="384"/>
      <c r="C210" s="379"/>
      <c r="N210" s="307" t="s">
        <v>725</v>
      </c>
      <c r="O210" s="307" t="s">
        <v>375</v>
      </c>
      <c r="P210" s="381" t="s">
        <v>209</v>
      </c>
      <c r="Q210" s="382" t="s">
        <v>746</v>
      </c>
    </row>
    <row r="211" spans="2:17" s="307" customFormat="1" ht="12.75">
      <c r="B211" s="384"/>
      <c r="C211" s="379"/>
      <c r="N211" s="307" t="s">
        <v>726</v>
      </c>
      <c r="O211" s="307" t="s">
        <v>376</v>
      </c>
      <c r="P211" s="381" t="s">
        <v>209</v>
      </c>
      <c r="Q211" s="382" t="s">
        <v>747</v>
      </c>
    </row>
    <row r="212" spans="2:17" s="307" customFormat="1" ht="12.75">
      <c r="B212" s="384"/>
      <c r="C212" s="379"/>
      <c r="N212" s="307" t="s">
        <v>179</v>
      </c>
      <c r="O212" s="307" t="s">
        <v>1020</v>
      </c>
      <c r="P212" s="381" t="s">
        <v>209</v>
      </c>
      <c r="Q212" s="382" t="s">
        <v>748</v>
      </c>
    </row>
    <row r="213" spans="2:17" s="307" customFormat="1" ht="12.75">
      <c r="B213" s="384"/>
      <c r="C213" s="379"/>
      <c r="N213" s="307" t="s">
        <v>180</v>
      </c>
      <c r="O213" s="307" t="s">
        <v>1021</v>
      </c>
      <c r="P213" s="381" t="s">
        <v>209</v>
      </c>
      <c r="Q213" s="382" t="s">
        <v>750</v>
      </c>
    </row>
    <row r="214" spans="2:17" s="307" customFormat="1" ht="12.75">
      <c r="B214" s="384"/>
      <c r="C214" s="379"/>
      <c r="N214" s="307" t="s">
        <v>181</v>
      </c>
      <c r="O214" s="307" t="s">
        <v>377</v>
      </c>
      <c r="P214" s="381" t="s">
        <v>209</v>
      </c>
      <c r="Q214" s="382" t="s">
        <v>751</v>
      </c>
    </row>
    <row r="215" spans="2:17" s="307" customFormat="1" ht="12.75">
      <c r="B215" s="384"/>
      <c r="C215" s="379"/>
      <c r="N215" s="307" t="s">
        <v>727</v>
      </c>
      <c r="O215" s="307" t="s">
        <v>378</v>
      </c>
      <c r="P215" s="381" t="s">
        <v>209</v>
      </c>
      <c r="Q215" s="382" t="s">
        <v>753</v>
      </c>
    </row>
    <row r="216" spans="2:17" s="307" customFormat="1" ht="12.75">
      <c r="B216" s="384"/>
      <c r="C216" s="379"/>
      <c r="N216" s="307" t="s">
        <v>182</v>
      </c>
      <c r="O216" s="307" t="s">
        <v>282</v>
      </c>
      <c r="P216" s="381" t="s">
        <v>210</v>
      </c>
      <c r="Q216" s="382" t="s">
        <v>734</v>
      </c>
    </row>
    <row r="217" spans="2:17" s="307" customFormat="1" ht="12.75">
      <c r="B217" s="384"/>
      <c r="C217" s="379"/>
      <c r="N217" s="307" t="s">
        <v>183</v>
      </c>
      <c r="O217" s="307" t="s">
        <v>283</v>
      </c>
      <c r="P217" s="381" t="s">
        <v>210</v>
      </c>
      <c r="Q217" s="382" t="s">
        <v>746</v>
      </c>
    </row>
    <row r="218" spans="2:17" s="307" customFormat="1" ht="12.75">
      <c r="B218" s="384"/>
      <c r="C218" s="379"/>
      <c r="N218" s="307" t="s">
        <v>728</v>
      </c>
      <c r="O218" s="307" t="s">
        <v>477</v>
      </c>
      <c r="P218" s="381" t="s">
        <v>206</v>
      </c>
      <c r="Q218" s="382" t="s">
        <v>150</v>
      </c>
    </row>
    <row r="219" spans="2:17" s="307" customFormat="1" ht="12.75">
      <c r="B219" s="384"/>
      <c r="C219" s="379"/>
      <c r="N219" s="307" t="s">
        <v>729</v>
      </c>
      <c r="O219" s="307" t="s">
        <v>478</v>
      </c>
      <c r="P219" s="381" t="s">
        <v>206</v>
      </c>
      <c r="Q219" s="382" t="s">
        <v>589</v>
      </c>
    </row>
    <row r="220" spans="2:17" s="307" customFormat="1" ht="12.75">
      <c r="B220" s="384"/>
      <c r="C220" s="379"/>
      <c r="N220" s="307" t="s">
        <v>184</v>
      </c>
      <c r="O220" s="307" t="s">
        <v>284</v>
      </c>
      <c r="P220" s="381" t="s">
        <v>207</v>
      </c>
      <c r="Q220" s="382" t="s">
        <v>150</v>
      </c>
    </row>
    <row r="221" spans="2:17" s="307" customFormat="1" ht="12.75">
      <c r="B221" s="384"/>
      <c r="C221" s="379"/>
      <c r="N221" s="307" t="s">
        <v>730</v>
      </c>
      <c r="O221" s="307" t="s">
        <v>379</v>
      </c>
      <c r="P221" s="381" t="s">
        <v>207</v>
      </c>
      <c r="Q221" s="382" t="s">
        <v>589</v>
      </c>
    </row>
    <row r="222" spans="2:17" s="307" customFormat="1" ht="12.75">
      <c r="B222" s="384"/>
      <c r="C222" s="379"/>
      <c r="N222" s="307" t="s">
        <v>731</v>
      </c>
      <c r="O222" s="307" t="s">
        <v>285</v>
      </c>
      <c r="P222" s="381" t="s">
        <v>204</v>
      </c>
      <c r="Q222" s="382" t="s">
        <v>868</v>
      </c>
    </row>
    <row r="223" spans="2:17" s="307" customFormat="1" ht="12.75">
      <c r="B223" s="384"/>
      <c r="C223" s="379"/>
      <c r="N223" s="307" t="s">
        <v>732</v>
      </c>
      <c r="O223" s="307" t="s">
        <v>380</v>
      </c>
      <c r="P223" s="381" t="s">
        <v>204</v>
      </c>
      <c r="Q223" s="382" t="s">
        <v>869</v>
      </c>
    </row>
    <row r="224" spans="2:17" s="307" customFormat="1" ht="12.75">
      <c r="B224" s="384"/>
      <c r="C224" s="379"/>
      <c r="N224" s="307" t="s">
        <v>733</v>
      </c>
      <c r="O224" s="307" t="s">
        <v>381</v>
      </c>
      <c r="P224" s="381" t="s">
        <v>204</v>
      </c>
      <c r="Q224" s="382" t="s">
        <v>870</v>
      </c>
    </row>
    <row r="225" spans="2:17" s="307" customFormat="1" ht="12.75">
      <c r="B225" s="384"/>
      <c r="C225" s="379"/>
      <c r="N225" s="307" t="s">
        <v>734</v>
      </c>
      <c r="O225" s="307" t="s">
        <v>559</v>
      </c>
      <c r="P225" s="381" t="s">
        <v>204</v>
      </c>
      <c r="Q225" s="382" t="s">
        <v>147</v>
      </c>
    </row>
    <row r="226" spans="2:17" s="307" customFormat="1" ht="12.75">
      <c r="B226" s="384"/>
      <c r="C226" s="379"/>
      <c r="N226" s="307" t="s">
        <v>735</v>
      </c>
      <c r="O226" s="307" t="s">
        <v>286</v>
      </c>
      <c r="P226" s="381" t="s">
        <v>204</v>
      </c>
      <c r="Q226" s="382" t="s">
        <v>585</v>
      </c>
    </row>
    <row r="227" spans="2:17" s="307" customFormat="1" ht="12.75">
      <c r="B227" s="384"/>
      <c r="C227" s="379"/>
      <c r="N227" s="307" t="s">
        <v>736</v>
      </c>
      <c r="O227" s="307" t="s">
        <v>793</v>
      </c>
      <c r="P227" s="381" t="s">
        <v>204</v>
      </c>
      <c r="Q227" s="382" t="s">
        <v>148</v>
      </c>
    </row>
    <row r="228" spans="2:17" s="307" customFormat="1" ht="12.75">
      <c r="B228" s="384"/>
      <c r="C228" s="379"/>
      <c r="N228" s="307" t="s">
        <v>737</v>
      </c>
      <c r="O228" s="307" t="s">
        <v>382</v>
      </c>
      <c r="P228" s="381" t="s">
        <v>204</v>
      </c>
      <c r="Q228" s="382" t="s">
        <v>871</v>
      </c>
    </row>
    <row r="229" spans="2:17" s="307" customFormat="1" ht="12.75">
      <c r="B229" s="384"/>
      <c r="C229" s="379"/>
      <c r="N229" s="307" t="s">
        <v>738</v>
      </c>
      <c r="O229" s="307" t="s">
        <v>383</v>
      </c>
      <c r="P229" s="381" t="s">
        <v>204</v>
      </c>
      <c r="Q229" s="382" t="s">
        <v>872</v>
      </c>
    </row>
    <row r="230" spans="2:17" s="307" customFormat="1" ht="12.75">
      <c r="B230" s="384"/>
      <c r="C230" s="379"/>
      <c r="N230" s="307" t="s">
        <v>739</v>
      </c>
      <c r="O230" s="307" t="s">
        <v>287</v>
      </c>
      <c r="P230" s="381" t="s">
        <v>204</v>
      </c>
      <c r="Q230" s="382" t="s">
        <v>873</v>
      </c>
    </row>
    <row r="231" spans="2:17" s="307" customFormat="1" ht="12.75">
      <c r="B231" s="384"/>
      <c r="C231" s="379"/>
      <c r="N231" s="307" t="s">
        <v>740</v>
      </c>
      <c r="O231" s="307" t="s">
        <v>288</v>
      </c>
      <c r="P231" s="381" t="s">
        <v>204</v>
      </c>
      <c r="Q231" s="382" t="s">
        <v>874</v>
      </c>
    </row>
    <row r="232" spans="2:17" s="307" customFormat="1" ht="12.75">
      <c r="B232" s="384"/>
      <c r="C232" s="379"/>
      <c r="N232" s="307" t="s">
        <v>741</v>
      </c>
      <c r="O232" s="307" t="s">
        <v>289</v>
      </c>
      <c r="P232" s="381" t="s">
        <v>204</v>
      </c>
      <c r="Q232" s="382" t="s">
        <v>149</v>
      </c>
    </row>
    <row r="233" spans="2:17" s="307" customFormat="1" ht="12.75">
      <c r="B233" s="384"/>
      <c r="C233" s="379"/>
      <c r="N233" s="307" t="s">
        <v>742</v>
      </c>
      <c r="O233" s="307" t="s">
        <v>291</v>
      </c>
      <c r="P233" s="381" t="s">
        <v>204</v>
      </c>
      <c r="Q233" s="382" t="s">
        <v>875</v>
      </c>
    </row>
    <row r="234" spans="2:17" s="307" customFormat="1" ht="12.75">
      <c r="B234" s="384"/>
      <c r="C234" s="379"/>
      <c r="N234" s="307" t="s">
        <v>743</v>
      </c>
      <c r="O234" s="307" t="s">
        <v>292</v>
      </c>
      <c r="P234" s="381" t="s">
        <v>204</v>
      </c>
      <c r="Q234" s="382" t="s">
        <v>876</v>
      </c>
    </row>
    <row r="235" spans="2:17" s="307" customFormat="1" ht="12.75">
      <c r="B235" s="384"/>
      <c r="C235" s="379"/>
      <c r="N235" s="307" t="s">
        <v>744</v>
      </c>
      <c r="O235" s="307" t="s">
        <v>290</v>
      </c>
      <c r="P235" s="381" t="s">
        <v>204</v>
      </c>
      <c r="Q235" s="382" t="s">
        <v>877</v>
      </c>
    </row>
    <row r="236" spans="2:17" s="307" customFormat="1" ht="12.75">
      <c r="B236" s="384"/>
      <c r="C236" s="379"/>
      <c r="N236" s="307" t="s">
        <v>745</v>
      </c>
      <c r="O236" s="307" t="s">
        <v>175</v>
      </c>
      <c r="P236" s="381" t="s">
        <v>204</v>
      </c>
      <c r="Q236" s="382" t="s">
        <v>878</v>
      </c>
    </row>
    <row r="237" spans="2:17" s="307" customFormat="1" ht="12.75">
      <c r="B237" s="384"/>
      <c r="C237" s="379"/>
      <c r="N237" s="307" t="s">
        <v>746</v>
      </c>
      <c r="O237" s="307" t="s">
        <v>293</v>
      </c>
      <c r="P237" s="381" t="s">
        <v>204</v>
      </c>
      <c r="Q237" s="382" t="s">
        <v>879</v>
      </c>
    </row>
    <row r="238" spans="2:17" s="307" customFormat="1" ht="12.75">
      <c r="B238" s="384"/>
      <c r="C238" s="379"/>
      <c r="N238" s="307" t="s">
        <v>747</v>
      </c>
      <c r="O238" s="307" t="s">
        <v>176</v>
      </c>
      <c r="P238" s="381" t="s">
        <v>204</v>
      </c>
      <c r="Q238" s="382" t="s">
        <v>150</v>
      </c>
    </row>
    <row r="239" spans="2:17" s="307" customFormat="1" ht="12.75">
      <c r="B239" s="384"/>
      <c r="C239" s="379"/>
      <c r="N239" s="307" t="s">
        <v>748</v>
      </c>
      <c r="O239" s="307" t="s">
        <v>494</v>
      </c>
      <c r="P239" s="381" t="s">
        <v>204</v>
      </c>
      <c r="Q239" s="382" t="s">
        <v>880</v>
      </c>
    </row>
    <row r="240" spans="2:17" s="307" customFormat="1" ht="12.75">
      <c r="B240" s="384"/>
      <c r="C240" s="379"/>
      <c r="N240" s="307" t="s">
        <v>749</v>
      </c>
      <c r="O240" s="307" t="s">
        <v>294</v>
      </c>
      <c r="P240" s="381" t="s">
        <v>204</v>
      </c>
      <c r="Q240" s="382" t="s">
        <v>881</v>
      </c>
    </row>
    <row r="241" spans="2:17" s="307" customFormat="1" ht="12.75">
      <c r="B241" s="384"/>
      <c r="C241" s="379"/>
      <c r="N241" s="307" t="s">
        <v>750</v>
      </c>
      <c r="O241" s="307" t="s">
        <v>295</v>
      </c>
      <c r="P241" s="381" t="s">
        <v>204</v>
      </c>
      <c r="Q241" s="382" t="s">
        <v>882</v>
      </c>
    </row>
    <row r="242" spans="2:17" s="307" customFormat="1" ht="12.75">
      <c r="B242" s="384"/>
      <c r="C242" s="379"/>
      <c r="N242" s="307" t="s">
        <v>751</v>
      </c>
      <c r="O242" s="307" t="s">
        <v>296</v>
      </c>
      <c r="P242" s="381" t="s">
        <v>204</v>
      </c>
      <c r="Q242" s="382" t="s">
        <v>883</v>
      </c>
    </row>
    <row r="243" spans="2:17" s="307" customFormat="1" ht="12.75">
      <c r="B243" s="384"/>
      <c r="C243" s="379"/>
      <c r="N243" s="307" t="s">
        <v>752</v>
      </c>
      <c r="O243" s="307" t="s">
        <v>560</v>
      </c>
      <c r="P243" s="381" t="s">
        <v>204</v>
      </c>
      <c r="Q243" s="382" t="s">
        <v>589</v>
      </c>
    </row>
    <row r="244" spans="2:17" s="307" customFormat="1" ht="12.75">
      <c r="B244" s="384"/>
      <c r="C244" s="379"/>
      <c r="N244" s="307" t="s">
        <v>753</v>
      </c>
      <c r="O244" s="307" t="s">
        <v>297</v>
      </c>
      <c r="P244" s="381" t="s">
        <v>204</v>
      </c>
      <c r="Q244" s="382" t="s">
        <v>884</v>
      </c>
    </row>
    <row r="245" spans="2:17" s="307" customFormat="1" ht="12.75">
      <c r="B245" s="384"/>
      <c r="C245" s="379"/>
      <c r="N245" s="307" t="s">
        <v>754</v>
      </c>
      <c r="O245" s="307" t="s">
        <v>495</v>
      </c>
      <c r="P245" s="381" t="s">
        <v>204</v>
      </c>
      <c r="Q245" s="382" t="s">
        <v>152</v>
      </c>
    </row>
    <row r="246" spans="2:17" s="307" customFormat="1" ht="12.75">
      <c r="B246" s="384"/>
      <c r="C246" s="379"/>
      <c r="N246" s="307" t="s">
        <v>755</v>
      </c>
      <c r="O246" s="307" t="s">
        <v>298</v>
      </c>
      <c r="P246" s="381" t="s">
        <v>204</v>
      </c>
      <c r="Q246" s="382" t="s">
        <v>885</v>
      </c>
    </row>
    <row r="247" spans="2:17" s="307" customFormat="1" ht="12.75">
      <c r="B247" s="384"/>
      <c r="C247" s="379"/>
      <c r="N247" s="307" t="s">
        <v>756</v>
      </c>
      <c r="O247" s="307" t="s">
        <v>299</v>
      </c>
      <c r="P247" s="381" t="s">
        <v>204</v>
      </c>
      <c r="Q247" s="382" t="s">
        <v>886</v>
      </c>
    </row>
    <row r="248" spans="2:17" s="307" customFormat="1" ht="12.75">
      <c r="B248" s="384"/>
      <c r="C248" s="379"/>
      <c r="N248" s="307" t="s">
        <v>757</v>
      </c>
      <c r="O248" s="307" t="s">
        <v>453</v>
      </c>
      <c r="P248" s="381" t="s">
        <v>204</v>
      </c>
      <c r="Q248" s="382" t="s">
        <v>1149</v>
      </c>
    </row>
    <row r="249" spans="2:17" s="307" customFormat="1" ht="12.75">
      <c r="B249" s="384"/>
      <c r="C249" s="379"/>
      <c r="N249" s="307" t="s">
        <v>758</v>
      </c>
      <c r="O249" s="307" t="s">
        <v>496</v>
      </c>
      <c r="P249" s="381" t="s">
        <v>204</v>
      </c>
      <c r="Q249" s="382" t="s">
        <v>153</v>
      </c>
    </row>
    <row r="250" spans="2:17" s="307" customFormat="1" ht="12.75">
      <c r="B250" s="384"/>
      <c r="C250" s="379"/>
      <c r="N250" s="307" t="s">
        <v>759</v>
      </c>
      <c r="O250" s="307" t="s">
        <v>300</v>
      </c>
      <c r="P250" s="381" t="s">
        <v>204</v>
      </c>
      <c r="Q250" s="382" t="s">
        <v>887</v>
      </c>
    </row>
    <row r="251" spans="2:17" s="307" customFormat="1" ht="12.75">
      <c r="B251" s="384"/>
      <c r="C251" s="379"/>
      <c r="N251" s="307" t="s">
        <v>760</v>
      </c>
      <c r="O251" s="307" t="s">
        <v>301</v>
      </c>
      <c r="P251" s="381" t="s">
        <v>204</v>
      </c>
      <c r="Q251" s="382" t="s">
        <v>888</v>
      </c>
    </row>
    <row r="252" spans="2:17" s="307" customFormat="1" ht="12.75">
      <c r="B252" s="384"/>
      <c r="C252" s="379"/>
      <c r="N252" s="307" t="s">
        <v>761</v>
      </c>
      <c r="O252" s="307" t="s">
        <v>302</v>
      </c>
      <c r="P252" s="381" t="s">
        <v>204</v>
      </c>
      <c r="Q252" s="382" t="s">
        <v>889</v>
      </c>
    </row>
    <row r="253" spans="2:17" s="307" customFormat="1" ht="12.75">
      <c r="B253" s="384"/>
      <c r="C253" s="379"/>
      <c r="N253" s="307" t="s">
        <v>762</v>
      </c>
      <c r="O253" s="307" t="s">
        <v>561</v>
      </c>
      <c r="P253" s="381" t="s">
        <v>204</v>
      </c>
      <c r="Q253" s="382" t="s">
        <v>890</v>
      </c>
    </row>
    <row r="254" spans="2:17" s="307" customFormat="1" ht="12.75">
      <c r="B254" s="384"/>
      <c r="C254" s="379"/>
      <c r="N254" s="307" t="s">
        <v>763</v>
      </c>
      <c r="O254" s="307" t="s">
        <v>303</v>
      </c>
      <c r="P254" s="381" t="s">
        <v>204</v>
      </c>
      <c r="Q254" s="382" t="s">
        <v>891</v>
      </c>
    </row>
    <row r="255" spans="2:17" s="307" customFormat="1" ht="12.75">
      <c r="B255" s="384"/>
      <c r="C255" s="379"/>
      <c r="N255" s="307" t="s">
        <v>764</v>
      </c>
      <c r="O255" s="307" t="s">
        <v>499</v>
      </c>
      <c r="P255" s="381" t="s">
        <v>204</v>
      </c>
      <c r="Q255" s="382" t="s">
        <v>892</v>
      </c>
    </row>
    <row r="256" spans="2:17" s="307" customFormat="1" ht="12.75">
      <c r="B256" s="384"/>
      <c r="C256" s="379"/>
      <c r="N256" s="307" t="s">
        <v>765</v>
      </c>
      <c r="O256" s="307" t="s">
        <v>304</v>
      </c>
      <c r="P256" s="381" t="s">
        <v>204</v>
      </c>
      <c r="Q256" s="382" t="s">
        <v>893</v>
      </c>
    </row>
    <row r="257" spans="2:17" s="307" customFormat="1" ht="12.75">
      <c r="B257" s="384"/>
      <c r="C257" s="379"/>
      <c r="N257" s="307" t="s">
        <v>185</v>
      </c>
      <c r="O257" s="307" t="s">
        <v>305</v>
      </c>
      <c r="P257" s="381" t="s">
        <v>204</v>
      </c>
      <c r="Q257" s="382" t="s">
        <v>894</v>
      </c>
    </row>
    <row r="258" spans="2:17" s="307" customFormat="1" ht="12.75">
      <c r="B258" s="384"/>
      <c r="C258" s="379"/>
      <c r="N258" s="307" t="s">
        <v>766</v>
      </c>
      <c r="O258" s="307" t="s">
        <v>384</v>
      </c>
      <c r="P258" s="381" t="s">
        <v>204</v>
      </c>
      <c r="Q258" s="382" t="s">
        <v>895</v>
      </c>
    </row>
    <row r="259" spans="2:17" s="307" customFormat="1" ht="12.75">
      <c r="B259" s="384"/>
      <c r="C259" s="379"/>
      <c r="N259" s="307" t="s">
        <v>186</v>
      </c>
      <c r="O259" s="307" t="s">
        <v>385</v>
      </c>
      <c r="P259" s="381" t="s">
        <v>204</v>
      </c>
      <c r="Q259" s="382" t="s">
        <v>896</v>
      </c>
    </row>
    <row r="260" spans="2:17" s="307" customFormat="1" ht="12.75">
      <c r="B260" s="384"/>
      <c r="C260" s="379"/>
      <c r="N260" s="307" t="s">
        <v>187</v>
      </c>
      <c r="O260" s="307" t="s">
        <v>306</v>
      </c>
      <c r="P260" s="381" t="s">
        <v>204</v>
      </c>
      <c r="Q260" s="382" t="s">
        <v>897</v>
      </c>
    </row>
    <row r="261" spans="2:17" s="307" customFormat="1" ht="12.75">
      <c r="B261" s="384"/>
      <c r="C261" s="379"/>
      <c r="N261" s="307" t="s">
        <v>767</v>
      </c>
      <c r="O261" s="307" t="s">
        <v>386</v>
      </c>
      <c r="P261" s="381" t="s">
        <v>205</v>
      </c>
      <c r="Q261" s="382" t="s">
        <v>868</v>
      </c>
    </row>
    <row r="262" spans="2:17" s="307" customFormat="1" ht="12.75">
      <c r="B262" s="384"/>
      <c r="C262" s="379"/>
      <c r="N262" s="307" t="s">
        <v>768</v>
      </c>
      <c r="O262" s="307" t="s">
        <v>307</v>
      </c>
      <c r="P262" s="381" t="s">
        <v>205</v>
      </c>
      <c r="Q262" s="382" t="s">
        <v>869</v>
      </c>
    </row>
    <row r="263" spans="2:17" s="307" customFormat="1" ht="12.75">
      <c r="B263" s="384"/>
      <c r="C263" s="379"/>
      <c r="N263" s="307" t="s">
        <v>769</v>
      </c>
      <c r="O263" s="307" t="s">
        <v>562</v>
      </c>
      <c r="P263" s="381" t="s">
        <v>205</v>
      </c>
      <c r="Q263" s="382" t="s">
        <v>870</v>
      </c>
    </row>
    <row r="264" spans="2:17" s="307" customFormat="1" ht="12.75">
      <c r="B264" s="384"/>
      <c r="C264" s="379"/>
      <c r="N264" s="307" t="s">
        <v>188</v>
      </c>
      <c r="O264" s="307" t="s">
        <v>1373</v>
      </c>
      <c r="P264" s="381" t="s">
        <v>205</v>
      </c>
      <c r="Q264" s="382" t="s">
        <v>147</v>
      </c>
    </row>
    <row r="265" spans="2:17" s="307" customFormat="1" ht="12.75">
      <c r="B265" s="384"/>
      <c r="C265" s="379"/>
      <c r="N265" s="307" t="s">
        <v>770</v>
      </c>
      <c r="O265" s="307" t="s">
        <v>308</v>
      </c>
      <c r="P265" s="381" t="s">
        <v>205</v>
      </c>
      <c r="Q265" s="382" t="s">
        <v>585</v>
      </c>
    </row>
    <row r="266" spans="2:17" s="307" customFormat="1" ht="12.75">
      <c r="B266" s="384"/>
      <c r="C266" s="379"/>
      <c r="N266" s="307" t="s">
        <v>771</v>
      </c>
      <c r="O266" s="307" t="s">
        <v>309</v>
      </c>
      <c r="P266" s="381" t="s">
        <v>205</v>
      </c>
      <c r="Q266" s="382" t="s">
        <v>148</v>
      </c>
    </row>
    <row r="267" spans="2:17" s="307" customFormat="1" ht="12.75">
      <c r="B267" s="384"/>
      <c r="C267" s="379"/>
      <c r="N267" s="307" t="s">
        <v>772</v>
      </c>
      <c r="O267" s="307" t="s">
        <v>1146</v>
      </c>
      <c r="P267" s="381" t="s">
        <v>205</v>
      </c>
      <c r="Q267" s="382" t="s">
        <v>871</v>
      </c>
    </row>
    <row r="268" spans="2:17" s="307" customFormat="1" ht="12.75">
      <c r="B268" s="384"/>
      <c r="C268" s="379"/>
      <c r="N268" s="307" t="s">
        <v>189</v>
      </c>
      <c r="O268" s="307" t="s">
        <v>317</v>
      </c>
      <c r="P268" s="381" t="s">
        <v>205</v>
      </c>
      <c r="Q268" s="382" t="s">
        <v>872</v>
      </c>
    </row>
    <row r="269" spans="2:17" s="307" customFormat="1" ht="12.75">
      <c r="B269" s="384"/>
      <c r="C269" s="379"/>
      <c r="N269" s="307" t="s">
        <v>773</v>
      </c>
      <c r="O269" s="307" t="s">
        <v>388</v>
      </c>
      <c r="P269" s="381" t="s">
        <v>205</v>
      </c>
      <c r="Q269" s="382" t="s">
        <v>873</v>
      </c>
    </row>
    <row r="270" spans="2:17" s="307" customFormat="1" ht="12.75">
      <c r="B270" s="384"/>
      <c r="C270" s="379"/>
      <c r="N270" s="307" t="s">
        <v>774</v>
      </c>
      <c r="O270" s="307" t="s">
        <v>318</v>
      </c>
      <c r="P270" s="381" t="s">
        <v>205</v>
      </c>
      <c r="Q270" s="382" t="s">
        <v>874</v>
      </c>
    </row>
    <row r="271" spans="2:17" s="307" customFormat="1" ht="12.75">
      <c r="B271" s="384"/>
      <c r="C271" s="379"/>
      <c r="N271" s="307" t="s">
        <v>775</v>
      </c>
      <c r="O271" s="307" t="s">
        <v>319</v>
      </c>
      <c r="P271" s="381" t="s">
        <v>205</v>
      </c>
      <c r="Q271" s="382" t="s">
        <v>149</v>
      </c>
    </row>
    <row r="272" spans="2:17" s="307" customFormat="1" ht="12.75">
      <c r="B272" s="384"/>
      <c r="C272" s="379"/>
      <c r="O272" s="307" t="s">
        <v>387</v>
      </c>
      <c r="P272" s="381" t="s">
        <v>205</v>
      </c>
      <c r="Q272" s="382" t="s">
        <v>875</v>
      </c>
    </row>
    <row r="273" spans="2:17" s="307" customFormat="1" ht="12.75">
      <c r="B273" s="384"/>
      <c r="C273" s="379"/>
      <c r="O273" s="307" t="s">
        <v>320</v>
      </c>
      <c r="P273" s="381" t="s">
        <v>205</v>
      </c>
      <c r="Q273" s="382" t="s">
        <v>876</v>
      </c>
    </row>
    <row r="274" spans="2:17" s="307" customFormat="1" ht="12.75">
      <c r="B274" s="384"/>
      <c r="C274" s="379"/>
      <c r="O274" s="307" t="s">
        <v>389</v>
      </c>
      <c r="P274" s="381" t="s">
        <v>205</v>
      </c>
      <c r="Q274" s="382" t="s">
        <v>877</v>
      </c>
    </row>
    <row r="275" spans="2:17" s="307" customFormat="1" ht="12.75">
      <c r="B275" s="384"/>
      <c r="C275" s="379"/>
      <c r="O275" s="307" t="s">
        <v>390</v>
      </c>
      <c r="P275" s="381" t="s">
        <v>205</v>
      </c>
      <c r="Q275" s="382" t="s">
        <v>878</v>
      </c>
    </row>
    <row r="276" spans="2:17" s="307" customFormat="1" ht="12.75">
      <c r="B276" s="384"/>
      <c r="C276" s="379"/>
      <c r="O276" s="307" t="s">
        <v>310</v>
      </c>
      <c r="P276" s="381" t="s">
        <v>205</v>
      </c>
      <c r="Q276" s="382" t="s">
        <v>879</v>
      </c>
    </row>
    <row r="277" spans="2:17" s="307" customFormat="1" ht="12.75">
      <c r="B277" s="384"/>
      <c r="C277" s="379"/>
      <c r="O277" s="307" t="s">
        <v>311</v>
      </c>
      <c r="P277" s="381" t="s">
        <v>205</v>
      </c>
      <c r="Q277" s="382" t="s">
        <v>150</v>
      </c>
    </row>
    <row r="278" spans="2:17" s="307" customFormat="1" ht="12.75">
      <c r="B278" s="384"/>
      <c r="C278" s="379"/>
      <c r="O278" s="307" t="s">
        <v>501</v>
      </c>
      <c r="P278" s="381" t="s">
        <v>205</v>
      </c>
      <c r="Q278" s="382" t="s">
        <v>880</v>
      </c>
    </row>
    <row r="279" spans="2:17" s="307" customFormat="1" ht="12.75">
      <c r="B279" s="384"/>
      <c r="C279" s="379"/>
      <c r="O279" s="307" t="s">
        <v>312</v>
      </c>
      <c r="P279" s="381" t="s">
        <v>205</v>
      </c>
      <c r="Q279" s="382" t="s">
        <v>881</v>
      </c>
    </row>
    <row r="280" spans="2:17" s="307" customFormat="1" ht="12.75">
      <c r="B280" s="384"/>
      <c r="C280" s="379"/>
      <c r="O280" s="307" t="s">
        <v>313</v>
      </c>
      <c r="P280" s="381" t="s">
        <v>205</v>
      </c>
      <c r="Q280" s="382" t="s">
        <v>882</v>
      </c>
    </row>
    <row r="281" spans="2:17" s="307" customFormat="1" ht="12.75">
      <c r="B281" s="384"/>
      <c r="C281" s="379"/>
      <c r="O281" s="307" t="s">
        <v>314</v>
      </c>
      <c r="P281" s="381" t="s">
        <v>205</v>
      </c>
      <c r="Q281" s="382" t="s">
        <v>883</v>
      </c>
    </row>
    <row r="282" spans="2:17" s="307" customFormat="1" ht="12.75">
      <c r="B282" s="384"/>
      <c r="C282" s="379"/>
      <c r="O282" s="307" t="s">
        <v>316</v>
      </c>
      <c r="P282" s="381" t="s">
        <v>205</v>
      </c>
      <c r="Q282" s="382" t="s">
        <v>589</v>
      </c>
    </row>
    <row r="283" spans="2:17" s="307" customFormat="1" ht="12.75">
      <c r="B283" s="384"/>
      <c r="C283" s="379"/>
      <c r="O283" s="307" t="s">
        <v>315</v>
      </c>
      <c r="P283" s="381" t="s">
        <v>205</v>
      </c>
      <c r="Q283" s="382" t="s">
        <v>884</v>
      </c>
    </row>
    <row r="284" spans="2:17" s="307" customFormat="1" ht="12.75">
      <c r="B284" s="384"/>
      <c r="C284" s="379"/>
      <c r="O284" s="307" t="s">
        <v>510</v>
      </c>
      <c r="P284" s="381" t="s">
        <v>205</v>
      </c>
      <c r="Q284" s="382" t="s">
        <v>152</v>
      </c>
    </row>
    <row r="285" spans="2:17" s="307" customFormat="1" ht="12.75">
      <c r="B285" s="384"/>
      <c r="C285" s="379"/>
      <c r="O285" s="307" t="s">
        <v>391</v>
      </c>
      <c r="P285" s="381" t="s">
        <v>205</v>
      </c>
      <c r="Q285" s="382" t="s">
        <v>885</v>
      </c>
    </row>
    <row r="286" spans="2:17" s="307" customFormat="1" ht="12.75">
      <c r="B286" s="384"/>
      <c r="C286" s="379"/>
      <c r="O286" s="307" t="s">
        <v>393</v>
      </c>
      <c r="P286" s="381" t="s">
        <v>205</v>
      </c>
      <c r="Q286" s="382" t="s">
        <v>886</v>
      </c>
    </row>
    <row r="287" spans="2:17" s="307" customFormat="1" ht="12.75">
      <c r="B287" s="384"/>
      <c r="C287" s="379"/>
      <c r="O287" s="307" t="s">
        <v>394</v>
      </c>
      <c r="P287" s="381" t="s">
        <v>205</v>
      </c>
      <c r="Q287" s="382" t="s">
        <v>1149</v>
      </c>
    </row>
    <row r="288" spans="2:17" s="307" customFormat="1" ht="12.75">
      <c r="B288" s="384"/>
      <c r="C288" s="379"/>
      <c r="O288" s="307" t="s">
        <v>395</v>
      </c>
      <c r="P288" s="381" t="s">
        <v>205</v>
      </c>
      <c r="Q288" s="382" t="s">
        <v>153</v>
      </c>
    </row>
    <row r="289" spans="2:17" s="307" customFormat="1" ht="12.75">
      <c r="B289" s="384"/>
      <c r="C289" s="379"/>
      <c r="O289" s="307" t="s">
        <v>396</v>
      </c>
      <c r="P289" s="381" t="s">
        <v>205</v>
      </c>
      <c r="Q289" s="382" t="s">
        <v>887</v>
      </c>
    </row>
    <row r="290" spans="2:17" s="307" customFormat="1" ht="12.75">
      <c r="B290" s="384"/>
      <c r="C290" s="379"/>
      <c r="O290" s="307" t="s">
        <v>397</v>
      </c>
      <c r="P290" s="381" t="s">
        <v>205</v>
      </c>
      <c r="Q290" s="382" t="s">
        <v>888</v>
      </c>
    </row>
    <row r="291" spans="2:17" s="307" customFormat="1" ht="12.75">
      <c r="B291" s="384"/>
      <c r="C291" s="379"/>
      <c r="O291" s="307" t="s">
        <v>398</v>
      </c>
      <c r="P291" s="381" t="s">
        <v>205</v>
      </c>
      <c r="Q291" s="382" t="s">
        <v>889</v>
      </c>
    </row>
    <row r="292" spans="2:17" s="307" customFormat="1" ht="12.75">
      <c r="B292" s="384"/>
      <c r="C292" s="379"/>
      <c r="O292" s="307" t="s">
        <v>399</v>
      </c>
      <c r="P292" s="381" t="s">
        <v>205</v>
      </c>
      <c r="Q292" s="382" t="s">
        <v>890</v>
      </c>
    </row>
    <row r="293" spans="2:17" s="307" customFormat="1" ht="12.75">
      <c r="B293" s="384"/>
      <c r="C293" s="379"/>
      <c r="O293" s="307" t="s">
        <v>400</v>
      </c>
      <c r="P293" s="381" t="s">
        <v>205</v>
      </c>
      <c r="Q293" s="382" t="s">
        <v>891</v>
      </c>
    </row>
    <row r="294" spans="2:17" s="307" customFormat="1" ht="12.75">
      <c r="B294" s="384"/>
      <c r="C294" s="379"/>
      <c r="O294" s="307" t="s">
        <v>401</v>
      </c>
      <c r="P294" s="381" t="s">
        <v>205</v>
      </c>
      <c r="Q294" s="382" t="s">
        <v>892</v>
      </c>
    </row>
    <row r="295" spans="2:17" s="307" customFormat="1" ht="12.75">
      <c r="B295" s="384"/>
      <c r="C295" s="379"/>
      <c r="O295" s="307" t="s">
        <v>402</v>
      </c>
      <c r="P295" s="381" t="s">
        <v>205</v>
      </c>
      <c r="Q295" s="382" t="s">
        <v>893</v>
      </c>
    </row>
    <row r="296" spans="2:17" s="307" customFormat="1" ht="12.75">
      <c r="B296" s="384"/>
      <c r="C296" s="379"/>
      <c r="O296" s="307" t="s">
        <v>403</v>
      </c>
      <c r="P296" s="381" t="s">
        <v>205</v>
      </c>
      <c r="Q296" s="382" t="s">
        <v>894</v>
      </c>
    </row>
    <row r="297" spans="2:17" s="307" customFormat="1" ht="12.75">
      <c r="B297" s="384"/>
      <c r="C297" s="379"/>
      <c r="O297" s="307" t="s">
        <v>404</v>
      </c>
      <c r="P297" s="381" t="s">
        <v>205</v>
      </c>
      <c r="Q297" s="382" t="s">
        <v>895</v>
      </c>
    </row>
    <row r="298" spans="2:17" s="307" customFormat="1" ht="12.75">
      <c r="B298" s="384"/>
      <c r="C298" s="379"/>
      <c r="O298" s="307" t="s">
        <v>405</v>
      </c>
      <c r="P298" s="381" t="s">
        <v>205</v>
      </c>
      <c r="Q298" s="382" t="s">
        <v>896</v>
      </c>
    </row>
    <row r="299" spans="2:17" s="307" customFormat="1" ht="12.75">
      <c r="B299" s="384"/>
      <c r="C299" s="379"/>
      <c r="O299" s="307" t="s">
        <v>406</v>
      </c>
      <c r="P299" s="381" t="s">
        <v>205</v>
      </c>
      <c r="Q299" s="382" t="s">
        <v>897</v>
      </c>
    </row>
    <row r="300" spans="2:17" s="307" customFormat="1" ht="12.75">
      <c r="B300" s="384"/>
      <c r="C300" s="379"/>
      <c r="O300" s="307" t="s">
        <v>810</v>
      </c>
      <c r="P300" s="381" t="s">
        <v>414</v>
      </c>
      <c r="Q300" s="382" t="s">
        <v>1082</v>
      </c>
    </row>
    <row r="301" spans="2:17" s="307" customFormat="1" ht="12.75">
      <c r="B301" s="384"/>
      <c r="C301" s="379"/>
      <c r="O301" s="307" t="s">
        <v>407</v>
      </c>
      <c r="P301" s="381" t="s">
        <v>415</v>
      </c>
      <c r="Q301" s="382" t="s">
        <v>1082</v>
      </c>
    </row>
    <row r="302" spans="2:17" s="307" customFormat="1" ht="12.75">
      <c r="B302" s="384"/>
      <c r="C302" s="379"/>
      <c r="O302" s="307" t="s">
        <v>408</v>
      </c>
      <c r="P302" s="381" t="s">
        <v>416</v>
      </c>
      <c r="Q302" s="382" t="s">
        <v>1082</v>
      </c>
    </row>
    <row r="303" spans="2:17" s="307" customFormat="1" ht="12.75">
      <c r="B303" s="384"/>
      <c r="C303" s="379"/>
      <c r="O303" s="307" t="s">
        <v>409</v>
      </c>
      <c r="P303" s="381" t="s">
        <v>417</v>
      </c>
      <c r="Q303" s="382" t="s">
        <v>583</v>
      </c>
    </row>
    <row r="304" spans="2:17" s="307" customFormat="1" ht="12.75">
      <c r="B304" s="384"/>
      <c r="C304" s="379"/>
      <c r="O304" s="307" t="s">
        <v>410</v>
      </c>
      <c r="P304" s="381" t="s">
        <v>212</v>
      </c>
      <c r="Q304" s="382" t="s">
        <v>675</v>
      </c>
    </row>
    <row r="305" spans="2:17" s="307" customFormat="1" ht="12.75">
      <c r="B305" s="384"/>
      <c r="C305" s="379"/>
      <c r="O305" s="307" t="s">
        <v>411</v>
      </c>
      <c r="P305" s="381" t="s">
        <v>418</v>
      </c>
      <c r="Q305" s="382" t="s">
        <v>620</v>
      </c>
    </row>
    <row r="306" spans="2:17" s="307" customFormat="1" ht="12.75">
      <c r="B306" s="384"/>
      <c r="C306" s="379"/>
      <c r="O306" s="307" t="s">
        <v>777</v>
      </c>
      <c r="P306" s="381" t="s">
        <v>418</v>
      </c>
      <c r="Q306" s="382" t="s">
        <v>632</v>
      </c>
    </row>
    <row r="307" spans="2:17" s="307" customFormat="1" ht="12.75">
      <c r="B307" s="384"/>
      <c r="C307" s="379"/>
      <c r="O307" s="307" t="s">
        <v>412</v>
      </c>
      <c r="P307" s="381" t="s">
        <v>419</v>
      </c>
      <c r="Q307" s="382" t="s">
        <v>620</v>
      </c>
    </row>
    <row r="308" spans="2:17" s="307" customFormat="1" ht="12.75">
      <c r="B308" s="384"/>
      <c r="C308" s="379"/>
      <c r="O308" s="307" t="s">
        <v>778</v>
      </c>
      <c r="P308" s="381" t="s">
        <v>419</v>
      </c>
      <c r="Q308" s="382" t="s">
        <v>632</v>
      </c>
    </row>
    <row r="309" spans="2:17" s="307" customFormat="1" ht="12.75">
      <c r="B309" s="384"/>
      <c r="C309" s="379"/>
      <c r="O309" s="307" t="s">
        <v>413</v>
      </c>
      <c r="P309" s="381" t="s">
        <v>213</v>
      </c>
      <c r="Q309" s="382" t="s">
        <v>650</v>
      </c>
    </row>
    <row r="310" spans="2:17" s="307" customFormat="1" ht="12.75">
      <c r="B310" s="384"/>
      <c r="C310" s="379"/>
      <c r="O310" s="307" t="s">
        <v>414</v>
      </c>
      <c r="P310" s="381" t="s">
        <v>213</v>
      </c>
      <c r="Q310" s="382" t="s">
        <v>664</v>
      </c>
    </row>
    <row r="311" spans="2:17" s="307" customFormat="1" ht="12.75">
      <c r="B311" s="384"/>
      <c r="C311" s="379"/>
      <c r="O311" s="307" t="s">
        <v>415</v>
      </c>
      <c r="P311" s="381" t="s">
        <v>214</v>
      </c>
      <c r="Q311" s="382" t="s">
        <v>652</v>
      </c>
    </row>
    <row r="312" spans="2:17" s="307" customFormat="1" ht="12.75">
      <c r="B312" s="384"/>
      <c r="C312" s="379"/>
      <c r="O312" s="307" t="s">
        <v>416</v>
      </c>
      <c r="P312" s="381" t="s">
        <v>214</v>
      </c>
      <c r="Q312" s="382" t="s">
        <v>656</v>
      </c>
    </row>
    <row r="313" spans="2:17" s="307" customFormat="1" ht="12.75">
      <c r="B313" s="384"/>
      <c r="C313" s="379"/>
      <c r="O313" s="307" t="s">
        <v>811</v>
      </c>
      <c r="P313" s="381" t="s">
        <v>214</v>
      </c>
      <c r="Q313" s="382" t="s">
        <v>657</v>
      </c>
    </row>
    <row r="314" spans="2:17" s="307" customFormat="1" ht="12.75">
      <c r="B314" s="384"/>
      <c r="C314" s="379"/>
      <c r="O314" s="307" t="s">
        <v>420</v>
      </c>
      <c r="P314" s="381" t="s">
        <v>214</v>
      </c>
      <c r="Q314" s="382" t="s">
        <v>658</v>
      </c>
    </row>
    <row r="315" spans="2:17" s="307" customFormat="1" ht="12.75">
      <c r="B315" s="384"/>
      <c r="C315" s="379"/>
      <c r="O315" s="307" t="s">
        <v>779</v>
      </c>
      <c r="P315" s="381" t="s">
        <v>214</v>
      </c>
      <c r="Q315" s="382" t="s">
        <v>660</v>
      </c>
    </row>
    <row r="316" spans="2:17" s="307" customFormat="1" ht="12.75">
      <c r="B316" s="384"/>
      <c r="C316" s="379"/>
      <c r="O316" s="307" t="s">
        <v>422</v>
      </c>
      <c r="P316" s="381" t="s">
        <v>214</v>
      </c>
      <c r="Q316" s="382" t="s">
        <v>661</v>
      </c>
    </row>
    <row r="317" spans="2:17" s="307" customFormat="1" ht="12.75">
      <c r="B317" s="384"/>
      <c r="C317" s="379"/>
      <c r="O317" s="307" t="s">
        <v>1374</v>
      </c>
      <c r="P317" s="381" t="s">
        <v>214</v>
      </c>
      <c r="Q317" s="382" t="s">
        <v>668</v>
      </c>
    </row>
    <row r="318" spans="2:17" s="307" customFormat="1" ht="12.75">
      <c r="B318" s="384"/>
      <c r="C318" s="379"/>
      <c r="O318" s="307" t="s">
        <v>780</v>
      </c>
      <c r="P318" s="381" t="s">
        <v>214</v>
      </c>
      <c r="Q318" s="382" t="s">
        <v>673</v>
      </c>
    </row>
    <row r="319" spans="2:17" s="307" customFormat="1" ht="12.75">
      <c r="B319" s="384"/>
      <c r="C319" s="379"/>
      <c r="O319" s="307" t="s">
        <v>423</v>
      </c>
      <c r="P319" s="381" t="s">
        <v>215</v>
      </c>
      <c r="Q319" s="382" t="s">
        <v>746</v>
      </c>
    </row>
    <row r="320" spans="2:17" s="307" customFormat="1" ht="12.75">
      <c r="B320" s="384"/>
      <c r="C320" s="379"/>
      <c r="O320" s="307" t="s">
        <v>424</v>
      </c>
      <c r="P320" s="381" t="s">
        <v>216</v>
      </c>
      <c r="Q320" s="382" t="s">
        <v>898</v>
      </c>
    </row>
    <row r="321" spans="2:17" s="307" customFormat="1" ht="12.75">
      <c r="B321" s="384"/>
      <c r="C321" s="379"/>
      <c r="O321" s="307" t="s">
        <v>812</v>
      </c>
      <c r="P321" s="381" t="s">
        <v>216</v>
      </c>
      <c r="Q321" s="382" t="s">
        <v>581</v>
      </c>
    </row>
    <row r="322" spans="2:17" s="307" customFormat="1" ht="12.75">
      <c r="B322" s="384"/>
      <c r="C322" s="379"/>
      <c r="O322" s="307" t="s">
        <v>425</v>
      </c>
      <c r="P322" s="381" t="s">
        <v>553</v>
      </c>
      <c r="Q322" s="382" t="s">
        <v>893</v>
      </c>
    </row>
    <row r="323" spans="2:17" s="307" customFormat="1" ht="12.75">
      <c r="B323" s="384"/>
      <c r="C323" s="379"/>
      <c r="O323" s="307" t="s">
        <v>426</v>
      </c>
      <c r="P323" s="381" t="s">
        <v>553</v>
      </c>
      <c r="Q323" s="382" t="s">
        <v>894</v>
      </c>
    </row>
    <row r="324" spans="2:17" s="307" customFormat="1" ht="12.75">
      <c r="B324" s="384"/>
      <c r="C324" s="379"/>
      <c r="O324" s="307" t="s">
        <v>427</v>
      </c>
      <c r="P324" s="381" t="s">
        <v>553</v>
      </c>
      <c r="Q324" s="382" t="s">
        <v>1289</v>
      </c>
    </row>
    <row r="325" spans="2:17" s="307" customFormat="1" ht="12.75">
      <c r="B325" s="384"/>
      <c r="C325" s="379"/>
      <c r="O325" s="307" t="s">
        <v>428</v>
      </c>
      <c r="P325" s="381" t="s">
        <v>553</v>
      </c>
      <c r="Q325" s="382" t="s">
        <v>895</v>
      </c>
    </row>
    <row r="326" spans="2:17" s="307" customFormat="1" ht="12.75">
      <c r="B326" s="384"/>
      <c r="C326" s="379"/>
      <c r="O326" s="307" t="s">
        <v>429</v>
      </c>
      <c r="P326" s="381" t="s">
        <v>553</v>
      </c>
      <c r="Q326" s="382" t="s">
        <v>1290</v>
      </c>
    </row>
    <row r="327" spans="2:17" s="307" customFormat="1" ht="12.75">
      <c r="B327" s="384"/>
      <c r="C327" s="379"/>
      <c r="O327" s="307" t="s">
        <v>430</v>
      </c>
      <c r="P327" s="381" t="s">
        <v>553</v>
      </c>
      <c r="Q327" s="382" t="s">
        <v>1291</v>
      </c>
    </row>
    <row r="328" spans="2:17" s="307" customFormat="1" ht="12.75">
      <c r="B328" s="384"/>
      <c r="C328" s="379"/>
      <c r="O328" s="307" t="s">
        <v>431</v>
      </c>
      <c r="P328" s="381" t="s">
        <v>553</v>
      </c>
      <c r="Q328" s="382" t="s">
        <v>896</v>
      </c>
    </row>
    <row r="329" spans="2:17" s="307" customFormat="1" ht="12.75">
      <c r="B329" s="384"/>
      <c r="C329" s="379"/>
      <c r="O329" s="307" t="s">
        <v>432</v>
      </c>
      <c r="P329" s="381" t="s">
        <v>553</v>
      </c>
      <c r="Q329" s="382" t="s">
        <v>897</v>
      </c>
    </row>
    <row r="330" spans="2:17" s="307" customFormat="1" ht="12.75">
      <c r="B330" s="384"/>
      <c r="C330" s="379"/>
      <c r="O330" s="307" t="s">
        <v>782</v>
      </c>
      <c r="P330" s="381" t="s">
        <v>553</v>
      </c>
      <c r="Q330" s="382" t="s">
        <v>1292</v>
      </c>
    </row>
    <row r="331" spans="2:17" s="307" customFormat="1" ht="12.75">
      <c r="B331" s="384"/>
      <c r="C331" s="379"/>
      <c r="O331" s="307" t="s">
        <v>1283</v>
      </c>
      <c r="P331" s="381" t="s">
        <v>553</v>
      </c>
      <c r="Q331" s="382" t="s">
        <v>1293</v>
      </c>
    </row>
    <row r="332" spans="2:17" s="307" customFormat="1" ht="12.75">
      <c r="B332" s="384"/>
      <c r="C332" s="379"/>
      <c r="O332" s="307" t="s">
        <v>434</v>
      </c>
      <c r="P332" s="381" t="s">
        <v>553</v>
      </c>
      <c r="Q332" s="382" t="s">
        <v>1294</v>
      </c>
    </row>
    <row r="333" spans="2:17" s="307" customFormat="1" ht="12.75">
      <c r="B333" s="384"/>
      <c r="C333" s="379"/>
      <c r="O333" s="307" t="s">
        <v>451</v>
      </c>
      <c r="P333" s="386" t="s">
        <v>553</v>
      </c>
      <c r="Q333" s="382" t="s">
        <v>1295</v>
      </c>
    </row>
    <row r="334" spans="2:17" s="307" customFormat="1" ht="12.75">
      <c r="B334" s="384"/>
      <c r="C334" s="379"/>
      <c r="O334" s="307" t="s">
        <v>435</v>
      </c>
      <c r="P334" s="381" t="s">
        <v>553</v>
      </c>
      <c r="Q334" s="382" t="s">
        <v>1296</v>
      </c>
    </row>
    <row r="335" spans="2:17" s="307" customFormat="1" ht="12.75">
      <c r="B335" s="384"/>
      <c r="C335" s="379"/>
      <c r="O335" s="307" t="s">
        <v>437</v>
      </c>
      <c r="P335" s="381" t="s">
        <v>554</v>
      </c>
      <c r="Q335" s="382" t="s">
        <v>893</v>
      </c>
    </row>
    <row r="336" spans="2:17" s="307" customFormat="1" ht="12.75">
      <c r="B336" s="384"/>
      <c r="C336" s="379"/>
      <c r="O336" s="307" t="s">
        <v>438</v>
      </c>
      <c r="P336" s="381" t="s">
        <v>554</v>
      </c>
      <c r="Q336" s="382" t="s">
        <v>894</v>
      </c>
    </row>
    <row r="337" spans="2:17" s="307" customFormat="1" ht="12.75">
      <c r="B337" s="384"/>
      <c r="C337" s="379"/>
      <c r="O337" s="307" t="s">
        <v>439</v>
      </c>
      <c r="P337" s="381" t="s">
        <v>554</v>
      </c>
      <c r="Q337" s="382" t="s">
        <v>1289</v>
      </c>
    </row>
    <row r="338" spans="2:17" s="307" customFormat="1" ht="12.75">
      <c r="B338" s="384"/>
      <c r="C338" s="379"/>
      <c r="O338" s="307" t="s">
        <v>440</v>
      </c>
      <c r="P338" s="381" t="s">
        <v>554</v>
      </c>
      <c r="Q338" s="382" t="s">
        <v>895</v>
      </c>
    </row>
    <row r="339" spans="2:17" s="307" customFormat="1" ht="12.75">
      <c r="B339" s="384"/>
      <c r="C339" s="379"/>
      <c r="O339" s="307" t="s">
        <v>441</v>
      </c>
      <c r="P339" s="381" t="s">
        <v>554</v>
      </c>
      <c r="Q339" s="382" t="s">
        <v>1290</v>
      </c>
    </row>
    <row r="340" spans="2:17" s="307" customFormat="1" ht="12.75">
      <c r="B340" s="384"/>
      <c r="C340" s="379"/>
      <c r="O340" s="307" t="s">
        <v>783</v>
      </c>
      <c r="P340" s="381" t="s">
        <v>554</v>
      </c>
      <c r="Q340" s="382" t="s">
        <v>1291</v>
      </c>
    </row>
    <row r="341" spans="2:17" s="307" customFormat="1" ht="12.75">
      <c r="B341" s="384"/>
      <c r="C341" s="379"/>
      <c r="O341" s="307" t="s">
        <v>813</v>
      </c>
      <c r="P341" s="381" t="s">
        <v>554</v>
      </c>
      <c r="Q341" s="382" t="s">
        <v>896</v>
      </c>
    </row>
    <row r="342" spans="2:17" s="307" customFormat="1" ht="12.75">
      <c r="B342" s="384"/>
      <c r="C342" s="379"/>
      <c r="O342" s="307" t="s">
        <v>442</v>
      </c>
      <c r="P342" s="381" t="s">
        <v>554</v>
      </c>
      <c r="Q342" s="382" t="s">
        <v>897</v>
      </c>
    </row>
    <row r="343" spans="2:17" s="307" customFormat="1" ht="12.75">
      <c r="B343" s="384"/>
      <c r="C343" s="379"/>
      <c r="O343" s="307" t="s">
        <v>443</v>
      </c>
      <c r="P343" s="381" t="s">
        <v>554</v>
      </c>
      <c r="Q343" s="382" t="s">
        <v>1292</v>
      </c>
    </row>
    <row r="344" spans="2:17" s="307" customFormat="1" ht="12.75">
      <c r="B344" s="384"/>
      <c r="C344" s="379"/>
      <c r="O344" s="307" t="s">
        <v>444</v>
      </c>
      <c r="P344" s="381" t="s">
        <v>554</v>
      </c>
      <c r="Q344" s="382" t="s">
        <v>1293</v>
      </c>
    </row>
    <row r="345" spans="2:17" s="307" customFormat="1" ht="12.75">
      <c r="B345" s="384"/>
      <c r="C345" s="379"/>
      <c r="O345" s="307" t="s">
        <v>445</v>
      </c>
      <c r="P345" s="381" t="s">
        <v>554</v>
      </c>
      <c r="Q345" s="382" t="s">
        <v>1294</v>
      </c>
    </row>
    <row r="346" spans="2:17" s="307" customFormat="1" ht="12.75">
      <c r="B346" s="384"/>
      <c r="C346" s="379"/>
      <c r="O346" s="307" t="s">
        <v>446</v>
      </c>
      <c r="P346" s="381" t="s">
        <v>554</v>
      </c>
      <c r="Q346" s="382" t="s">
        <v>1295</v>
      </c>
    </row>
    <row r="347" spans="2:17" s="307" customFormat="1" ht="12.75">
      <c r="B347" s="384"/>
      <c r="C347" s="379"/>
      <c r="O347" s="307" t="s">
        <v>447</v>
      </c>
      <c r="P347" s="381" t="s">
        <v>554</v>
      </c>
      <c r="Q347" s="382" t="s">
        <v>1296</v>
      </c>
    </row>
    <row r="348" spans="2:17" s="307" customFormat="1" ht="12.75">
      <c r="B348" s="384"/>
      <c r="C348" s="379"/>
      <c r="O348" s="307" t="s">
        <v>448</v>
      </c>
      <c r="P348" s="381" t="s">
        <v>420</v>
      </c>
      <c r="Q348" s="382" t="s">
        <v>1053</v>
      </c>
    </row>
    <row r="349" spans="2:17" s="307" customFormat="1" ht="12.75">
      <c r="B349" s="384"/>
      <c r="C349" s="379"/>
      <c r="O349" s="307" t="s">
        <v>785</v>
      </c>
      <c r="P349" s="381" t="s">
        <v>1268</v>
      </c>
      <c r="Q349" s="382" t="s">
        <v>1072</v>
      </c>
    </row>
    <row r="350" spans="2:17" s="307" customFormat="1" ht="12.75">
      <c r="B350" s="384"/>
      <c r="C350" s="379"/>
      <c r="O350" s="307" t="s">
        <v>449</v>
      </c>
      <c r="P350" s="381" t="s">
        <v>218</v>
      </c>
      <c r="Q350" s="382" t="s">
        <v>593</v>
      </c>
    </row>
    <row r="351" spans="2:17" s="307" customFormat="1" ht="12.75">
      <c r="B351" s="384"/>
      <c r="C351" s="379"/>
      <c r="O351" s="307" t="s">
        <v>450</v>
      </c>
      <c r="P351" s="381" t="s">
        <v>217</v>
      </c>
      <c r="Q351" s="382" t="s">
        <v>899</v>
      </c>
    </row>
    <row r="352" spans="2:17" s="307" customFormat="1" ht="12.75">
      <c r="B352" s="384"/>
      <c r="C352" s="379"/>
      <c r="O352" s="307" t="s">
        <v>452</v>
      </c>
      <c r="P352" s="381" t="s">
        <v>217</v>
      </c>
      <c r="Q352" s="382" t="s">
        <v>598</v>
      </c>
    </row>
    <row r="353" spans="2:17" s="307" customFormat="1" ht="12.75">
      <c r="B353" s="384"/>
      <c r="C353" s="379"/>
      <c r="O353" s="307" t="s">
        <v>455</v>
      </c>
      <c r="P353" s="381" t="s">
        <v>421</v>
      </c>
      <c r="Q353" s="382" t="s">
        <v>1083</v>
      </c>
    </row>
    <row r="354" spans="2:17" s="307" customFormat="1" ht="12.75">
      <c r="B354" s="384"/>
      <c r="C354" s="379"/>
      <c r="O354" s="307" t="s">
        <v>457</v>
      </c>
      <c r="P354" s="381" t="s">
        <v>219</v>
      </c>
      <c r="Q354" s="382" t="s">
        <v>613</v>
      </c>
    </row>
    <row r="355" spans="2:17" s="307" customFormat="1" ht="12.75">
      <c r="B355" s="384"/>
      <c r="C355" s="379"/>
      <c r="O355" s="307" t="s">
        <v>458</v>
      </c>
      <c r="P355" s="381" t="s">
        <v>220</v>
      </c>
      <c r="Q355" s="382" t="s">
        <v>900</v>
      </c>
    </row>
    <row r="356" spans="2:17" s="307" customFormat="1" ht="12.75">
      <c r="B356" s="384"/>
      <c r="C356" s="379"/>
      <c r="O356" s="307" t="s">
        <v>459</v>
      </c>
      <c r="P356" s="381" t="s">
        <v>342</v>
      </c>
      <c r="Q356" s="382" t="s">
        <v>637</v>
      </c>
    </row>
    <row r="357" spans="2:17" s="307" customFormat="1" ht="12.75">
      <c r="B357" s="384"/>
      <c r="C357" s="379"/>
      <c r="O357" s="307" t="s">
        <v>460</v>
      </c>
      <c r="P357" s="381" t="s">
        <v>342</v>
      </c>
      <c r="Q357" s="382" t="s">
        <v>730</v>
      </c>
    </row>
    <row r="358" spans="2:17" s="307" customFormat="1" ht="12.75">
      <c r="B358" s="384"/>
      <c r="C358" s="379"/>
      <c r="O358" s="307" t="s">
        <v>461</v>
      </c>
      <c r="P358" s="381" t="s">
        <v>221</v>
      </c>
      <c r="Q358" s="382" t="s">
        <v>580</v>
      </c>
    </row>
    <row r="359" spans="2:17" s="307" customFormat="1" ht="12.75">
      <c r="B359" s="384"/>
      <c r="C359" s="379"/>
      <c r="O359" s="307" t="s">
        <v>462</v>
      </c>
      <c r="P359" s="381" t="s">
        <v>779</v>
      </c>
      <c r="Q359" s="382" t="s">
        <v>1073</v>
      </c>
    </row>
    <row r="360" spans="2:17" s="307" customFormat="1" ht="12.75">
      <c r="B360" s="384"/>
      <c r="C360" s="379"/>
      <c r="O360" s="307" t="s">
        <v>463</v>
      </c>
      <c r="P360" s="381" t="s">
        <v>422</v>
      </c>
      <c r="Q360" s="382" t="s">
        <v>1074</v>
      </c>
    </row>
    <row r="361" spans="2:17" s="307" customFormat="1" ht="12.75">
      <c r="B361" s="384"/>
      <c r="C361" s="379"/>
      <c r="O361" s="307" t="s">
        <v>786</v>
      </c>
      <c r="P361" s="381" t="s">
        <v>780</v>
      </c>
      <c r="Q361" s="382" t="s">
        <v>1075</v>
      </c>
    </row>
    <row r="362" spans="2:17" s="307" customFormat="1" ht="12.75">
      <c r="B362" s="384"/>
      <c r="C362" s="379"/>
      <c r="O362" s="307" t="s">
        <v>464</v>
      </c>
      <c r="P362" s="381" t="s">
        <v>222</v>
      </c>
      <c r="Q362" s="382" t="s">
        <v>1082</v>
      </c>
    </row>
    <row r="363" spans="2:17" s="307" customFormat="1" ht="12.75">
      <c r="B363" s="384"/>
      <c r="C363" s="379"/>
      <c r="O363" s="307" t="s">
        <v>465</v>
      </c>
      <c r="P363" s="381" t="s">
        <v>423</v>
      </c>
      <c r="Q363" s="382" t="s">
        <v>1076</v>
      </c>
    </row>
    <row r="364" spans="2:17" s="307" customFormat="1" ht="12.75">
      <c r="B364" s="384"/>
      <c r="C364" s="379"/>
      <c r="O364" s="307" t="s">
        <v>466</v>
      </c>
      <c r="P364" s="381" t="s">
        <v>424</v>
      </c>
      <c r="Q364" s="382" t="s">
        <v>1050</v>
      </c>
    </row>
    <row r="365" spans="2:17" s="307" customFormat="1" ht="12.75">
      <c r="B365" s="384"/>
      <c r="C365" s="379"/>
      <c r="O365" s="307" t="s">
        <v>467</v>
      </c>
      <c r="P365" s="381" t="s">
        <v>812</v>
      </c>
      <c r="Q365" s="382" t="s">
        <v>1050</v>
      </c>
    </row>
    <row r="366" spans="2:17" s="307" customFormat="1" ht="12.75">
      <c r="B366" s="384"/>
      <c r="C366" s="379"/>
      <c r="O366" s="307" t="s">
        <v>814</v>
      </c>
      <c r="P366" s="381" t="s">
        <v>154</v>
      </c>
      <c r="Q366" s="382" t="s">
        <v>154</v>
      </c>
    </row>
    <row r="367" spans="2:17" s="307" customFormat="1" ht="12.75">
      <c r="B367" s="384"/>
      <c r="C367" s="379"/>
      <c r="O367" s="307" t="s">
        <v>468</v>
      </c>
      <c r="P367" s="381" t="s">
        <v>809</v>
      </c>
      <c r="Q367" s="382" t="s">
        <v>167</v>
      </c>
    </row>
    <row r="368" spans="2:17" s="307" customFormat="1" ht="12.75">
      <c r="B368" s="384"/>
      <c r="C368" s="379"/>
      <c r="O368" s="307" t="s">
        <v>469</v>
      </c>
      <c r="P368" s="381" t="s">
        <v>809</v>
      </c>
      <c r="Q368" s="382" t="s">
        <v>1085</v>
      </c>
    </row>
    <row r="369" spans="2:17" s="307" customFormat="1" ht="12.75">
      <c r="B369" s="384"/>
      <c r="C369" s="379"/>
      <c r="O369" s="307" t="s">
        <v>470</v>
      </c>
      <c r="P369" s="381" t="s">
        <v>425</v>
      </c>
      <c r="Q369" s="382" t="s">
        <v>1075</v>
      </c>
    </row>
    <row r="370" spans="2:17" s="307" customFormat="1" ht="12.75">
      <c r="B370" s="384"/>
      <c r="C370" s="379"/>
      <c r="O370" s="307" t="s">
        <v>471</v>
      </c>
      <c r="P370" s="381" t="s">
        <v>426</v>
      </c>
      <c r="Q370" s="382" t="s">
        <v>1078</v>
      </c>
    </row>
    <row r="371" spans="2:17" s="307" customFormat="1" ht="12.75">
      <c r="B371" s="384"/>
      <c r="C371" s="379"/>
      <c r="O371" s="307" t="s">
        <v>472</v>
      </c>
      <c r="P371" s="381" t="s">
        <v>343</v>
      </c>
      <c r="Q371" s="382" t="s">
        <v>1147</v>
      </c>
    </row>
    <row r="372" spans="2:17" s="307" customFormat="1" ht="12.75">
      <c r="B372" s="384"/>
      <c r="C372" s="379"/>
      <c r="O372" s="307" t="s">
        <v>787</v>
      </c>
      <c r="P372" s="381" t="s">
        <v>343</v>
      </c>
      <c r="Q372" s="382" t="s">
        <v>594</v>
      </c>
    </row>
    <row r="373" spans="2:17" s="307" customFormat="1" ht="12.75">
      <c r="B373" s="384"/>
      <c r="C373" s="379"/>
      <c r="O373" s="307" t="s">
        <v>788</v>
      </c>
      <c r="P373" s="381" t="s">
        <v>343</v>
      </c>
      <c r="Q373" s="382" t="s">
        <v>595</v>
      </c>
    </row>
    <row r="374" spans="2:17" s="307" customFormat="1" ht="12.75">
      <c r="B374" s="384"/>
      <c r="C374" s="379"/>
      <c r="O374" s="307" t="s">
        <v>789</v>
      </c>
      <c r="P374" s="381" t="s">
        <v>343</v>
      </c>
      <c r="Q374" s="382" t="s">
        <v>596</v>
      </c>
    </row>
    <row r="375" spans="2:17" s="307" customFormat="1" ht="12.75">
      <c r="B375" s="384"/>
      <c r="C375" s="379"/>
      <c r="O375" s="307" t="s">
        <v>473</v>
      </c>
      <c r="P375" s="381" t="s">
        <v>343</v>
      </c>
      <c r="Q375" s="382" t="s">
        <v>597</v>
      </c>
    </row>
    <row r="376" spans="2:17" s="307" customFormat="1" ht="12.75">
      <c r="B376" s="384"/>
      <c r="C376" s="379"/>
      <c r="O376" s="307" t="s">
        <v>476</v>
      </c>
      <c r="P376" s="381" t="s">
        <v>343</v>
      </c>
      <c r="Q376" s="382" t="s">
        <v>1148</v>
      </c>
    </row>
    <row r="377" spans="2:17" s="307" customFormat="1" ht="12.75">
      <c r="B377" s="384"/>
      <c r="C377" s="379"/>
      <c r="O377" s="307" t="s">
        <v>479</v>
      </c>
      <c r="P377" s="381" t="s">
        <v>427</v>
      </c>
      <c r="Q377" s="382" t="s">
        <v>1079</v>
      </c>
    </row>
    <row r="378" spans="2:17" s="307" customFormat="1" ht="12.75">
      <c r="B378" s="384"/>
      <c r="C378" s="379"/>
      <c r="O378" s="307" t="s">
        <v>480</v>
      </c>
      <c r="P378" s="381" t="s">
        <v>428</v>
      </c>
      <c r="Q378" s="382" t="s">
        <v>1080</v>
      </c>
    </row>
    <row r="379" spans="2:17" s="307" customFormat="1" ht="12.75">
      <c r="B379" s="384"/>
      <c r="C379" s="379"/>
      <c r="O379" s="307" t="s">
        <v>481</v>
      </c>
      <c r="P379" s="381" t="s">
        <v>429</v>
      </c>
      <c r="Q379" s="382" t="s">
        <v>1084</v>
      </c>
    </row>
    <row r="380" spans="2:17" s="307" customFormat="1" ht="12.75">
      <c r="B380" s="384"/>
      <c r="C380" s="379"/>
      <c r="O380" s="307" t="s">
        <v>482</v>
      </c>
      <c r="P380" s="381" t="s">
        <v>781</v>
      </c>
      <c r="Q380" s="382" t="s">
        <v>619</v>
      </c>
    </row>
    <row r="381" spans="2:17" s="307" customFormat="1" ht="12.75">
      <c r="B381" s="384"/>
      <c r="C381" s="379"/>
      <c r="O381" s="307" t="s">
        <v>483</v>
      </c>
      <c r="P381" s="381" t="s">
        <v>431</v>
      </c>
      <c r="Q381" s="382" t="s">
        <v>1075</v>
      </c>
    </row>
    <row r="382" spans="2:17" s="307" customFormat="1" ht="12.75">
      <c r="B382" s="384"/>
      <c r="C382" s="379"/>
      <c r="O382" s="307" t="s">
        <v>815</v>
      </c>
      <c r="P382" s="381" t="s">
        <v>430</v>
      </c>
      <c r="Q382" s="382" t="s">
        <v>1075</v>
      </c>
    </row>
    <row r="383" spans="2:17" s="307" customFormat="1" ht="12.75">
      <c r="B383" s="384"/>
      <c r="C383" s="379"/>
      <c r="O383" s="307" t="s">
        <v>484</v>
      </c>
      <c r="P383" s="381" t="s">
        <v>344</v>
      </c>
      <c r="Q383" s="382" t="s">
        <v>639</v>
      </c>
    </row>
    <row r="384" spans="2:17" s="307" customFormat="1" ht="12.75">
      <c r="B384" s="384"/>
      <c r="C384" s="379"/>
      <c r="O384" s="307" t="s">
        <v>485</v>
      </c>
      <c r="P384" s="381" t="s">
        <v>223</v>
      </c>
      <c r="Q384" s="382" t="s">
        <v>139</v>
      </c>
    </row>
    <row r="385" spans="2:17" s="307" customFormat="1" ht="12.75">
      <c r="B385" s="384"/>
      <c r="C385" s="379"/>
      <c r="O385" s="307" t="s">
        <v>486</v>
      </c>
      <c r="P385" s="381" t="s">
        <v>223</v>
      </c>
      <c r="Q385" s="382" t="s">
        <v>984</v>
      </c>
    </row>
    <row r="386" spans="2:17" s="307" customFormat="1" ht="12.75">
      <c r="B386" s="384"/>
      <c r="C386" s="379"/>
      <c r="O386" s="307" t="s">
        <v>487</v>
      </c>
      <c r="P386" s="381" t="s">
        <v>223</v>
      </c>
      <c r="Q386" s="382" t="s">
        <v>599</v>
      </c>
    </row>
    <row r="387" spans="2:17" s="307" customFormat="1" ht="12.75">
      <c r="B387" s="384"/>
      <c r="C387" s="379"/>
      <c r="O387" s="307" t="s">
        <v>792</v>
      </c>
      <c r="P387" s="381" t="s">
        <v>223</v>
      </c>
      <c r="Q387" s="382" t="s">
        <v>169</v>
      </c>
    </row>
    <row r="388" spans="2:17" s="307" customFormat="1" ht="12.75">
      <c r="B388" s="384"/>
      <c r="C388" s="379"/>
      <c r="O388" s="307" t="s">
        <v>488</v>
      </c>
      <c r="P388" s="381" t="s">
        <v>223</v>
      </c>
      <c r="Q388" s="382" t="s">
        <v>1085</v>
      </c>
    </row>
    <row r="389" spans="2:17" s="307" customFormat="1" ht="12.75">
      <c r="B389" s="384"/>
      <c r="C389" s="379"/>
      <c r="O389" s="307" t="s">
        <v>489</v>
      </c>
      <c r="P389" s="381" t="s">
        <v>224</v>
      </c>
      <c r="Q389" s="382" t="s">
        <v>901</v>
      </c>
    </row>
    <row r="390" spans="2:17" s="307" customFormat="1" ht="12.75">
      <c r="B390" s="384"/>
      <c r="C390" s="379"/>
      <c r="O390" s="307" t="s">
        <v>490</v>
      </c>
      <c r="P390" s="381" t="s">
        <v>224</v>
      </c>
      <c r="Q390" s="382" t="s">
        <v>766</v>
      </c>
    </row>
    <row r="391" spans="2:17" s="307" customFormat="1" ht="12.75">
      <c r="B391" s="384"/>
      <c r="C391" s="379"/>
      <c r="O391" s="307" t="s">
        <v>794</v>
      </c>
      <c r="P391" s="381" t="s">
        <v>432</v>
      </c>
      <c r="Q391" s="382" t="s">
        <v>1086</v>
      </c>
    </row>
    <row r="392" spans="2:17" s="307" customFormat="1" ht="12.75">
      <c r="B392" s="384"/>
      <c r="C392" s="379"/>
      <c r="O392" s="307" t="s">
        <v>491</v>
      </c>
      <c r="P392" s="381" t="s">
        <v>782</v>
      </c>
      <c r="Q392" s="382" t="s">
        <v>1081</v>
      </c>
    </row>
    <row r="393" spans="2:17" s="307" customFormat="1" ht="12.75">
      <c r="B393" s="384"/>
      <c r="C393" s="379"/>
      <c r="O393" s="307" t="s">
        <v>492</v>
      </c>
      <c r="P393" s="381" t="s">
        <v>226</v>
      </c>
      <c r="Q393" s="382" t="s">
        <v>592</v>
      </c>
    </row>
    <row r="394" spans="2:17" s="307" customFormat="1" ht="12.75">
      <c r="B394" s="384"/>
      <c r="C394" s="379"/>
      <c r="O394" s="307" t="s">
        <v>493</v>
      </c>
      <c r="P394" s="381" t="s">
        <v>229</v>
      </c>
      <c r="Q394" s="382" t="s">
        <v>746</v>
      </c>
    </row>
    <row r="395" spans="2:17" s="307" customFormat="1" ht="12.75">
      <c r="B395" s="384"/>
      <c r="C395" s="379"/>
      <c r="O395" s="307" t="s">
        <v>454</v>
      </c>
      <c r="P395" s="381" t="s">
        <v>433</v>
      </c>
      <c r="Q395" s="382" t="s">
        <v>1082</v>
      </c>
    </row>
    <row r="396" spans="2:17" s="307" customFormat="1" ht="12.75">
      <c r="B396" s="384"/>
      <c r="C396" s="379"/>
      <c r="O396" s="307" t="s">
        <v>497</v>
      </c>
      <c r="P396" s="381" t="s">
        <v>230</v>
      </c>
      <c r="Q396" s="382" t="s">
        <v>579</v>
      </c>
    </row>
    <row r="397" spans="2:17" s="307" customFormat="1" ht="12.75">
      <c r="B397" s="384"/>
      <c r="C397" s="379"/>
      <c r="O397" s="307" t="s">
        <v>498</v>
      </c>
      <c r="P397" s="381" t="s">
        <v>230</v>
      </c>
      <c r="Q397" s="382" t="s">
        <v>580</v>
      </c>
    </row>
    <row r="398" spans="2:17" s="307" customFormat="1" ht="12.75">
      <c r="B398" s="384"/>
      <c r="C398" s="379"/>
      <c r="O398" s="307" t="s">
        <v>1267</v>
      </c>
      <c r="P398" s="381" t="s">
        <v>230</v>
      </c>
      <c r="Q398" s="382" t="s">
        <v>581</v>
      </c>
    </row>
    <row r="399" spans="2:17" s="307" customFormat="1" ht="12.75">
      <c r="B399" s="384"/>
      <c r="C399" s="379"/>
      <c r="O399" s="307" t="s">
        <v>795</v>
      </c>
      <c r="P399" s="381" t="s">
        <v>231</v>
      </c>
      <c r="Q399" s="382" t="s">
        <v>902</v>
      </c>
    </row>
    <row r="400" spans="2:17" s="307" customFormat="1" ht="12.75">
      <c r="B400" s="384"/>
      <c r="C400" s="379"/>
      <c r="O400" s="307" t="s">
        <v>796</v>
      </c>
      <c r="P400" s="381" t="s">
        <v>231</v>
      </c>
      <c r="Q400" s="382" t="s">
        <v>726</v>
      </c>
    </row>
    <row r="401" spans="2:17" s="307" customFormat="1" ht="12.75">
      <c r="B401" s="384"/>
      <c r="C401" s="379"/>
      <c r="O401" s="307" t="s">
        <v>500</v>
      </c>
      <c r="P401" s="381" t="s">
        <v>231</v>
      </c>
      <c r="Q401" s="382" t="s">
        <v>179</v>
      </c>
    </row>
    <row r="402" spans="2:17" s="307" customFormat="1" ht="12.75">
      <c r="B402" s="384"/>
      <c r="C402" s="379"/>
      <c r="O402" s="307" t="s">
        <v>502</v>
      </c>
      <c r="P402" s="381" t="s">
        <v>231</v>
      </c>
      <c r="Q402" s="382" t="s">
        <v>180</v>
      </c>
    </row>
    <row r="403" spans="2:17" s="307" customFormat="1" ht="12.75">
      <c r="B403" s="384"/>
      <c r="C403" s="379"/>
      <c r="O403" s="307" t="s">
        <v>797</v>
      </c>
      <c r="P403" s="381" t="s">
        <v>231</v>
      </c>
      <c r="Q403" s="382" t="s">
        <v>181</v>
      </c>
    </row>
    <row r="404" spans="2:17" s="307" customFormat="1" ht="12.75">
      <c r="B404" s="384"/>
      <c r="C404" s="379"/>
      <c r="O404" s="307" t="s">
        <v>798</v>
      </c>
      <c r="P404" s="381" t="s">
        <v>231</v>
      </c>
      <c r="Q404" s="382" t="s">
        <v>182</v>
      </c>
    </row>
    <row r="405" spans="2:17" s="307" customFormat="1" ht="12.75">
      <c r="B405" s="384"/>
      <c r="C405" s="379"/>
      <c r="O405" s="307" t="s">
        <v>503</v>
      </c>
      <c r="P405" s="381" t="s">
        <v>776</v>
      </c>
      <c r="Q405" s="382" t="s">
        <v>903</v>
      </c>
    </row>
    <row r="406" spans="2:17" s="307" customFormat="1" ht="12.75">
      <c r="B406" s="384"/>
      <c r="C406" s="379"/>
      <c r="O406" s="307" t="s">
        <v>504</v>
      </c>
      <c r="P406" s="381" t="s">
        <v>232</v>
      </c>
      <c r="Q406" s="382" t="s">
        <v>624</v>
      </c>
    </row>
    <row r="407" spans="2:17" s="307" customFormat="1" ht="12.75">
      <c r="B407" s="384"/>
      <c r="C407" s="379"/>
      <c r="O407" s="307" t="s">
        <v>505</v>
      </c>
      <c r="P407" s="381" t="s">
        <v>232</v>
      </c>
      <c r="Q407" s="382" t="s">
        <v>625</v>
      </c>
    </row>
    <row r="408" spans="2:17" s="307" customFormat="1" ht="12.75">
      <c r="B408" s="384"/>
      <c r="C408" s="379"/>
      <c r="O408" s="307" t="s">
        <v>506</v>
      </c>
      <c r="P408" s="381" t="s">
        <v>232</v>
      </c>
      <c r="Q408" s="382" t="s">
        <v>626</v>
      </c>
    </row>
    <row r="409" spans="2:17" s="307" customFormat="1" ht="12.75">
      <c r="B409" s="384"/>
      <c r="C409" s="379"/>
      <c r="O409" s="307" t="s">
        <v>799</v>
      </c>
      <c r="P409" s="381" t="s">
        <v>233</v>
      </c>
      <c r="Q409" s="382" t="s">
        <v>904</v>
      </c>
    </row>
    <row r="410" spans="2:17" s="307" customFormat="1" ht="12.75">
      <c r="B410" s="384"/>
      <c r="C410" s="379"/>
      <c r="O410" s="307" t="s">
        <v>508</v>
      </c>
      <c r="P410" s="381" t="s">
        <v>233</v>
      </c>
      <c r="Q410" s="382" t="s">
        <v>718</v>
      </c>
    </row>
    <row r="411" spans="2:17" s="307" customFormat="1" ht="12.75">
      <c r="B411" s="384"/>
      <c r="C411" s="379"/>
      <c r="O411" s="307" t="s">
        <v>507</v>
      </c>
      <c r="P411" s="381" t="s">
        <v>233</v>
      </c>
      <c r="Q411" s="382" t="s">
        <v>719</v>
      </c>
    </row>
    <row r="412" spans="2:17" s="307" customFormat="1" ht="12.75">
      <c r="B412" s="384"/>
      <c r="C412" s="379"/>
      <c r="O412" s="307" t="s">
        <v>509</v>
      </c>
      <c r="P412" s="381" t="s">
        <v>233</v>
      </c>
      <c r="Q412" s="382" t="s">
        <v>178</v>
      </c>
    </row>
    <row r="413" spans="2:17" s="307" customFormat="1" ht="12.75">
      <c r="B413" s="384"/>
      <c r="C413" s="379"/>
      <c r="P413" s="381" t="s">
        <v>233</v>
      </c>
      <c r="Q413" s="382" t="s">
        <v>720</v>
      </c>
    </row>
    <row r="414" spans="2:17" s="307" customFormat="1" ht="12.75">
      <c r="B414" s="384"/>
      <c r="C414" s="379"/>
      <c r="P414" s="381" t="s">
        <v>233</v>
      </c>
      <c r="Q414" s="382" t="s">
        <v>721</v>
      </c>
    </row>
    <row r="415" spans="2:17" s="307" customFormat="1" ht="12.75">
      <c r="B415" s="384"/>
      <c r="C415" s="379"/>
      <c r="P415" s="381" t="s">
        <v>233</v>
      </c>
      <c r="Q415" s="382" t="s">
        <v>722</v>
      </c>
    </row>
    <row r="416" spans="2:17" s="307" customFormat="1" ht="12.75">
      <c r="B416" s="384"/>
      <c r="C416" s="379"/>
      <c r="P416" s="381" t="s">
        <v>233</v>
      </c>
      <c r="Q416" s="382" t="s">
        <v>723</v>
      </c>
    </row>
    <row r="417" spans="2:17" s="307" customFormat="1" ht="12.75">
      <c r="B417" s="384"/>
      <c r="C417" s="379"/>
      <c r="P417" s="381" t="s">
        <v>233</v>
      </c>
      <c r="Q417" s="382" t="s">
        <v>724</v>
      </c>
    </row>
    <row r="418" spans="2:17" s="307" customFormat="1" ht="12.75">
      <c r="B418" s="384"/>
      <c r="C418" s="379"/>
      <c r="P418" s="381" t="s">
        <v>233</v>
      </c>
      <c r="Q418" s="382" t="s">
        <v>725</v>
      </c>
    </row>
    <row r="419" spans="2:17" s="307" customFormat="1" ht="12.75">
      <c r="B419" s="384"/>
      <c r="C419" s="379"/>
      <c r="P419" s="381" t="s">
        <v>234</v>
      </c>
      <c r="Q419" s="382" t="s">
        <v>659</v>
      </c>
    </row>
    <row r="420" spans="2:17" s="307" customFormat="1" ht="12.75">
      <c r="B420" s="384"/>
      <c r="C420" s="379"/>
      <c r="P420" s="381" t="s">
        <v>158</v>
      </c>
      <c r="Q420" s="382" t="s">
        <v>158</v>
      </c>
    </row>
    <row r="421" spans="2:17" s="307" customFormat="1" ht="12.75">
      <c r="B421" s="384"/>
      <c r="C421" s="379"/>
      <c r="P421" s="381" t="s">
        <v>349</v>
      </c>
      <c r="Q421" s="382" t="s">
        <v>859</v>
      </c>
    </row>
    <row r="422" spans="2:17" s="307" customFormat="1" ht="12.75">
      <c r="B422" s="384"/>
      <c r="C422" s="379"/>
      <c r="P422" s="381" t="s">
        <v>350</v>
      </c>
      <c r="Q422" s="382" t="s">
        <v>566</v>
      </c>
    </row>
    <row r="423" spans="2:17" s="307" customFormat="1" ht="12.75">
      <c r="B423" s="384"/>
      <c r="C423" s="379"/>
      <c r="P423" s="381" t="s">
        <v>350</v>
      </c>
      <c r="Q423" s="382" t="s">
        <v>567</v>
      </c>
    </row>
    <row r="424" spans="2:17" s="307" customFormat="1" ht="12.75">
      <c r="B424" s="384"/>
      <c r="C424" s="379"/>
      <c r="P424" s="381" t="s">
        <v>350</v>
      </c>
      <c r="Q424" s="382" t="s">
        <v>860</v>
      </c>
    </row>
    <row r="425" spans="2:17" s="307" customFormat="1" ht="12.75">
      <c r="B425" s="384"/>
      <c r="C425" s="379"/>
      <c r="P425" s="381" t="s">
        <v>350</v>
      </c>
      <c r="Q425" s="382" t="s">
        <v>861</v>
      </c>
    </row>
    <row r="426" spans="2:17" s="307" customFormat="1" ht="12.75">
      <c r="B426" s="384"/>
      <c r="C426" s="379"/>
      <c r="P426" s="381" t="s">
        <v>350</v>
      </c>
      <c r="Q426" s="382" t="s">
        <v>862</v>
      </c>
    </row>
    <row r="427" spans="2:17" s="307" customFormat="1" ht="12.75">
      <c r="B427" s="384"/>
      <c r="C427" s="379"/>
      <c r="P427" s="381" t="s">
        <v>350</v>
      </c>
      <c r="Q427" s="382" t="s">
        <v>863</v>
      </c>
    </row>
    <row r="428" spans="2:17" s="307" customFormat="1" ht="12.75">
      <c r="B428" s="384"/>
      <c r="C428" s="379"/>
      <c r="P428" s="381" t="s">
        <v>350</v>
      </c>
      <c r="Q428" s="382" t="s">
        <v>864</v>
      </c>
    </row>
    <row r="429" spans="2:17" s="307" customFormat="1" ht="12.75">
      <c r="B429" s="384"/>
      <c r="C429" s="379"/>
      <c r="P429" s="381" t="s">
        <v>350</v>
      </c>
      <c r="Q429" s="382" t="s">
        <v>865</v>
      </c>
    </row>
    <row r="430" spans="2:17" s="307" customFormat="1" ht="12.75">
      <c r="B430" s="384"/>
      <c r="C430" s="379"/>
      <c r="P430" s="381" t="s">
        <v>350</v>
      </c>
      <c r="Q430" s="382" t="s">
        <v>866</v>
      </c>
    </row>
    <row r="431" spans="2:17" s="307" customFormat="1" ht="12.75">
      <c r="B431" s="384"/>
      <c r="C431" s="379"/>
      <c r="P431" s="381" t="s">
        <v>350</v>
      </c>
      <c r="Q431" s="382" t="s">
        <v>569</v>
      </c>
    </row>
    <row r="432" spans="2:17" s="307" customFormat="1" ht="12.75">
      <c r="B432" s="384"/>
      <c r="C432" s="379"/>
      <c r="P432" s="381" t="s">
        <v>350</v>
      </c>
      <c r="Q432" s="382" t="s">
        <v>570</v>
      </c>
    </row>
    <row r="433" spans="2:17" s="307" customFormat="1" ht="12.75">
      <c r="B433" s="384"/>
      <c r="C433" s="379"/>
      <c r="P433" s="381" t="s">
        <v>350</v>
      </c>
      <c r="Q433" s="382" t="s">
        <v>1147</v>
      </c>
    </row>
    <row r="434" spans="2:17" s="307" customFormat="1" ht="12.75">
      <c r="B434" s="384"/>
      <c r="C434" s="379"/>
      <c r="P434" s="381" t="s">
        <v>351</v>
      </c>
      <c r="Q434" s="382" t="s">
        <v>828</v>
      </c>
    </row>
    <row r="435" spans="2:17" s="307" customFormat="1" ht="12.75">
      <c r="B435" s="384"/>
      <c r="C435" s="379"/>
      <c r="P435" s="381" t="s">
        <v>351</v>
      </c>
      <c r="Q435" s="382" t="s">
        <v>829</v>
      </c>
    </row>
    <row r="436" spans="2:17" s="307" customFormat="1" ht="12.75">
      <c r="B436" s="384"/>
      <c r="C436" s="379"/>
      <c r="P436" s="381" t="s">
        <v>351</v>
      </c>
      <c r="Q436" s="382" t="s">
        <v>830</v>
      </c>
    </row>
    <row r="437" spans="2:17" s="307" customFormat="1" ht="12.75">
      <c r="B437" s="384"/>
      <c r="C437" s="379"/>
      <c r="P437" s="381" t="s">
        <v>352</v>
      </c>
      <c r="Q437" s="382" t="s">
        <v>831</v>
      </c>
    </row>
    <row r="438" spans="2:17" s="307" customFormat="1" ht="12.75">
      <c r="B438" s="384"/>
      <c r="C438" s="379"/>
      <c r="P438" s="381" t="s">
        <v>353</v>
      </c>
      <c r="Q438" s="382" t="s">
        <v>160</v>
      </c>
    </row>
    <row r="439" spans="2:17" s="307" customFormat="1" ht="12.75">
      <c r="B439" s="384"/>
      <c r="C439" s="379"/>
      <c r="P439" s="381" t="s">
        <v>353</v>
      </c>
      <c r="Q439" s="382" t="s">
        <v>832</v>
      </c>
    </row>
    <row r="440" spans="2:17" s="307" customFormat="1" ht="12.75">
      <c r="B440" s="384"/>
      <c r="C440" s="379"/>
      <c r="P440" s="381" t="s">
        <v>1138</v>
      </c>
      <c r="Q440" s="382" t="s">
        <v>613</v>
      </c>
    </row>
    <row r="441" spans="2:17" s="307" customFormat="1" ht="12.75">
      <c r="B441" s="384"/>
      <c r="C441" s="379"/>
      <c r="P441" s="381" t="s">
        <v>355</v>
      </c>
      <c r="Q441" s="382" t="s">
        <v>637</v>
      </c>
    </row>
    <row r="442" spans="2:17" s="307" customFormat="1" ht="12.75">
      <c r="B442" s="384"/>
      <c r="C442" s="379"/>
      <c r="P442" s="381" t="s">
        <v>355</v>
      </c>
      <c r="Q442" s="382" t="s">
        <v>646</v>
      </c>
    </row>
    <row r="443" spans="2:17" s="307" customFormat="1" ht="12.75">
      <c r="B443" s="384"/>
      <c r="C443" s="379"/>
      <c r="P443" s="381" t="s">
        <v>355</v>
      </c>
      <c r="Q443" s="382" t="s">
        <v>730</v>
      </c>
    </row>
    <row r="444" spans="2:17" s="307" customFormat="1" ht="12.75">
      <c r="B444" s="384"/>
      <c r="C444" s="379"/>
      <c r="P444" s="381" t="s">
        <v>434</v>
      </c>
      <c r="Q444" s="382" t="s">
        <v>1052</v>
      </c>
    </row>
    <row r="445" spans="2:17" s="307" customFormat="1" ht="12.75">
      <c r="B445" s="384"/>
      <c r="C445" s="379"/>
      <c r="P445" s="381" t="s">
        <v>356</v>
      </c>
      <c r="Q445" s="382" t="s">
        <v>905</v>
      </c>
    </row>
    <row r="446" spans="2:17" s="307" customFormat="1" ht="12.75">
      <c r="B446" s="384"/>
      <c r="C446" s="379"/>
      <c r="P446" s="381" t="s">
        <v>357</v>
      </c>
      <c r="Q446" s="382" t="s">
        <v>575</v>
      </c>
    </row>
    <row r="447" spans="2:17" s="307" customFormat="1" ht="12.75">
      <c r="B447" s="384"/>
      <c r="C447" s="379"/>
      <c r="P447" s="381" t="s">
        <v>357</v>
      </c>
      <c r="Q447" s="382" t="s">
        <v>591</v>
      </c>
    </row>
    <row r="448" spans="2:17" s="307" customFormat="1" ht="12.75">
      <c r="B448" s="384"/>
      <c r="C448" s="379"/>
      <c r="P448" s="381" t="s">
        <v>357</v>
      </c>
      <c r="Q448" s="382" t="s">
        <v>867</v>
      </c>
    </row>
    <row r="449" spans="2:17" s="307" customFormat="1" ht="12.75">
      <c r="B449" s="384"/>
      <c r="C449" s="379"/>
      <c r="P449" s="381" t="s">
        <v>357</v>
      </c>
      <c r="Q449" s="382" t="s">
        <v>649</v>
      </c>
    </row>
    <row r="450" spans="2:17" s="307" customFormat="1" ht="12.75">
      <c r="B450" s="384"/>
      <c r="C450" s="379"/>
      <c r="P450" s="381" t="s">
        <v>357</v>
      </c>
      <c r="Q450" s="382" t="s">
        <v>717</v>
      </c>
    </row>
    <row r="451" spans="2:17" s="307" customFormat="1" ht="12.75">
      <c r="B451" s="384"/>
      <c r="C451" s="379"/>
      <c r="P451" s="381" t="s">
        <v>236</v>
      </c>
      <c r="Q451" s="382" t="s">
        <v>603</v>
      </c>
    </row>
    <row r="452" spans="2:17" s="307" customFormat="1" ht="12.75">
      <c r="B452" s="384"/>
      <c r="C452" s="379"/>
      <c r="P452" s="381" t="s">
        <v>237</v>
      </c>
      <c r="Q452" s="382" t="s">
        <v>868</v>
      </c>
    </row>
    <row r="453" spans="2:17" s="307" customFormat="1" ht="12.75">
      <c r="B453" s="384"/>
      <c r="C453" s="379"/>
      <c r="P453" s="381" t="s">
        <v>237</v>
      </c>
      <c r="Q453" s="382" t="s">
        <v>869</v>
      </c>
    </row>
    <row r="454" spans="2:17" s="307" customFormat="1" ht="12.75">
      <c r="B454" s="384"/>
      <c r="C454" s="379"/>
      <c r="P454" s="381" t="s">
        <v>237</v>
      </c>
      <c r="Q454" s="382" t="s">
        <v>870</v>
      </c>
    </row>
    <row r="455" spans="2:17" s="307" customFormat="1" ht="12.75">
      <c r="B455" s="384"/>
      <c r="C455" s="379"/>
      <c r="P455" s="381" t="s">
        <v>237</v>
      </c>
      <c r="Q455" s="382" t="s">
        <v>147</v>
      </c>
    </row>
    <row r="456" spans="2:17" s="307" customFormat="1" ht="12.75">
      <c r="B456" s="384"/>
      <c r="C456" s="379"/>
      <c r="P456" s="381" t="s">
        <v>237</v>
      </c>
      <c r="Q456" s="382" t="s">
        <v>585</v>
      </c>
    </row>
    <row r="457" spans="2:17" s="307" customFormat="1" ht="12.75">
      <c r="B457" s="384"/>
      <c r="C457" s="379"/>
      <c r="P457" s="381" t="s">
        <v>237</v>
      </c>
      <c r="Q457" s="382" t="s">
        <v>148</v>
      </c>
    </row>
    <row r="458" spans="2:17" s="307" customFormat="1" ht="12.75">
      <c r="B458" s="384"/>
      <c r="C458" s="379"/>
      <c r="P458" s="381" t="s">
        <v>237</v>
      </c>
      <c r="Q458" s="382" t="s">
        <v>871</v>
      </c>
    </row>
    <row r="459" spans="2:17" s="307" customFormat="1" ht="12.75">
      <c r="B459" s="384"/>
      <c r="C459" s="379"/>
      <c r="P459" s="381" t="s">
        <v>237</v>
      </c>
      <c r="Q459" s="382" t="s">
        <v>872</v>
      </c>
    </row>
    <row r="460" spans="2:17" s="307" customFormat="1" ht="12.75">
      <c r="B460" s="384"/>
      <c r="C460" s="379"/>
      <c r="P460" s="381" t="s">
        <v>237</v>
      </c>
      <c r="Q460" s="382" t="s">
        <v>873</v>
      </c>
    </row>
    <row r="461" spans="2:17" s="307" customFormat="1" ht="12.75">
      <c r="B461" s="384"/>
      <c r="C461" s="379"/>
      <c r="P461" s="381" t="s">
        <v>237</v>
      </c>
      <c r="Q461" s="382" t="s">
        <v>874</v>
      </c>
    </row>
    <row r="462" spans="2:17" s="307" customFormat="1" ht="12.75">
      <c r="B462" s="384"/>
      <c r="C462" s="379"/>
      <c r="P462" s="381" t="s">
        <v>237</v>
      </c>
      <c r="Q462" s="382" t="s">
        <v>149</v>
      </c>
    </row>
    <row r="463" spans="2:17" s="307" customFormat="1" ht="12.75">
      <c r="B463" s="384"/>
      <c r="C463" s="379"/>
      <c r="P463" s="381" t="s">
        <v>237</v>
      </c>
      <c r="Q463" s="382" t="s">
        <v>875</v>
      </c>
    </row>
    <row r="464" spans="2:17" s="307" customFormat="1" ht="12.75">
      <c r="B464" s="384"/>
      <c r="C464" s="379"/>
      <c r="P464" s="381" t="s">
        <v>237</v>
      </c>
      <c r="Q464" s="382" t="s">
        <v>876</v>
      </c>
    </row>
    <row r="465" spans="2:17" s="307" customFormat="1" ht="12.75">
      <c r="B465" s="384"/>
      <c r="C465" s="379"/>
      <c r="P465" s="381" t="s">
        <v>237</v>
      </c>
      <c r="Q465" s="382" t="s">
        <v>877</v>
      </c>
    </row>
    <row r="466" spans="2:17" s="307" customFormat="1" ht="12.75">
      <c r="B466" s="384"/>
      <c r="C466" s="379"/>
      <c r="P466" s="381" t="s">
        <v>237</v>
      </c>
      <c r="Q466" s="382" t="s">
        <v>878</v>
      </c>
    </row>
    <row r="467" spans="2:17" s="307" customFormat="1" ht="12.75">
      <c r="B467" s="384"/>
      <c r="C467" s="379"/>
      <c r="P467" s="381" t="s">
        <v>237</v>
      </c>
      <c r="Q467" s="382" t="s">
        <v>879</v>
      </c>
    </row>
    <row r="468" spans="2:17" s="307" customFormat="1" ht="12.75">
      <c r="B468" s="384"/>
      <c r="C468" s="379"/>
      <c r="P468" s="381" t="s">
        <v>237</v>
      </c>
      <c r="Q468" s="382" t="s">
        <v>880</v>
      </c>
    </row>
    <row r="469" spans="2:17" s="307" customFormat="1" ht="12.75">
      <c r="B469" s="384"/>
      <c r="C469" s="379"/>
      <c r="P469" s="381" t="s">
        <v>237</v>
      </c>
      <c r="Q469" s="382" t="s">
        <v>881</v>
      </c>
    </row>
    <row r="470" spans="2:17" s="307" customFormat="1" ht="12.75">
      <c r="B470" s="384"/>
      <c r="C470" s="379"/>
      <c r="P470" s="381" t="s">
        <v>237</v>
      </c>
      <c r="Q470" s="382" t="s">
        <v>882</v>
      </c>
    </row>
    <row r="471" spans="2:17" s="307" customFormat="1" ht="12.75">
      <c r="B471" s="384"/>
      <c r="C471" s="379"/>
      <c r="P471" s="381" t="s">
        <v>237</v>
      </c>
      <c r="Q471" s="382" t="s">
        <v>883</v>
      </c>
    </row>
    <row r="472" spans="2:17" s="307" customFormat="1" ht="12.75">
      <c r="B472" s="384"/>
      <c r="C472" s="379"/>
      <c r="P472" s="381" t="s">
        <v>237</v>
      </c>
      <c r="Q472" s="382" t="s">
        <v>589</v>
      </c>
    </row>
    <row r="473" spans="2:17" s="307" customFormat="1" ht="12.75">
      <c r="B473" s="384"/>
      <c r="C473" s="379"/>
      <c r="P473" s="381" t="s">
        <v>237</v>
      </c>
      <c r="Q473" s="382" t="s">
        <v>884</v>
      </c>
    </row>
    <row r="474" spans="2:17" s="307" customFormat="1" ht="12.75">
      <c r="B474" s="384"/>
      <c r="C474" s="379"/>
      <c r="P474" s="381" t="s">
        <v>237</v>
      </c>
      <c r="Q474" s="382" t="s">
        <v>152</v>
      </c>
    </row>
    <row r="475" spans="2:17" s="307" customFormat="1" ht="12.75">
      <c r="B475" s="384"/>
      <c r="C475" s="379"/>
      <c r="P475" s="381" t="s">
        <v>237</v>
      </c>
      <c r="Q475" s="382" t="s">
        <v>885</v>
      </c>
    </row>
    <row r="476" spans="2:17" s="307" customFormat="1" ht="12.75">
      <c r="B476" s="384"/>
      <c r="C476" s="379"/>
      <c r="P476" s="381" t="s">
        <v>237</v>
      </c>
      <c r="Q476" s="382" t="s">
        <v>886</v>
      </c>
    </row>
    <row r="477" spans="2:17" s="307" customFormat="1" ht="12.75">
      <c r="B477" s="384"/>
      <c r="C477" s="379"/>
      <c r="P477" s="381" t="s">
        <v>237</v>
      </c>
      <c r="Q477" s="382" t="s">
        <v>1149</v>
      </c>
    </row>
    <row r="478" spans="2:17" s="307" customFormat="1" ht="12.75">
      <c r="B478" s="384"/>
      <c r="C478" s="379"/>
      <c r="P478" s="381" t="s">
        <v>237</v>
      </c>
      <c r="Q478" s="382" t="s">
        <v>153</v>
      </c>
    </row>
    <row r="479" spans="2:17" s="307" customFormat="1" ht="12.75">
      <c r="B479" s="384"/>
      <c r="C479" s="379"/>
      <c r="P479" s="381" t="s">
        <v>237</v>
      </c>
      <c r="Q479" s="382" t="s">
        <v>887</v>
      </c>
    </row>
    <row r="480" spans="2:17" s="307" customFormat="1" ht="12.75">
      <c r="B480" s="384"/>
      <c r="C480" s="379"/>
      <c r="P480" s="381" t="s">
        <v>237</v>
      </c>
      <c r="Q480" s="382" t="s">
        <v>888</v>
      </c>
    </row>
    <row r="481" spans="2:17" s="307" customFormat="1" ht="12.75">
      <c r="B481" s="384"/>
      <c r="C481" s="379"/>
      <c r="P481" s="381" t="s">
        <v>237</v>
      </c>
      <c r="Q481" s="382" t="s">
        <v>889</v>
      </c>
    </row>
    <row r="482" spans="2:17" s="307" customFormat="1" ht="12.75">
      <c r="B482" s="384"/>
      <c r="C482" s="379"/>
      <c r="P482" s="381" t="s">
        <v>237</v>
      </c>
      <c r="Q482" s="382" t="s">
        <v>890</v>
      </c>
    </row>
    <row r="483" spans="2:17" s="307" customFormat="1" ht="12.75">
      <c r="B483" s="384"/>
      <c r="C483" s="379"/>
      <c r="P483" s="381" t="s">
        <v>237</v>
      </c>
      <c r="Q483" s="382" t="s">
        <v>891</v>
      </c>
    </row>
    <row r="484" spans="2:17" s="307" customFormat="1" ht="12.75">
      <c r="B484" s="384"/>
      <c r="C484" s="379"/>
      <c r="P484" s="381" t="s">
        <v>237</v>
      </c>
      <c r="Q484" s="382" t="s">
        <v>892</v>
      </c>
    </row>
    <row r="485" spans="2:17" s="307" customFormat="1" ht="12.75">
      <c r="B485" s="384"/>
      <c r="C485" s="379"/>
      <c r="P485" s="381" t="s">
        <v>237</v>
      </c>
      <c r="Q485" s="382" t="s">
        <v>161</v>
      </c>
    </row>
    <row r="486" spans="2:17" s="307" customFormat="1" ht="12.75">
      <c r="B486" s="384"/>
      <c r="C486" s="379"/>
      <c r="P486" s="381" t="s">
        <v>238</v>
      </c>
      <c r="Q486" s="382" t="s">
        <v>746</v>
      </c>
    </row>
    <row r="487" spans="2:17" s="307" customFormat="1" ht="12.75">
      <c r="B487" s="384"/>
      <c r="C487" s="379"/>
      <c r="P487" s="381" t="s">
        <v>555</v>
      </c>
      <c r="Q487" s="382" t="s">
        <v>1297</v>
      </c>
    </row>
    <row r="488" spans="2:17" s="307" customFormat="1" ht="12.75">
      <c r="B488" s="384"/>
      <c r="C488" s="379"/>
      <c r="P488" s="381" t="s">
        <v>555</v>
      </c>
      <c r="Q488" s="382" t="s">
        <v>1298</v>
      </c>
    </row>
    <row r="489" spans="2:17" s="307" customFormat="1" ht="12.75">
      <c r="B489" s="384"/>
      <c r="C489" s="379"/>
      <c r="P489" s="381" t="s">
        <v>555</v>
      </c>
      <c r="Q489" s="382" t="s">
        <v>1299</v>
      </c>
    </row>
    <row r="490" spans="2:17" s="307" customFormat="1" ht="12.75">
      <c r="B490" s="384"/>
      <c r="C490" s="379"/>
      <c r="P490" s="381" t="s">
        <v>555</v>
      </c>
      <c r="Q490" s="382" t="s">
        <v>1300</v>
      </c>
    </row>
    <row r="491" spans="2:17" s="307" customFormat="1" ht="12.75">
      <c r="B491" s="384"/>
      <c r="C491" s="379"/>
      <c r="P491" s="381" t="s">
        <v>555</v>
      </c>
      <c r="Q491" s="382" t="s">
        <v>1301</v>
      </c>
    </row>
    <row r="492" spans="2:17" s="307" customFormat="1" ht="12.75">
      <c r="B492" s="384"/>
      <c r="C492" s="379"/>
      <c r="P492" s="381" t="s">
        <v>555</v>
      </c>
      <c r="Q492" s="382" t="s">
        <v>1302</v>
      </c>
    </row>
    <row r="493" spans="2:17" s="307" customFormat="1" ht="12.75">
      <c r="B493" s="384"/>
      <c r="C493" s="379"/>
      <c r="P493" s="381" t="s">
        <v>555</v>
      </c>
      <c r="Q493" s="382" t="s">
        <v>1303</v>
      </c>
    </row>
    <row r="494" spans="2:17" s="307" customFormat="1" ht="12.75">
      <c r="B494" s="384"/>
      <c r="C494" s="379"/>
      <c r="P494" s="381" t="s">
        <v>555</v>
      </c>
      <c r="Q494" s="382" t="s">
        <v>1304</v>
      </c>
    </row>
    <row r="495" spans="2:17" s="307" customFormat="1" ht="12.75">
      <c r="B495" s="384"/>
      <c r="C495" s="379"/>
      <c r="P495" s="381" t="s">
        <v>555</v>
      </c>
      <c r="Q495" s="382" t="s">
        <v>1305</v>
      </c>
    </row>
    <row r="496" spans="2:17" s="307" customFormat="1" ht="12.75">
      <c r="B496" s="384"/>
      <c r="C496" s="379"/>
      <c r="P496" s="381" t="s">
        <v>555</v>
      </c>
      <c r="Q496" s="382" t="s">
        <v>1306</v>
      </c>
    </row>
    <row r="497" spans="2:17" s="307" customFormat="1" ht="12.75">
      <c r="B497" s="384"/>
      <c r="C497" s="379"/>
      <c r="P497" s="381" t="s">
        <v>555</v>
      </c>
      <c r="Q497" s="382" t="s">
        <v>893</v>
      </c>
    </row>
    <row r="498" spans="2:17" s="307" customFormat="1" ht="12.75">
      <c r="B498" s="384"/>
      <c r="C498" s="379"/>
      <c r="P498" s="381" t="s">
        <v>555</v>
      </c>
      <c r="Q498" s="382" t="s">
        <v>894</v>
      </c>
    </row>
    <row r="499" spans="2:17" s="307" customFormat="1" ht="12.75">
      <c r="B499" s="384"/>
      <c r="C499" s="379"/>
      <c r="P499" s="381" t="s">
        <v>555</v>
      </c>
      <c r="Q499" s="382" t="s">
        <v>895</v>
      </c>
    </row>
    <row r="500" spans="2:17" s="307" customFormat="1" ht="12.75">
      <c r="B500" s="384"/>
      <c r="C500" s="379"/>
      <c r="P500" s="381" t="s">
        <v>555</v>
      </c>
      <c r="Q500" s="382" t="s">
        <v>896</v>
      </c>
    </row>
    <row r="501" spans="2:17" s="307" customFormat="1" ht="12.75">
      <c r="B501" s="384"/>
      <c r="C501" s="379"/>
      <c r="P501" s="381" t="s">
        <v>555</v>
      </c>
      <c r="Q501" s="382" t="s">
        <v>897</v>
      </c>
    </row>
    <row r="502" spans="2:17" s="307" customFormat="1" ht="12.75">
      <c r="B502" s="384"/>
      <c r="C502" s="379"/>
      <c r="P502" s="381" t="s">
        <v>354</v>
      </c>
      <c r="Q502" s="382" t="s">
        <v>825</v>
      </c>
    </row>
    <row r="503" spans="2:17" s="307" customFormat="1" ht="12.75">
      <c r="B503" s="384"/>
      <c r="C503" s="379"/>
      <c r="P503" s="381" t="s">
        <v>354</v>
      </c>
      <c r="Q503" s="382" t="s">
        <v>826</v>
      </c>
    </row>
    <row r="504" spans="2:17" s="307" customFormat="1" ht="12.75">
      <c r="B504" s="384"/>
      <c r="C504" s="379"/>
      <c r="P504" s="381" t="s">
        <v>906</v>
      </c>
      <c r="Q504" s="382" t="s">
        <v>831</v>
      </c>
    </row>
    <row r="505" spans="2:17" s="307" customFormat="1" ht="12.75">
      <c r="B505" s="384"/>
      <c r="C505" s="379"/>
      <c r="P505" s="381" t="s">
        <v>358</v>
      </c>
      <c r="Q505" s="382" t="s">
        <v>837</v>
      </c>
    </row>
    <row r="506" spans="2:17" s="307" customFormat="1" ht="12.75">
      <c r="B506" s="384"/>
      <c r="C506" s="379"/>
      <c r="P506" s="381" t="s">
        <v>358</v>
      </c>
      <c r="Q506" s="382" t="s">
        <v>838</v>
      </c>
    </row>
    <row r="507" spans="2:17" s="307" customFormat="1" ht="12.75">
      <c r="B507" s="384"/>
      <c r="C507" s="379"/>
      <c r="P507" s="381" t="s">
        <v>358</v>
      </c>
      <c r="Q507" s="382" t="s">
        <v>839</v>
      </c>
    </row>
    <row r="508" spans="2:17" s="307" customFormat="1" ht="12.75">
      <c r="B508" s="384"/>
      <c r="C508" s="379"/>
      <c r="P508" s="381" t="s">
        <v>358</v>
      </c>
      <c r="Q508" s="382" t="s">
        <v>840</v>
      </c>
    </row>
    <row r="509" spans="2:17" s="307" customFormat="1" ht="12.75">
      <c r="B509" s="384"/>
      <c r="C509" s="379"/>
      <c r="P509" s="381" t="s">
        <v>358</v>
      </c>
      <c r="Q509" s="382" t="s">
        <v>841</v>
      </c>
    </row>
    <row r="510" spans="2:17" s="307" customFormat="1" ht="12.75">
      <c r="B510" s="384"/>
      <c r="C510" s="379"/>
      <c r="P510" s="381" t="s">
        <v>451</v>
      </c>
      <c r="Q510" s="382" t="s">
        <v>1075</v>
      </c>
    </row>
    <row r="511" spans="2:17" s="307" customFormat="1" ht="12.75">
      <c r="B511" s="384"/>
      <c r="C511" s="379"/>
      <c r="P511" s="381" t="s">
        <v>435</v>
      </c>
      <c r="Q511" s="382" t="s">
        <v>1053</v>
      </c>
    </row>
    <row r="512" spans="2:17" s="307" customFormat="1" ht="12.75">
      <c r="B512" s="384"/>
      <c r="C512" s="379"/>
      <c r="P512" s="381" t="s">
        <v>241</v>
      </c>
      <c r="Q512" s="382" t="s">
        <v>636</v>
      </c>
    </row>
    <row r="513" spans="2:17" s="307" customFormat="1" ht="12.75">
      <c r="B513" s="384"/>
      <c r="C513" s="379"/>
      <c r="P513" s="381" t="s">
        <v>241</v>
      </c>
      <c r="Q513" s="382" t="s">
        <v>687</v>
      </c>
    </row>
    <row r="514" spans="2:17" s="307" customFormat="1" ht="12.75">
      <c r="B514" s="384"/>
      <c r="C514" s="379"/>
      <c r="P514" s="381" t="s">
        <v>241</v>
      </c>
      <c r="Q514" s="382" t="s">
        <v>710</v>
      </c>
    </row>
    <row r="515" spans="2:17" s="307" customFormat="1" ht="12.75">
      <c r="B515" s="384"/>
      <c r="C515" s="379"/>
      <c r="P515" s="381" t="s">
        <v>241</v>
      </c>
      <c r="Q515" s="382" t="s">
        <v>715</v>
      </c>
    </row>
    <row r="516" spans="2:17" s="307" customFormat="1" ht="12.75">
      <c r="B516" s="384"/>
      <c r="C516" s="379"/>
      <c r="P516" s="381" t="s">
        <v>241</v>
      </c>
      <c r="Q516" s="382" t="s">
        <v>757</v>
      </c>
    </row>
    <row r="517" spans="2:17" s="307" customFormat="1" ht="12.75">
      <c r="B517" s="384"/>
      <c r="C517" s="379"/>
      <c r="P517" s="381" t="s">
        <v>240</v>
      </c>
      <c r="Q517" s="382" t="s">
        <v>1054</v>
      </c>
    </row>
    <row r="518" spans="2:17" s="307" customFormat="1" ht="12.75">
      <c r="B518" s="384"/>
      <c r="C518" s="379"/>
      <c r="P518" s="381" t="s">
        <v>240</v>
      </c>
      <c r="Q518" s="382" t="s">
        <v>844</v>
      </c>
    </row>
    <row r="519" spans="2:17" s="307" customFormat="1" ht="12.75">
      <c r="B519" s="384"/>
      <c r="C519" s="379"/>
      <c r="P519" s="381" t="s">
        <v>240</v>
      </c>
      <c r="Q519" s="382" t="s">
        <v>1055</v>
      </c>
    </row>
    <row r="520" spans="2:17" s="307" customFormat="1" ht="12.75">
      <c r="B520" s="384"/>
      <c r="C520" s="379"/>
      <c r="P520" s="381" t="s">
        <v>240</v>
      </c>
      <c r="Q520" s="382" t="s">
        <v>1056</v>
      </c>
    </row>
    <row r="521" spans="2:17" s="307" customFormat="1" ht="12.75">
      <c r="B521" s="384"/>
      <c r="C521" s="379"/>
      <c r="P521" s="381" t="s">
        <v>240</v>
      </c>
      <c r="Q521" s="382" t="s">
        <v>845</v>
      </c>
    </row>
    <row r="522" spans="2:17" s="307" customFormat="1" ht="12.75">
      <c r="B522" s="384"/>
      <c r="C522" s="379"/>
      <c r="P522" s="381" t="s">
        <v>240</v>
      </c>
      <c r="Q522" s="382" t="s">
        <v>846</v>
      </c>
    </row>
    <row r="523" spans="2:17" s="307" customFormat="1" ht="12.75">
      <c r="B523" s="384"/>
      <c r="C523" s="379"/>
      <c r="P523" s="381" t="s">
        <v>240</v>
      </c>
      <c r="Q523" s="382" t="s">
        <v>1057</v>
      </c>
    </row>
    <row r="524" spans="2:17" s="307" customFormat="1" ht="12.75">
      <c r="B524" s="384"/>
      <c r="C524" s="379"/>
      <c r="P524" s="381" t="s">
        <v>240</v>
      </c>
      <c r="Q524" s="382" t="s">
        <v>1058</v>
      </c>
    </row>
    <row r="525" spans="2:17" s="307" customFormat="1" ht="12.75">
      <c r="B525" s="384"/>
      <c r="C525" s="379"/>
      <c r="P525" s="381" t="s">
        <v>240</v>
      </c>
      <c r="Q525" s="382" t="s">
        <v>1059</v>
      </c>
    </row>
    <row r="526" spans="2:17" s="307" customFormat="1" ht="12.75">
      <c r="B526" s="384"/>
      <c r="C526" s="379"/>
      <c r="P526" s="381" t="s">
        <v>240</v>
      </c>
      <c r="Q526" s="382" t="s">
        <v>1060</v>
      </c>
    </row>
    <row r="527" spans="2:17" s="307" customFormat="1" ht="12.75">
      <c r="B527" s="384"/>
      <c r="C527" s="379"/>
      <c r="P527" s="381" t="s">
        <v>240</v>
      </c>
      <c r="Q527" s="382" t="s">
        <v>847</v>
      </c>
    </row>
    <row r="528" spans="2:17" s="307" customFormat="1" ht="12.75">
      <c r="B528" s="384"/>
      <c r="C528" s="379"/>
      <c r="P528" s="381" t="s">
        <v>240</v>
      </c>
      <c r="Q528" s="382" t="s">
        <v>1061</v>
      </c>
    </row>
    <row r="529" spans="2:17" s="307" customFormat="1" ht="12.75">
      <c r="B529" s="384"/>
      <c r="C529" s="379"/>
      <c r="P529" s="381" t="s">
        <v>240</v>
      </c>
      <c r="Q529" s="382" t="s">
        <v>848</v>
      </c>
    </row>
    <row r="530" spans="2:17" s="307" customFormat="1" ht="12.75">
      <c r="B530" s="384"/>
      <c r="C530" s="379"/>
      <c r="P530" s="381" t="s">
        <v>240</v>
      </c>
      <c r="Q530" s="382" t="s">
        <v>849</v>
      </c>
    </row>
    <row r="531" spans="2:17" s="307" customFormat="1" ht="12.75">
      <c r="B531" s="384"/>
      <c r="C531" s="379"/>
      <c r="P531" s="381" t="s">
        <v>240</v>
      </c>
      <c r="Q531" s="382" t="s">
        <v>1062</v>
      </c>
    </row>
    <row r="532" spans="2:17" s="307" customFormat="1" ht="12.75">
      <c r="B532" s="384"/>
      <c r="C532" s="379"/>
      <c r="P532" s="381" t="s">
        <v>240</v>
      </c>
      <c r="Q532" s="382" t="s">
        <v>1063</v>
      </c>
    </row>
    <row r="533" spans="2:17" s="307" customFormat="1" ht="12.75">
      <c r="B533" s="384"/>
      <c r="C533" s="379"/>
      <c r="P533" s="381" t="s">
        <v>240</v>
      </c>
      <c r="Q533" s="382" t="s">
        <v>850</v>
      </c>
    </row>
    <row r="534" spans="2:17" s="307" customFormat="1" ht="12.75">
      <c r="B534" s="384"/>
      <c r="C534" s="379"/>
      <c r="P534" s="381" t="s">
        <v>240</v>
      </c>
      <c r="Q534" s="382" t="s">
        <v>1064</v>
      </c>
    </row>
    <row r="535" spans="2:17" s="307" customFormat="1" ht="12.75">
      <c r="B535" s="384"/>
      <c r="C535" s="379"/>
      <c r="P535" s="381" t="s">
        <v>240</v>
      </c>
      <c r="Q535" s="382" t="s">
        <v>1065</v>
      </c>
    </row>
    <row r="536" spans="2:17" s="307" customFormat="1" ht="12.75">
      <c r="B536" s="384"/>
      <c r="C536" s="379"/>
      <c r="P536" s="381" t="s">
        <v>240</v>
      </c>
      <c r="Q536" s="382" t="s">
        <v>1066</v>
      </c>
    </row>
    <row r="537" spans="2:17" s="307" customFormat="1" ht="12.75">
      <c r="B537" s="384"/>
      <c r="C537" s="379"/>
      <c r="P537" s="381" t="s">
        <v>240</v>
      </c>
      <c r="Q537" s="382" t="s">
        <v>1067</v>
      </c>
    </row>
    <row r="538" spans="2:17" s="307" customFormat="1" ht="12.75">
      <c r="B538" s="384"/>
      <c r="C538" s="379"/>
      <c r="P538" s="381" t="s">
        <v>240</v>
      </c>
      <c r="Q538" s="382" t="s">
        <v>1068</v>
      </c>
    </row>
    <row r="539" spans="2:17" s="307" customFormat="1" ht="12.75">
      <c r="B539" s="384"/>
      <c r="C539" s="379"/>
      <c r="P539" s="381" t="s">
        <v>240</v>
      </c>
      <c r="Q539" s="382" t="s">
        <v>851</v>
      </c>
    </row>
    <row r="540" spans="2:17" s="307" customFormat="1" ht="12.75">
      <c r="B540" s="384"/>
      <c r="C540" s="379"/>
      <c r="P540" s="381" t="s">
        <v>240</v>
      </c>
      <c r="Q540" s="382" t="s">
        <v>1069</v>
      </c>
    </row>
    <row r="541" spans="2:17" s="307" customFormat="1" ht="12.75">
      <c r="B541" s="384"/>
      <c r="C541" s="379"/>
      <c r="P541" s="381" t="s">
        <v>240</v>
      </c>
      <c r="Q541" s="382" t="s">
        <v>1070</v>
      </c>
    </row>
    <row r="542" spans="2:17" s="307" customFormat="1" ht="12.75">
      <c r="B542" s="384"/>
      <c r="C542" s="379"/>
      <c r="P542" s="381" t="s">
        <v>240</v>
      </c>
      <c r="Q542" s="382" t="s">
        <v>852</v>
      </c>
    </row>
    <row r="543" spans="2:17" s="307" customFormat="1" ht="12.75">
      <c r="B543" s="384"/>
      <c r="C543" s="379"/>
      <c r="P543" s="381" t="s">
        <v>240</v>
      </c>
      <c r="Q543" s="382" t="s">
        <v>1071</v>
      </c>
    </row>
    <row r="544" spans="2:17" s="307" customFormat="1" ht="12.75">
      <c r="B544" s="384"/>
      <c r="C544" s="379"/>
      <c r="P544" s="381" t="s">
        <v>240</v>
      </c>
      <c r="Q544" s="382" t="s">
        <v>1087</v>
      </c>
    </row>
    <row r="545" spans="2:17" s="307" customFormat="1" ht="12.75">
      <c r="B545" s="384"/>
      <c r="C545" s="379"/>
      <c r="P545" s="381" t="s">
        <v>240</v>
      </c>
      <c r="Q545" s="382" t="s">
        <v>1088</v>
      </c>
    </row>
    <row r="546" spans="2:17" s="307" customFormat="1" ht="12.75">
      <c r="B546" s="384"/>
      <c r="C546" s="379"/>
      <c r="P546" s="381" t="s">
        <v>240</v>
      </c>
      <c r="Q546" s="382" t="s">
        <v>1089</v>
      </c>
    </row>
    <row r="547" spans="2:17" s="307" customFormat="1" ht="12.75">
      <c r="B547" s="384"/>
      <c r="C547" s="379"/>
      <c r="P547" s="381" t="s">
        <v>240</v>
      </c>
      <c r="Q547" s="382" t="s">
        <v>1090</v>
      </c>
    </row>
    <row r="548" spans="2:17" s="307" customFormat="1" ht="12.75">
      <c r="B548" s="384"/>
      <c r="C548" s="379"/>
      <c r="P548" s="381" t="s">
        <v>240</v>
      </c>
      <c r="Q548" s="382" t="s">
        <v>1091</v>
      </c>
    </row>
    <row r="549" spans="2:17" s="307" customFormat="1" ht="12.75">
      <c r="B549" s="384"/>
      <c r="C549" s="379"/>
      <c r="P549" s="381" t="s">
        <v>240</v>
      </c>
      <c r="Q549" s="382" t="s">
        <v>1092</v>
      </c>
    </row>
    <row r="550" spans="2:17" s="307" customFormat="1" ht="12.75">
      <c r="B550" s="384"/>
      <c r="C550" s="379"/>
      <c r="P550" s="381" t="s">
        <v>240</v>
      </c>
      <c r="Q550" s="382" t="s">
        <v>1093</v>
      </c>
    </row>
    <row r="551" spans="2:17" s="307" customFormat="1" ht="12.75">
      <c r="B551" s="384"/>
      <c r="C551" s="379"/>
      <c r="P551" s="381" t="s">
        <v>240</v>
      </c>
      <c r="Q551" s="382" t="s">
        <v>1094</v>
      </c>
    </row>
    <row r="552" spans="2:17" s="307" customFormat="1" ht="12.75">
      <c r="B552" s="384"/>
      <c r="C552" s="379"/>
      <c r="P552" s="381" t="s">
        <v>240</v>
      </c>
      <c r="Q552" s="382" t="s">
        <v>1095</v>
      </c>
    </row>
    <row r="553" spans="2:17" s="307" customFormat="1" ht="12.75">
      <c r="B553" s="384"/>
      <c r="C553" s="379"/>
      <c r="P553" s="381" t="s">
        <v>240</v>
      </c>
      <c r="Q553" s="382" t="s">
        <v>1096</v>
      </c>
    </row>
    <row r="554" spans="2:17" s="307" customFormat="1" ht="12.75">
      <c r="B554" s="384"/>
      <c r="C554" s="379"/>
      <c r="P554" s="381" t="s">
        <v>240</v>
      </c>
      <c r="Q554" s="382" t="s">
        <v>1097</v>
      </c>
    </row>
    <row r="555" spans="2:17" s="307" customFormat="1" ht="12.75">
      <c r="B555" s="384"/>
      <c r="C555" s="379"/>
      <c r="P555" s="381" t="s">
        <v>240</v>
      </c>
      <c r="Q555" s="382" t="s">
        <v>1098</v>
      </c>
    </row>
    <row r="556" spans="2:17" s="307" customFormat="1" ht="12.75">
      <c r="B556" s="384"/>
      <c r="C556" s="379"/>
      <c r="P556" s="381" t="s">
        <v>240</v>
      </c>
      <c r="Q556" s="382" t="s">
        <v>1099</v>
      </c>
    </row>
    <row r="557" spans="2:17" s="307" customFormat="1" ht="12.75">
      <c r="B557" s="384"/>
      <c r="C557" s="379"/>
      <c r="P557" s="381" t="s">
        <v>240</v>
      </c>
      <c r="Q557" s="382" t="s">
        <v>1100</v>
      </c>
    </row>
    <row r="558" spans="2:17" s="307" customFormat="1" ht="12.75">
      <c r="B558" s="384"/>
      <c r="C558" s="379"/>
      <c r="P558" s="381" t="s">
        <v>240</v>
      </c>
      <c r="Q558" s="382" t="s">
        <v>1101</v>
      </c>
    </row>
    <row r="559" spans="2:17" s="307" customFormat="1" ht="12.75">
      <c r="B559" s="384"/>
      <c r="C559" s="379"/>
      <c r="P559" s="381" t="s">
        <v>240</v>
      </c>
      <c r="Q559" s="382" t="s">
        <v>1102</v>
      </c>
    </row>
    <row r="560" spans="2:17" s="307" customFormat="1" ht="12.75">
      <c r="B560" s="384"/>
      <c r="C560" s="379"/>
      <c r="P560" s="381" t="s">
        <v>240</v>
      </c>
      <c r="Q560" s="382" t="s">
        <v>1103</v>
      </c>
    </row>
    <row r="561" spans="2:17" s="307" customFormat="1" ht="12.75">
      <c r="B561" s="384"/>
      <c r="C561" s="379"/>
      <c r="P561" s="381" t="s">
        <v>240</v>
      </c>
      <c r="Q561" s="382" t="s">
        <v>1104</v>
      </c>
    </row>
    <row r="562" spans="2:17" s="307" customFormat="1" ht="12.75">
      <c r="B562" s="384"/>
      <c r="C562" s="379"/>
      <c r="P562" s="381" t="s">
        <v>240</v>
      </c>
      <c r="Q562" s="382" t="s">
        <v>1105</v>
      </c>
    </row>
    <row r="563" spans="2:17" s="307" customFormat="1" ht="12.75">
      <c r="B563" s="384"/>
      <c r="C563" s="379"/>
      <c r="P563" s="381" t="s">
        <v>240</v>
      </c>
      <c r="Q563" s="382" t="s">
        <v>1106</v>
      </c>
    </row>
    <row r="564" spans="2:17" s="307" customFormat="1" ht="12.75">
      <c r="B564" s="384"/>
      <c r="C564" s="379"/>
      <c r="P564" s="381" t="s">
        <v>240</v>
      </c>
      <c r="Q564" s="382" t="s">
        <v>1107</v>
      </c>
    </row>
    <row r="565" spans="2:17" s="307" customFormat="1" ht="12.75">
      <c r="B565" s="384"/>
      <c r="C565" s="379"/>
      <c r="P565" s="381" t="s">
        <v>240</v>
      </c>
      <c r="Q565" s="382" t="s">
        <v>1108</v>
      </c>
    </row>
    <row r="566" spans="2:17" s="307" customFormat="1" ht="12.75">
      <c r="B566" s="384"/>
      <c r="C566" s="379"/>
      <c r="P566" s="381" t="s">
        <v>240</v>
      </c>
      <c r="Q566" s="382" t="s">
        <v>1109</v>
      </c>
    </row>
    <row r="567" spans="2:17" s="307" customFormat="1" ht="12.75">
      <c r="B567" s="384"/>
      <c r="C567" s="379"/>
      <c r="P567" s="381" t="s">
        <v>240</v>
      </c>
      <c r="Q567" s="382" t="s">
        <v>1110</v>
      </c>
    </row>
    <row r="568" spans="2:17" s="307" customFormat="1" ht="12.75">
      <c r="B568" s="384"/>
      <c r="C568" s="379"/>
      <c r="P568" s="381" t="s">
        <v>240</v>
      </c>
      <c r="Q568" s="382" t="s">
        <v>1111</v>
      </c>
    </row>
    <row r="569" spans="2:17" s="307" customFormat="1" ht="12.75">
      <c r="B569" s="384"/>
      <c r="C569" s="379"/>
      <c r="P569" s="381" t="s">
        <v>240</v>
      </c>
      <c r="Q569" s="382" t="s">
        <v>1112</v>
      </c>
    </row>
    <row r="570" spans="2:17" s="307" customFormat="1" ht="12.75">
      <c r="B570" s="384"/>
      <c r="C570" s="379"/>
      <c r="P570" s="381" t="s">
        <v>240</v>
      </c>
      <c r="Q570" s="382" t="s">
        <v>1113</v>
      </c>
    </row>
    <row r="571" spans="2:17" s="307" customFormat="1" ht="12.75">
      <c r="B571" s="384"/>
      <c r="C571" s="379"/>
      <c r="P571" s="381" t="s">
        <v>436</v>
      </c>
      <c r="Q571" s="382" t="s">
        <v>613</v>
      </c>
    </row>
    <row r="572" spans="2:17" s="307" customFormat="1" ht="12.75">
      <c r="B572" s="384"/>
      <c r="C572" s="379"/>
      <c r="P572" s="381" t="e">
        <v>#N/A</v>
      </c>
      <c r="Q572" s="382" t="s">
        <v>140</v>
      </c>
    </row>
    <row r="573" spans="2:17" s="307" customFormat="1" ht="12.75">
      <c r="B573" s="384"/>
      <c r="C573" s="379"/>
      <c r="P573" s="381" t="s">
        <v>359</v>
      </c>
      <c r="Q573" s="382" t="s">
        <v>604</v>
      </c>
    </row>
    <row r="574" spans="2:17" s="307" customFormat="1" ht="12.75">
      <c r="B574" s="384"/>
      <c r="C574" s="379"/>
      <c r="P574" s="381" t="s">
        <v>359</v>
      </c>
      <c r="Q574" s="382" t="s">
        <v>907</v>
      </c>
    </row>
    <row r="575" spans="2:17" s="307" customFormat="1" ht="12.75">
      <c r="B575" s="384"/>
      <c r="C575" s="379"/>
      <c r="P575" s="381" t="s">
        <v>360</v>
      </c>
      <c r="Q575" s="382" t="s">
        <v>637</v>
      </c>
    </row>
    <row r="576" spans="2:17" s="307" customFormat="1" ht="12.75">
      <c r="B576" s="384"/>
      <c r="C576" s="379"/>
      <c r="P576" s="381" t="s">
        <v>360</v>
      </c>
      <c r="Q576" s="382" t="s">
        <v>646</v>
      </c>
    </row>
    <row r="577" spans="2:17" s="307" customFormat="1" ht="12.75">
      <c r="B577" s="384"/>
      <c r="C577" s="379"/>
      <c r="P577" s="381" t="s">
        <v>360</v>
      </c>
      <c r="Q577" s="382" t="s">
        <v>730</v>
      </c>
    </row>
    <row r="578" spans="2:17" s="307" customFormat="1" ht="12.75">
      <c r="B578" s="384"/>
      <c r="C578" s="379"/>
      <c r="P578" s="381" t="s">
        <v>242</v>
      </c>
      <c r="Q578" s="382" t="s">
        <v>606</v>
      </c>
    </row>
    <row r="579" spans="2:17" s="307" customFormat="1" ht="12.75">
      <c r="B579" s="384"/>
      <c r="C579" s="379"/>
      <c r="P579" s="381" t="s">
        <v>242</v>
      </c>
      <c r="Q579" s="382" t="s">
        <v>242</v>
      </c>
    </row>
    <row r="580" spans="2:17" s="307" customFormat="1" ht="12.75">
      <c r="B580" s="384"/>
      <c r="C580" s="379"/>
      <c r="P580" s="381" t="s">
        <v>437</v>
      </c>
      <c r="Q580" s="382" t="s">
        <v>1073</v>
      </c>
    </row>
    <row r="581" spans="2:17" s="307" customFormat="1" ht="12.75">
      <c r="B581" s="384"/>
      <c r="C581" s="379"/>
      <c r="P581" s="381" t="s">
        <v>1140</v>
      </c>
      <c r="Q581" s="382" t="s">
        <v>608</v>
      </c>
    </row>
    <row r="582" spans="2:17" s="307" customFormat="1" ht="12.75">
      <c r="B582" s="384"/>
      <c r="C582" s="379"/>
      <c r="P582" s="381" t="s">
        <v>438</v>
      </c>
      <c r="Q582" s="382" t="s">
        <v>1074</v>
      </c>
    </row>
    <row r="583" spans="2:17" s="307" customFormat="1" ht="12.75">
      <c r="B583" s="384"/>
      <c r="C583" s="379"/>
      <c r="P583" s="381" t="s">
        <v>439</v>
      </c>
      <c r="Q583" s="382" t="s">
        <v>1075</v>
      </c>
    </row>
    <row r="584" spans="2:17" s="307" customFormat="1" ht="12.75">
      <c r="B584" s="384"/>
      <c r="C584" s="379"/>
      <c r="P584" s="381" t="s">
        <v>440</v>
      </c>
      <c r="Q584" s="382" t="s">
        <v>1076</v>
      </c>
    </row>
    <row r="585" spans="2:17" s="307" customFormat="1" ht="12.75">
      <c r="B585" s="384"/>
      <c r="C585" s="379"/>
      <c r="P585" s="381" t="s">
        <v>783</v>
      </c>
      <c r="Q585" s="382" t="s">
        <v>1052</v>
      </c>
    </row>
    <row r="586" spans="2:17" s="307" customFormat="1" ht="12.75">
      <c r="B586" s="384"/>
      <c r="C586" s="379"/>
      <c r="P586" s="381" t="s">
        <v>441</v>
      </c>
      <c r="Q586" s="382" t="s">
        <v>1050</v>
      </c>
    </row>
    <row r="587" spans="2:17" s="307" customFormat="1" ht="12.75">
      <c r="B587" s="384"/>
      <c r="C587" s="379"/>
      <c r="P587" s="381" t="s">
        <v>361</v>
      </c>
      <c r="Q587" s="382" t="s">
        <v>608</v>
      </c>
    </row>
    <row r="588" spans="2:17" s="307" customFormat="1" ht="12.75">
      <c r="B588" s="384"/>
      <c r="C588" s="379"/>
      <c r="P588" s="381" t="s">
        <v>361</v>
      </c>
      <c r="Q588" s="382" t="s">
        <v>908</v>
      </c>
    </row>
    <row r="589" spans="2:17" s="307" customFormat="1" ht="12.75">
      <c r="B589" s="384"/>
      <c r="C589" s="379"/>
      <c r="P589" s="381" t="s">
        <v>361</v>
      </c>
      <c r="Q589" s="382" t="s">
        <v>909</v>
      </c>
    </row>
    <row r="590" spans="2:17" s="307" customFormat="1" ht="12.75">
      <c r="B590" s="384"/>
      <c r="C590" s="379"/>
      <c r="P590" s="381" t="s">
        <v>813</v>
      </c>
      <c r="Q590" s="382" t="s">
        <v>1050</v>
      </c>
    </row>
    <row r="591" spans="2:17" s="307" customFormat="1" ht="12.75">
      <c r="B591" s="384"/>
      <c r="C591" s="379"/>
      <c r="P591" s="381" t="s">
        <v>910</v>
      </c>
      <c r="Q591" s="382" t="s">
        <v>911</v>
      </c>
    </row>
    <row r="592" spans="2:17" s="307" customFormat="1" ht="12.75">
      <c r="B592" s="384"/>
      <c r="C592" s="379"/>
      <c r="P592" s="381" t="e">
        <v>#N/A</v>
      </c>
      <c r="Q592" s="382" t="s">
        <v>912</v>
      </c>
    </row>
    <row r="593" spans="2:17" s="307" customFormat="1" ht="12.75">
      <c r="B593" s="384"/>
      <c r="C593" s="379"/>
      <c r="P593" s="381" t="s">
        <v>362</v>
      </c>
      <c r="Q593" s="382" t="s">
        <v>912</v>
      </c>
    </row>
    <row r="594" spans="2:17" s="307" customFormat="1" ht="12.75">
      <c r="B594" s="384"/>
      <c r="C594" s="379"/>
      <c r="P594" s="381" t="s">
        <v>363</v>
      </c>
      <c r="Q594" s="382" t="s">
        <v>601</v>
      </c>
    </row>
    <row r="595" spans="2:17" s="307" customFormat="1" ht="12.75">
      <c r="B595" s="384"/>
      <c r="C595" s="379"/>
      <c r="P595" s="381" t="s">
        <v>442</v>
      </c>
      <c r="Q595" s="382" t="s">
        <v>1075</v>
      </c>
    </row>
    <row r="596" spans="2:17" s="307" customFormat="1" ht="12.75">
      <c r="B596" s="384"/>
      <c r="C596" s="379"/>
      <c r="P596" s="381" t="s">
        <v>443</v>
      </c>
      <c r="Q596" s="382" t="s">
        <v>1078</v>
      </c>
    </row>
    <row r="597" spans="2:17" s="307" customFormat="1" ht="12.75">
      <c r="B597" s="384"/>
      <c r="C597" s="379"/>
      <c r="P597" s="381" t="s">
        <v>364</v>
      </c>
      <c r="Q597" s="382" t="s">
        <v>1147</v>
      </c>
    </row>
    <row r="598" spans="2:17" s="307" customFormat="1" ht="12.75">
      <c r="B598" s="384"/>
      <c r="C598" s="379"/>
      <c r="P598" s="381" t="s">
        <v>364</v>
      </c>
      <c r="Q598" s="382" t="s">
        <v>913</v>
      </c>
    </row>
    <row r="599" spans="2:17" s="307" customFormat="1" ht="12.75">
      <c r="B599" s="384"/>
      <c r="C599" s="379"/>
      <c r="P599" s="381" t="s">
        <v>364</v>
      </c>
      <c r="Q599" s="382" t="s">
        <v>914</v>
      </c>
    </row>
    <row r="600" spans="2:17" s="307" customFormat="1" ht="12.75">
      <c r="B600" s="384"/>
      <c r="C600" s="379"/>
      <c r="P600" s="381" t="s">
        <v>364</v>
      </c>
      <c r="Q600" s="382" t="s">
        <v>915</v>
      </c>
    </row>
    <row r="601" spans="2:17" s="307" customFormat="1" ht="12.75">
      <c r="B601" s="384"/>
      <c r="C601" s="379"/>
      <c r="P601" s="381" t="s">
        <v>364</v>
      </c>
      <c r="Q601" s="382" t="s">
        <v>916</v>
      </c>
    </row>
    <row r="602" spans="2:17" s="307" customFormat="1" ht="12.75">
      <c r="B602" s="384"/>
      <c r="C602" s="379"/>
      <c r="P602" s="381" t="s">
        <v>364</v>
      </c>
      <c r="Q602" s="382" t="s">
        <v>917</v>
      </c>
    </row>
    <row r="603" spans="2:17" s="307" customFormat="1" ht="12.75">
      <c r="B603" s="384"/>
      <c r="C603" s="379"/>
      <c r="P603" s="381" t="s">
        <v>364</v>
      </c>
      <c r="Q603" s="382" t="s">
        <v>918</v>
      </c>
    </row>
    <row r="604" spans="2:17" s="307" customFormat="1" ht="12.75">
      <c r="B604" s="384"/>
      <c r="C604" s="379"/>
      <c r="P604" s="387" t="s">
        <v>364</v>
      </c>
      <c r="Q604" s="382" t="s">
        <v>919</v>
      </c>
    </row>
    <row r="605" spans="2:17" s="307" customFormat="1" ht="12.75">
      <c r="B605" s="384"/>
      <c r="C605" s="379"/>
      <c r="P605" s="381" t="s">
        <v>364</v>
      </c>
      <c r="Q605" s="382" t="s">
        <v>920</v>
      </c>
    </row>
    <row r="606" spans="2:17" s="307" customFormat="1" ht="12.75">
      <c r="B606" s="384"/>
      <c r="C606" s="379"/>
      <c r="P606" s="381" t="s">
        <v>364</v>
      </c>
      <c r="Q606" s="382" t="s">
        <v>921</v>
      </c>
    </row>
    <row r="607" spans="2:17" s="307" customFormat="1" ht="12.75">
      <c r="B607" s="384"/>
      <c r="C607" s="379"/>
      <c r="P607" s="381" t="s">
        <v>364</v>
      </c>
      <c r="Q607" s="382" t="s">
        <v>922</v>
      </c>
    </row>
    <row r="608" spans="2:17" s="307" customFormat="1" ht="12.75">
      <c r="B608" s="384"/>
      <c r="C608" s="379"/>
      <c r="P608" s="381" t="s">
        <v>364</v>
      </c>
      <c r="Q608" s="382" t="s">
        <v>609</v>
      </c>
    </row>
    <row r="609" spans="2:17" s="307" customFormat="1" ht="12.75">
      <c r="B609" s="384"/>
      <c r="C609" s="379"/>
      <c r="P609" s="381" t="s">
        <v>364</v>
      </c>
      <c r="Q609" s="382" t="s">
        <v>641</v>
      </c>
    </row>
    <row r="610" spans="2:17" s="307" customFormat="1" ht="12.75">
      <c r="B610" s="384"/>
      <c r="C610" s="379"/>
      <c r="P610" s="381" t="s">
        <v>364</v>
      </c>
      <c r="Q610" s="382" t="s">
        <v>1148</v>
      </c>
    </row>
    <row r="611" spans="2:17" s="307" customFormat="1" ht="12.75">
      <c r="B611" s="384"/>
      <c r="C611" s="379"/>
      <c r="P611" s="381" t="s">
        <v>444</v>
      </c>
      <c r="Q611" s="382" t="s">
        <v>1079</v>
      </c>
    </row>
    <row r="612" spans="2:17" s="307" customFormat="1" ht="12.75">
      <c r="B612" s="384"/>
      <c r="C612" s="379"/>
      <c r="P612" s="381" t="s">
        <v>556</v>
      </c>
      <c r="Q612" s="382" t="s">
        <v>1307</v>
      </c>
    </row>
    <row r="613" spans="2:17" s="307" customFormat="1" ht="12.75">
      <c r="B613" s="384"/>
      <c r="C613" s="379"/>
      <c r="P613" s="381" t="s">
        <v>556</v>
      </c>
      <c r="Q613" s="382" t="s">
        <v>1308</v>
      </c>
    </row>
    <row r="614" spans="2:17" s="307" customFormat="1" ht="12.75">
      <c r="B614" s="384"/>
      <c r="C614" s="379"/>
      <c r="P614" s="381" t="s">
        <v>556</v>
      </c>
      <c r="Q614" s="382" t="s">
        <v>1309</v>
      </c>
    </row>
    <row r="615" spans="2:17" s="307" customFormat="1" ht="12.75">
      <c r="B615" s="384"/>
      <c r="C615" s="379"/>
      <c r="P615" s="381" t="s">
        <v>556</v>
      </c>
      <c r="Q615" s="382" t="s">
        <v>1310</v>
      </c>
    </row>
    <row r="616" spans="2:17" s="307" customFormat="1" ht="12.75">
      <c r="B616" s="384"/>
      <c r="C616" s="379"/>
      <c r="P616" s="381" t="s">
        <v>556</v>
      </c>
      <c r="Q616" s="382" t="s">
        <v>1311</v>
      </c>
    </row>
    <row r="617" spans="2:17" s="307" customFormat="1" ht="12.75">
      <c r="B617" s="384"/>
      <c r="C617" s="379"/>
      <c r="P617" s="381" t="s">
        <v>556</v>
      </c>
      <c r="Q617" s="382" t="s">
        <v>1312</v>
      </c>
    </row>
    <row r="618" spans="2:17" s="307" customFormat="1" ht="12.75">
      <c r="B618" s="384"/>
      <c r="C618" s="379"/>
      <c r="P618" s="381" t="s">
        <v>556</v>
      </c>
      <c r="Q618" s="382" t="s">
        <v>1313</v>
      </c>
    </row>
    <row r="619" spans="2:17" s="307" customFormat="1" ht="12.75">
      <c r="B619" s="384"/>
      <c r="C619" s="379"/>
      <c r="P619" s="381" t="s">
        <v>556</v>
      </c>
      <c r="Q619" s="382" t="s">
        <v>1314</v>
      </c>
    </row>
    <row r="620" spans="2:17" s="307" customFormat="1" ht="12.75">
      <c r="B620" s="384"/>
      <c r="C620" s="379"/>
      <c r="P620" s="381" t="s">
        <v>556</v>
      </c>
      <c r="Q620" s="382" t="s">
        <v>1315</v>
      </c>
    </row>
    <row r="621" spans="2:17" s="307" customFormat="1" ht="12.75">
      <c r="B621" s="384"/>
      <c r="C621" s="379"/>
      <c r="P621" s="381" t="s">
        <v>556</v>
      </c>
      <c r="Q621" s="382" t="s">
        <v>1316</v>
      </c>
    </row>
    <row r="622" spans="2:17" s="307" customFormat="1" ht="12.75">
      <c r="B622" s="384"/>
      <c r="C622" s="379"/>
      <c r="P622" s="381" t="s">
        <v>556</v>
      </c>
      <c r="Q622" s="382" t="s">
        <v>1317</v>
      </c>
    </row>
    <row r="623" spans="2:17" s="307" customFormat="1" ht="12.75">
      <c r="B623" s="384"/>
      <c r="C623" s="379"/>
      <c r="P623" s="381" t="s">
        <v>556</v>
      </c>
      <c r="Q623" s="382" t="s">
        <v>1318</v>
      </c>
    </row>
    <row r="624" spans="2:17" s="307" customFormat="1" ht="12.75">
      <c r="B624" s="384"/>
      <c r="C624" s="379"/>
      <c r="P624" s="381" t="s">
        <v>556</v>
      </c>
      <c r="Q624" s="382" t="s">
        <v>1319</v>
      </c>
    </row>
    <row r="625" spans="2:17" s="307" customFormat="1" ht="12.75">
      <c r="B625" s="384"/>
      <c r="C625" s="379"/>
      <c r="P625" s="381" t="s">
        <v>556</v>
      </c>
      <c r="Q625" s="382" t="s">
        <v>1320</v>
      </c>
    </row>
    <row r="626" spans="2:17" s="307" customFormat="1" ht="12.75">
      <c r="B626" s="384"/>
      <c r="C626" s="379"/>
      <c r="P626" s="381" t="s">
        <v>556</v>
      </c>
      <c r="Q626" s="382" t="s">
        <v>1321</v>
      </c>
    </row>
    <row r="627" spans="2:17" s="307" customFormat="1" ht="12.75">
      <c r="B627" s="384"/>
      <c r="C627" s="379"/>
      <c r="P627" s="381" t="s">
        <v>556</v>
      </c>
      <c r="Q627" s="382" t="s">
        <v>1322</v>
      </c>
    </row>
    <row r="628" spans="2:17" s="307" customFormat="1" ht="12.75">
      <c r="B628" s="384"/>
      <c r="C628" s="379"/>
      <c r="P628" s="381" t="s">
        <v>556</v>
      </c>
      <c r="Q628" s="382" t="s">
        <v>1323</v>
      </c>
    </row>
    <row r="629" spans="2:17" s="307" customFormat="1" ht="12.75">
      <c r="B629" s="384"/>
      <c r="C629" s="379"/>
      <c r="P629" s="381" t="s">
        <v>556</v>
      </c>
      <c r="Q629" s="382" t="s">
        <v>1324</v>
      </c>
    </row>
    <row r="630" spans="2:17" s="307" customFormat="1" ht="12.75">
      <c r="B630" s="384"/>
      <c r="C630" s="379"/>
      <c r="P630" s="381" t="s">
        <v>556</v>
      </c>
      <c r="Q630" s="382" t="s">
        <v>1325</v>
      </c>
    </row>
    <row r="631" spans="2:17" s="307" customFormat="1" ht="12.75">
      <c r="B631" s="384"/>
      <c r="C631" s="379"/>
      <c r="P631" s="381" t="s">
        <v>556</v>
      </c>
      <c r="Q631" s="382" t="s">
        <v>1326</v>
      </c>
    </row>
    <row r="632" spans="2:17" s="307" customFormat="1" ht="12.75">
      <c r="B632" s="384"/>
      <c r="C632" s="379"/>
      <c r="P632" s="381" t="s">
        <v>556</v>
      </c>
      <c r="Q632" s="382" t="s">
        <v>1327</v>
      </c>
    </row>
    <row r="633" spans="2:17" s="307" customFormat="1" ht="12.75">
      <c r="B633" s="384"/>
      <c r="C633" s="379"/>
      <c r="P633" s="381" t="s">
        <v>556</v>
      </c>
      <c r="Q633" s="382" t="s">
        <v>1328</v>
      </c>
    </row>
    <row r="634" spans="2:17" s="307" customFormat="1" ht="12.75">
      <c r="B634" s="384"/>
      <c r="C634" s="379"/>
      <c r="P634" s="381" t="s">
        <v>556</v>
      </c>
      <c r="Q634" s="382" t="s">
        <v>923</v>
      </c>
    </row>
    <row r="635" spans="2:17" s="307" customFormat="1" ht="12.75">
      <c r="B635" s="384"/>
      <c r="C635" s="379"/>
      <c r="P635" s="381" t="s">
        <v>556</v>
      </c>
      <c r="Q635" s="382" t="s">
        <v>924</v>
      </c>
    </row>
    <row r="636" spans="2:17" s="307" customFormat="1" ht="12.75">
      <c r="B636" s="384"/>
      <c r="C636" s="379"/>
      <c r="P636" s="381" t="s">
        <v>445</v>
      </c>
      <c r="Q636" s="382" t="s">
        <v>1080</v>
      </c>
    </row>
    <row r="637" spans="2:17" s="307" customFormat="1" ht="12.75">
      <c r="B637" s="384"/>
      <c r="C637" s="379"/>
      <c r="P637" s="381" t="s">
        <v>446</v>
      </c>
      <c r="Q637" s="382" t="s">
        <v>1084</v>
      </c>
    </row>
    <row r="638" spans="2:17" s="307" customFormat="1" ht="12.75">
      <c r="B638" s="384"/>
      <c r="C638" s="379"/>
      <c r="P638" s="381" t="s">
        <v>784</v>
      </c>
      <c r="Q638" s="382" t="s">
        <v>621</v>
      </c>
    </row>
    <row r="639" spans="2:17" s="307" customFormat="1" ht="12.75">
      <c r="B639" s="384"/>
      <c r="C639" s="379"/>
      <c r="P639" s="381" t="s">
        <v>784</v>
      </c>
      <c r="Q639" s="382" t="s">
        <v>633</v>
      </c>
    </row>
    <row r="640" spans="2:17" s="307" customFormat="1" ht="12.75">
      <c r="B640" s="384"/>
      <c r="C640" s="379"/>
      <c r="P640" s="381" t="s">
        <v>243</v>
      </c>
      <c r="Q640" s="382" t="s">
        <v>616</v>
      </c>
    </row>
    <row r="641" spans="2:17" s="307" customFormat="1" ht="12.75">
      <c r="B641" s="384"/>
      <c r="C641" s="379"/>
      <c r="P641" s="381" t="s">
        <v>243</v>
      </c>
      <c r="Q641" s="382" t="s">
        <v>618</v>
      </c>
    </row>
    <row r="642" spans="2:17" s="307" customFormat="1" ht="12.75">
      <c r="B642" s="384"/>
      <c r="C642" s="379"/>
      <c r="P642" s="381" t="s">
        <v>243</v>
      </c>
      <c r="Q642" s="382" t="s">
        <v>623</v>
      </c>
    </row>
    <row r="643" spans="2:17" s="307" customFormat="1" ht="12.75">
      <c r="B643" s="384"/>
      <c r="C643" s="379"/>
      <c r="P643" s="381" t="s">
        <v>448</v>
      </c>
      <c r="Q643" s="382" t="s">
        <v>1075</v>
      </c>
    </row>
    <row r="644" spans="2:17" s="307" customFormat="1" ht="12.75">
      <c r="B644" s="384"/>
      <c r="C644" s="379"/>
      <c r="P644" s="381" t="s">
        <v>785</v>
      </c>
      <c r="Q644" s="382" t="s">
        <v>1075</v>
      </c>
    </row>
    <row r="645" spans="2:17" s="307" customFormat="1" ht="12.75">
      <c r="B645" s="384"/>
      <c r="C645" s="379"/>
      <c r="P645" s="381" t="s">
        <v>449</v>
      </c>
      <c r="Q645" s="382" t="s">
        <v>1075</v>
      </c>
    </row>
    <row r="646" spans="2:17" s="307" customFormat="1" ht="12.75">
      <c r="B646" s="384"/>
      <c r="C646" s="379"/>
      <c r="P646" s="381" t="s">
        <v>447</v>
      </c>
      <c r="Q646" s="382" t="s">
        <v>1075</v>
      </c>
    </row>
    <row r="647" spans="2:17" s="307" customFormat="1" ht="12.75">
      <c r="B647" s="384"/>
      <c r="C647" s="379"/>
      <c r="P647" s="381" t="s">
        <v>365</v>
      </c>
      <c r="Q647" s="382" t="s">
        <v>638</v>
      </c>
    </row>
    <row r="648" spans="2:17" s="307" customFormat="1" ht="12.75">
      <c r="B648" s="384"/>
      <c r="C648" s="379"/>
      <c r="P648" s="381" t="s">
        <v>366</v>
      </c>
      <c r="Q648" s="382" t="s">
        <v>925</v>
      </c>
    </row>
    <row r="649" spans="2:17" s="307" customFormat="1" ht="12.75">
      <c r="B649" s="384"/>
      <c r="C649" s="379"/>
      <c r="P649" s="381" t="s">
        <v>366</v>
      </c>
      <c r="Q649" s="382" t="s">
        <v>926</v>
      </c>
    </row>
    <row r="650" spans="2:17" s="307" customFormat="1" ht="12.75">
      <c r="B650" s="384"/>
      <c r="C650" s="379"/>
      <c r="P650" s="381" t="s">
        <v>366</v>
      </c>
      <c r="Q650" s="382" t="s">
        <v>640</v>
      </c>
    </row>
    <row r="651" spans="2:17" s="307" customFormat="1" ht="12.75">
      <c r="B651" s="384"/>
      <c r="C651" s="379"/>
      <c r="P651" s="381" t="s">
        <v>244</v>
      </c>
      <c r="Q651" s="382" t="s">
        <v>634</v>
      </c>
    </row>
    <row r="652" spans="2:17" s="307" customFormat="1" ht="12.75">
      <c r="B652" s="384"/>
      <c r="C652" s="379"/>
      <c r="P652" s="381" t="s">
        <v>244</v>
      </c>
      <c r="Q652" s="382" t="s">
        <v>635</v>
      </c>
    </row>
    <row r="653" spans="2:17" s="307" customFormat="1" ht="12.75">
      <c r="B653" s="384"/>
      <c r="C653" s="379"/>
      <c r="P653" s="381" t="s">
        <v>244</v>
      </c>
      <c r="Q653" s="382" t="s">
        <v>647</v>
      </c>
    </row>
    <row r="654" spans="2:17" s="307" customFormat="1" ht="12.75">
      <c r="B654" s="384"/>
      <c r="C654" s="379"/>
      <c r="P654" s="381" t="s">
        <v>245</v>
      </c>
      <c r="Q654" s="382" t="s">
        <v>927</v>
      </c>
    </row>
    <row r="655" spans="2:17" s="307" customFormat="1" ht="12.75">
      <c r="B655" s="384"/>
      <c r="C655" s="379"/>
      <c r="P655" s="381" t="s">
        <v>245</v>
      </c>
      <c r="Q655" s="382" t="s">
        <v>183</v>
      </c>
    </row>
    <row r="656" spans="2:17" s="307" customFormat="1" ht="12.75">
      <c r="B656" s="384"/>
      <c r="C656" s="379"/>
      <c r="P656" s="381" t="s">
        <v>245</v>
      </c>
      <c r="Q656" s="382" t="s">
        <v>928</v>
      </c>
    </row>
    <row r="657" spans="2:17" s="307" customFormat="1" ht="12.75">
      <c r="B657" s="384"/>
      <c r="C657" s="379"/>
      <c r="P657" s="381" t="s">
        <v>245</v>
      </c>
      <c r="Q657" s="382" t="s">
        <v>929</v>
      </c>
    </row>
    <row r="658" spans="2:17" s="307" customFormat="1" ht="12.75">
      <c r="B658" s="384"/>
      <c r="C658" s="379"/>
      <c r="P658" s="381" t="s">
        <v>245</v>
      </c>
      <c r="Q658" s="382" t="s">
        <v>930</v>
      </c>
    </row>
    <row r="659" spans="2:17" s="307" customFormat="1" ht="12.75">
      <c r="B659" s="384"/>
      <c r="C659" s="379"/>
      <c r="P659" s="381" t="s">
        <v>245</v>
      </c>
      <c r="Q659" s="382" t="s">
        <v>931</v>
      </c>
    </row>
    <row r="660" spans="2:17" s="307" customFormat="1" ht="12.75">
      <c r="B660" s="384"/>
      <c r="C660" s="379"/>
      <c r="P660" s="381" t="s">
        <v>245</v>
      </c>
      <c r="Q660" s="382" t="s">
        <v>932</v>
      </c>
    </row>
    <row r="661" spans="2:17" s="307" customFormat="1" ht="12.75">
      <c r="B661" s="384"/>
      <c r="C661" s="379"/>
      <c r="P661" s="381" t="s">
        <v>245</v>
      </c>
      <c r="Q661" s="382" t="s">
        <v>933</v>
      </c>
    </row>
    <row r="662" spans="2:17" s="307" customFormat="1" ht="12.75">
      <c r="B662" s="384"/>
      <c r="C662" s="379"/>
      <c r="P662" s="381" t="s">
        <v>245</v>
      </c>
      <c r="Q662" s="382" t="s">
        <v>728</v>
      </c>
    </row>
    <row r="663" spans="2:17" s="307" customFormat="1" ht="12.75">
      <c r="B663" s="384"/>
      <c r="C663" s="379"/>
      <c r="P663" s="381" t="s">
        <v>245</v>
      </c>
      <c r="Q663" s="382" t="s">
        <v>729</v>
      </c>
    </row>
    <row r="664" spans="2:17" s="307" customFormat="1" ht="12.75">
      <c r="B664" s="384"/>
      <c r="C664" s="379"/>
      <c r="P664" s="381" t="s">
        <v>245</v>
      </c>
      <c r="Q664" s="382" t="s">
        <v>934</v>
      </c>
    </row>
    <row r="665" spans="2:17" s="307" customFormat="1" ht="12.75">
      <c r="B665" s="384"/>
      <c r="C665" s="379"/>
      <c r="P665" s="381" t="s">
        <v>245</v>
      </c>
      <c r="Q665" s="382" t="s">
        <v>935</v>
      </c>
    </row>
    <row r="666" spans="2:17" s="307" customFormat="1" ht="12.75">
      <c r="B666" s="384"/>
      <c r="C666" s="379"/>
      <c r="P666" s="381" t="s">
        <v>245</v>
      </c>
      <c r="Q666" s="382" t="s">
        <v>936</v>
      </c>
    </row>
    <row r="667" spans="2:17" s="307" customFormat="1" ht="12.75">
      <c r="B667" s="384"/>
      <c r="C667" s="379"/>
      <c r="P667" s="381" t="s">
        <v>245</v>
      </c>
      <c r="Q667" s="382" t="s">
        <v>186</v>
      </c>
    </row>
    <row r="668" spans="2:17" s="307" customFormat="1" ht="12.75">
      <c r="B668" s="384"/>
      <c r="C668" s="379"/>
      <c r="P668" s="381" t="s">
        <v>245</v>
      </c>
      <c r="Q668" s="382" t="s">
        <v>187</v>
      </c>
    </row>
    <row r="669" spans="2:17" s="307" customFormat="1" ht="12.75">
      <c r="B669" s="384"/>
      <c r="C669" s="379"/>
      <c r="P669" s="381" t="s">
        <v>245</v>
      </c>
      <c r="Q669" s="382" t="s">
        <v>956</v>
      </c>
    </row>
    <row r="670" spans="2:17" s="307" customFormat="1" ht="12.75">
      <c r="B670" s="384"/>
      <c r="C670" s="379"/>
      <c r="P670" s="381" t="s">
        <v>245</v>
      </c>
      <c r="Q670" s="382" t="s">
        <v>767</v>
      </c>
    </row>
    <row r="671" spans="2:17" s="307" customFormat="1" ht="12.75">
      <c r="B671" s="384"/>
      <c r="C671" s="379"/>
      <c r="P671" s="381" t="s">
        <v>245</v>
      </c>
      <c r="Q671" s="382" t="s">
        <v>957</v>
      </c>
    </row>
    <row r="672" spans="2:17" s="307" customFormat="1" ht="12.75">
      <c r="B672" s="384"/>
      <c r="C672" s="379"/>
      <c r="P672" s="381" t="s">
        <v>245</v>
      </c>
      <c r="Q672" s="382" t="s">
        <v>958</v>
      </c>
    </row>
    <row r="673" spans="2:17" s="307" customFormat="1" ht="12.75">
      <c r="B673" s="384"/>
      <c r="C673" s="379"/>
      <c r="P673" s="381" t="s">
        <v>245</v>
      </c>
      <c r="Q673" s="382" t="s">
        <v>959</v>
      </c>
    </row>
    <row r="674" spans="2:17" s="307" customFormat="1" ht="12.75">
      <c r="B674" s="384"/>
      <c r="C674" s="379"/>
      <c r="P674" s="381" t="s">
        <v>245</v>
      </c>
      <c r="Q674" s="382" t="s">
        <v>960</v>
      </c>
    </row>
    <row r="675" spans="2:17" s="307" customFormat="1" ht="12.75">
      <c r="B675" s="384"/>
      <c r="C675" s="379"/>
      <c r="P675" s="381" t="s">
        <v>245</v>
      </c>
      <c r="Q675" s="382" t="s">
        <v>961</v>
      </c>
    </row>
    <row r="676" spans="2:17" s="307" customFormat="1" ht="12.75">
      <c r="B676" s="384"/>
      <c r="C676" s="379"/>
      <c r="P676" s="381" t="s">
        <v>245</v>
      </c>
      <c r="Q676" s="382" t="s">
        <v>962</v>
      </c>
    </row>
    <row r="677" spans="2:17" s="307" customFormat="1" ht="12.75">
      <c r="B677" s="384"/>
      <c r="C677" s="379"/>
      <c r="P677" s="381" t="s">
        <v>245</v>
      </c>
      <c r="Q677" s="382" t="s">
        <v>768</v>
      </c>
    </row>
    <row r="678" spans="2:17" s="307" customFormat="1" ht="12.75">
      <c r="B678" s="384"/>
      <c r="C678" s="379"/>
      <c r="P678" s="381" t="s">
        <v>245</v>
      </c>
      <c r="Q678" s="382" t="s">
        <v>769</v>
      </c>
    </row>
    <row r="679" spans="2:17" s="307" customFormat="1" ht="12.75">
      <c r="B679" s="384"/>
      <c r="C679" s="379"/>
      <c r="P679" s="381" t="s">
        <v>245</v>
      </c>
      <c r="Q679" s="382" t="s">
        <v>963</v>
      </c>
    </row>
    <row r="680" spans="2:17" s="307" customFormat="1" ht="12.75">
      <c r="B680" s="384"/>
      <c r="C680" s="379"/>
      <c r="P680" s="381" t="s">
        <v>245</v>
      </c>
      <c r="Q680" s="382" t="s">
        <v>964</v>
      </c>
    </row>
    <row r="681" spans="2:17" s="307" customFormat="1" ht="12.75">
      <c r="B681" s="384"/>
      <c r="C681" s="379"/>
      <c r="P681" s="381" t="s">
        <v>245</v>
      </c>
      <c r="Q681" s="382" t="s">
        <v>965</v>
      </c>
    </row>
    <row r="682" spans="2:17" s="307" customFormat="1" ht="12.75">
      <c r="B682" s="384"/>
      <c r="C682" s="379"/>
      <c r="P682" s="381" t="s">
        <v>246</v>
      </c>
      <c r="Q682" s="382" t="s">
        <v>663</v>
      </c>
    </row>
    <row r="683" spans="2:17" s="307" customFormat="1" ht="12.75">
      <c r="B683" s="384"/>
      <c r="C683" s="379"/>
      <c r="P683" s="381" t="s">
        <v>246</v>
      </c>
      <c r="Q683" s="382" t="s">
        <v>676</v>
      </c>
    </row>
    <row r="684" spans="2:17" s="307" customFormat="1" ht="12.75">
      <c r="B684" s="384"/>
      <c r="C684" s="379"/>
      <c r="P684" s="381" t="s">
        <v>450</v>
      </c>
      <c r="Q684" s="382" t="s">
        <v>1081</v>
      </c>
    </row>
    <row r="685" spans="2:17" s="307" customFormat="1" ht="12.75">
      <c r="B685" s="384"/>
      <c r="C685" s="379"/>
      <c r="P685" s="381" t="s">
        <v>247</v>
      </c>
      <c r="Q685" s="382" t="s">
        <v>992</v>
      </c>
    </row>
    <row r="686" spans="2:17" s="307" customFormat="1" ht="12.75">
      <c r="B686" s="384"/>
      <c r="C686" s="379"/>
      <c r="P686" s="381" t="s">
        <v>247</v>
      </c>
      <c r="Q686" s="382" t="s">
        <v>993</v>
      </c>
    </row>
    <row r="687" spans="2:17" s="307" customFormat="1" ht="12.75">
      <c r="B687" s="384"/>
      <c r="C687" s="379"/>
      <c r="P687" s="381" t="s">
        <v>247</v>
      </c>
      <c r="Q687" s="382" t="s">
        <v>994</v>
      </c>
    </row>
    <row r="688" spans="2:17" s="307" customFormat="1" ht="12.75">
      <c r="B688" s="384"/>
      <c r="C688" s="379"/>
      <c r="P688" s="381" t="s">
        <v>247</v>
      </c>
      <c r="Q688" s="382" t="s">
        <v>571</v>
      </c>
    </row>
    <row r="689" spans="2:17" s="307" customFormat="1" ht="12.75">
      <c r="B689" s="384"/>
      <c r="C689" s="379"/>
      <c r="P689" s="381" t="s">
        <v>247</v>
      </c>
      <c r="Q689" s="382" t="s">
        <v>572</v>
      </c>
    </row>
    <row r="690" spans="2:17" s="307" customFormat="1" ht="12.75">
      <c r="B690" s="384"/>
      <c r="C690" s="379"/>
      <c r="P690" s="381" t="s">
        <v>247</v>
      </c>
      <c r="Q690" s="382" t="s">
        <v>995</v>
      </c>
    </row>
    <row r="691" spans="2:17" s="307" customFormat="1" ht="12.75">
      <c r="B691" s="384"/>
      <c r="C691" s="379"/>
      <c r="P691" s="381" t="s">
        <v>247</v>
      </c>
      <c r="Q691" s="382" t="s">
        <v>996</v>
      </c>
    </row>
    <row r="692" spans="2:17" s="307" customFormat="1" ht="12.75">
      <c r="B692" s="384"/>
      <c r="C692" s="379"/>
      <c r="P692" s="381" t="s">
        <v>247</v>
      </c>
      <c r="Q692" s="382" t="s">
        <v>997</v>
      </c>
    </row>
    <row r="693" spans="2:17" s="307" customFormat="1" ht="12.75">
      <c r="B693" s="384"/>
      <c r="C693" s="379"/>
      <c r="P693" s="381" t="s">
        <v>247</v>
      </c>
      <c r="Q693" s="382" t="s">
        <v>998</v>
      </c>
    </row>
    <row r="694" spans="2:17" s="307" customFormat="1" ht="12.75">
      <c r="B694" s="384"/>
      <c r="C694" s="379"/>
      <c r="P694" s="381" t="s">
        <v>247</v>
      </c>
      <c r="Q694" s="382" t="s">
        <v>1150</v>
      </c>
    </row>
    <row r="695" spans="2:17" s="307" customFormat="1" ht="12.75">
      <c r="B695" s="384"/>
      <c r="C695" s="379"/>
      <c r="P695" s="381" t="s">
        <v>247</v>
      </c>
      <c r="Q695" s="382" t="s">
        <v>999</v>
      </c>
    </row>
    <row r="696" spans="2:17" s="307" customFormat="1" ht="12.75">
      <c r="B696" s="384"/>
      <c r="C696" s="379"/>
      <c r="P696" s="381" t="s">
        <v>247</v>
      </c>
      <c r="Q696" s="382" t="s">
        <v>1000</v>
      </c>
    </row>
    <row r="697" spans="2:17" s="307" customFormat="1" ht="12.75">
      <c r="B697" s="384"/>
      <c r="C697" s="379"/>
      <c r="P697" s="381" t="s">
        <v>247</v>
      </c>
      <c r="Q697" s="382" t="s">
        <v>1001</v>
      </c>
    </row>
    <row r="698" spans="2:17" s="307" customFormat="1" ht="12.75">
      <c r="B698" s="384"/>
      <c r="C698" s="379"/>
      <c r="P698" s="381" t="s">
        <v>247</v>
      </c>
      <c r="Q698" s="382" t="s">
        <v>1002</v>
      </c>
    </row>
    <row r="699" spans="2:17" s="307" customFormat="1" ht="12.75">
      <c r="B699" s="384"/>
      <c r="C699" s="379"/>
      <c r="P699" s="381" t="s">
        <v>247</v>
      </c>
      <c r="Q699" s="382" t="s">
        <v>1003</v>
      </c>
    </row>
    <row r="700" spans="2:17" s="307" customFormat="1" ht="12.75">
      <c r="B700" s="384"/>
      <c r="C700" s="379"/>
      <c r="P700" s="381" t="s">
        <v>247</v>
      </c>
      <c r="Q700" s="382" t="s">
        <v>573</v>
      </c>
    </row>
    <row r="701" spans="2:17" s="307" customFormat="1" ht="12.75">
      <c r="B701" s="384"/>
      <c r="C701" s="379"/>
      <c r="P701" s="381" t="s">
        <v>247</v>
      </c>
      <c r="Q701" s="382" t="s">
        <v>1004</v>
      </c>
    </row>
    <row r="702" spans="2:17" s="307" customFormat="1" ht="12.75">
      <c r="B702" s="384"/>
      <c r="C702" s="379"/>
      <c r="P702" s="381" t="s">
        <v>247</v>
      </c>
      <c r="Q702" s="382" t="s">
        <v>1005</v>
      </c>
    </row>
    <row r="703" spans="2:17" s="307" customFormat="1" ht="12.75">
      <c r="B703" s="384"/>
      <c r="C703" s="379"/>
      <c r="P703" s="381" t="s">
        <v>247</v>
      </c>
      <c r="Q703" s="382" t="s">
        <v>1006</v>
      </c>
    </row>
    <row r="704" spans="2:17" s="307" customFormat="1" ht="12.75">
      <c r="B704" s="384"/>
      <c r="C704" s="379"/>
      <c r="P704" s="381" t="s">
        <v>247</v>
      </c>
      <c r="Q704" s="382" t="s">
        <v>1007</v>
      </c>
    </row>
    <row r="705" spans="2:17" s="307" customFormat="1" ht="12.75">
      <c r="B705" s="384"/>
      <c r="C705" s="379"/>
      <c r="P705" s="381" t="s">
        <v>247</v>
      </c>
      <c r="Q705" s="382" t="s">
        <v>574</v>
      </c>
    </row>
    <row r="706" spans="2:17" s="307" customFormat="1" ht="12.75">
      <c r="B706" s="384"/>
      <c r="C706" s="379"/>
      <c r="P706" s="381" t="s">
        <v>247</v>
      </c>
      <c r="Q706" s="382" t="s">
        <v>1008</v>
      </c>
    </row>
    <row r="707" spans="2:17" s="307" customFormat="1" ht="12.75">
      <c r="B707" s="384"/>
      <c r="C707" s="379"/>
      <c r="P707" s="381" t="s">
        <v>247</v>
      </c>
      <c r="Q707" s="382" t="s">
        <v>1009</v>
      </c>
    </row>
    <row r="708" spans="2:17" s="307" customFormat="1" ht="12.75">
      <c r="B708" s="384"/>
      <c r="C708" s="379"/>
      <c r="P708" s="381" t="s">
        <v>247</v>
      </c>
      <c r="Q708" s="382" t="s">
        <v>1151</v>
      </c>
    </row>
    <row r="709" spans="2:17" s="307" customFormat="1" ht="12.75">
      <c r="B709" s="384"/>
      <c r="C709" s="379"/>
      <c r="P709" s="381" t="s">
        <v>247</v>
      </c>
      <c r="Q709" s="382" t="s">
        <v>1010</v>
      </c>
    </row>
    <row r="710" spans="2:17" s="307" customFormat="1" ht="12.75">
      <c r="B710" s="384"/>
      <c r="C710" s="379"/>
      <c r="P710" s="381" t="s">
        <v>247</v>
      </c>
      <c r="Q710" s="382" t="s">
        <v>1011</v>
      </c>
    </row>
    <row r="711" spans="2:17" s="307" customFormat="1" ht="12.75">
      <c r="B711" s="384"/>
      <c r="C711" s="379"/>
      <c r="P711" s="381" t="s">
        <v>247</v>
      </c>
      <c r="Q711" s="382" t="s">
        <v>1152</v>
      </c>
    </row>
    <row r="712" spans="2:17" s="307" customFormat="1" ht="12.75">
      <c r="B712" s="384"/>
      <c r="C712" s="379"/>
      <c r="P712" s="381" t="s">
        <v>247</v>
      </c>
      <c r="Q712" s="382" t="s">
        <v>1012</v>
      </c>
    </row>
    <row r="713" spans="2:17" s="307" customFormat="1" ht="12.75">
      <c r="B713" s="384"/>
      <c r="C713" s="379"/>
      <c r="P713" s="381" t="s">
        <v>247</v>
      </c>
      <c r="Q713" s="382" t="s">
        <v>1013</v>
      </c>
    </row>
    <row r="714" spans="2:17" s="307" customFormat="1" ht="12.75">
      <c r="B714" s="384"/>
      <c r="C714" s="379"/>
      <c r="P714" s="381" t="s">
        <v>247</v>
      </c>
      <c r="Q714" s="382" t="s">
        <v>1014</v>
      </c>
    </row>
    <row r="715" spans="2:17" s="307" customFormat="1" ht="12.75">
      <c r="B715" s="384"/>
      <c r="C715" s="379"/>
      <c r="P715" s="381" t="s">
        <v>247</v>
      </c>
      <c r="Q715" s="382" t="s">
        <v>1015</v>
      </c>
    </row>
    <row r="716" spans="2:17" s="307" customFormat="1" ht="12.75">
      <c r="B716" s="384"/>
      <c r="C716" s="379"/>
      <c r="P716" s="381" t="s">
        <v>247</v>
      </c>
      <c r="Q716" s="382" t="s">
        <v>1016</v>
      </c>
    </row>
    <row r="717" spans="2:17" s="307" customFormat="1" ht="12.75">
      <c r="B717" s="384"/>
      <c r="C717" s="379"/>
      <c r="P717" s="381" t="s">
        <v>247</v>
      </c>
      <c r="Q717" s="382" t="s">
        <v>1017</v>
      </c>
    </row>
    <row r="718" spans="2:17" s="307" customFormat="1" ht="12.75">
      <c r="B718" s="384"/>
      <c r="C718" s="379"/>
      <c r="P718" s="381" t="s">
        <v>247</v>
      </c>
      <c r="Q718" s="382" t="s">
        <v>1153</v>
      </c>
    </row>
    <row r="719" spans="2:17" s="307" customFormat="1" ht="12.75">
      <c r="B719" s="384"/>
      <c r="C719" s="379"/>
      <c r="P719" s="381" t="s">
        <v>247</v>
      </c>
      <c r="Q719" s="382" t="s">
        <v>1154</v>
      </c>
    </row>
    <row r="720" spans="2:17" s="307" customFormat="1" ht="12.75">
      <c r="B720" s="384"/>
      <c r="C720" s="379"/>
      <c r="P720" s="381" t="s">
        <v>247</v>
      </c>
      <c r="Q720" s="382" t="s">
        <v>695</v>
      </c>
    </row>
    <row r="721" spans="2:17" s="307" customFormat="1" ht="12.75">
      <c r="B721" s="384"/>
      <c r="C721" s="379"/>
      <c r="P721" s="381" t="s">
        <v>247</v>
      </c>
      <c r="Q721" s="382" t="s">
        <v>1155</v>
      </c>
    </row>
    <row r="722" spans="2:17" s="307" customFormat="1" ht="12.75">
      <c r="B722" s="384"/>
      <c r="C722" s="379"/>
      <c r="P722" s="381" t="s">
        <v>247</v>
      </c>
      <c r="Q722" s="382" t="s">
        <v>968</v>
      </c>
    </row>
    <row r="723" spans="2:17" s="307" customFormat="1" ht="12.75">
      <c r="B723" s="384"/>
      <c r="C723" s="379"/>
      <c r="P723" s="381" t="s">
        <v>247</v>
      </c>
      <c r="Q723" s="382" t="s">
        <v>1156</v>
      </c>
    </row>
    <row r="724" spans="2:17" s="307" customFormat="1" ht="12.75">
      <c r="B724" s="384"/>
      <c r="C724" s="379"/>
      <c r="P724" s="381" t="s">
        <v>247</v>
      </c>
      <c r="Q724" s="382" t="s">
        <v>969</v>
      </c>
    </row>
    <row r="725" spans="2:17" s="307" customFormat="1" ht="12.75">
      <c r="B725" s="384"/>
      <c r="C725" s="379"/>
      <c r="P725" s="381" t="s">
        <v>247</v>
      </c>
      <c r="Q725" s="382" t="s">
        <v>970</v>
      </c>
    </row>
    <row r="726" spans="2:17" s="307" customFormat="1" ht="12.75">
      <c r="B726" s="384"/>
      <c r="C726" s="379"/>
      <c r="P726" s="381" t="s">
        <v>247</v>
      </c>
      <c r="Q726" s="382" t="s">
        <v>971</v>
      </c>
    </row>
    <row r="727" spans="2:17" s="307" customFormat="1" ht="12.75">
      <c r="B727" s="384"/>
      <c r="C727" s="379"/>
      <c r="P727" s="381" t="s">
        <v>247</v>
      </c>
      <c r="Q727" s="382" t="s">
        <v>972</v>
      </c>
    </row>
    <row r="728" spans="2:17" s="307" customFormat="1" ht="12.75">
      <c r="B728" s="384"/>
      <c r="C728" s="379"/>
      <c r="P728" s="381" t="s">
        <v>247</v>
      </c>
      <c r="Q728" s="382" t="s">
        <v>698</v>
      </c>
    </row>
    <row r="729" spans="2:17" s="307" customFormat="1" ht="12.75">
      <c r="B729" s="384"/>
      <c r="C729" s="379"/>
      <c r="P729" s="381" t="s">
        <v>247</v>
      </c>
      <c r="Q729" s="382" t="s">
        <v>699</v>
      </c>
    </row>
    <row r="730" spans="2:17" s="307" customFormat="1" ht="12.75">
      <c r="B730" s="384"/>
      <c r="C730" s="379"/>
      <c r="P730" s="381" t="s">
        <v>247</v>
      </c>
      <c r="Q730" s="382" t="s">
        <v>973</v>
      </c>
    </row>
    <row r="731" spans="2:17" s="307" customFormat="1" ht="12.75">
      <c r="B731" s="384"/>
      <c r="C731" s="379"/>
      <c r="P731" s="381" t="s">
        <v>247</v>
      </c>
      <c r="Q731" s="382" t="s">
        <v>974</v>
      </c>
    </row>
    <row r="732" spans="2:17" s="307" customFormat="1" ht="12.75">
      <c r="B732" s="384"/>
      <c r="C732" s="379"/>
      <c r="P732" s="381" t="s">
        <v>247</v>
      </c>
      <c r="Q732" s="382" t="s">
        <v>701</v>
      </c>
    </row>
    <row r="733" spans="2:17" s="307" customFormat="1" ht="12.75">
      <c r="B733" s="384"/>
      <c r="C733" s="379"/>
      <c r="P733" s="381" t="s">
        <v>247</v>
      </c>
      <c r="Q733" s="382" t="s">
        <v>975</v>
      </c>
    </row>
    <row r="734" spans="2:17" s="307" customFormat="1" ht="12.75">
      <c r="B734" s="384"/>
      <c r="C734" s="379"/>
      <c r="P734" s="381" t="s">
        <v>247</v>
      </c>
      <c r="Q734" s="382" t="s">
        <v>1157</v>
      </c>
    </row>
    <row r="735" spans="2:17" s="307" customFormat="1" ht="12.75">
      <c r="B735" s="384"/>
      <c r="C735" s="379"/>
      <c r="P735" s="381" t="s">
        <v>247</v>
      </c>
      <c r="Q735" s="382" t="s">
        <v>702</v>
      </c>
    </row>
    <row r="736" spans="2:17" s="307" customFormat="1" ht="12.75">
      <c r="B736" s="384"/>
      <c r="C736" s="379"/>
      <c r="P736" s="381" t="s">
        <v>247</v>
      </c>
      <c r="Q736" s="382" t="s">
        <v>703</v>
      </c>
    </row>
    <row r="737" spans="2:17" s="307" customFormat="1" ht="12.75">
      <c r="B737" s="384"/>
      <c r="C737" s="379"/>
      <c r="P737" s="381" t="s">
        <v>247</v>
      </c>
      <c r="Q737" s="382" t="s">
        <v>1158</v>
      </c>
    </row>
    <row r="738" spans="2:17" s="307" customFormat="1" ht="12.75">
      <c r="B738" s="384"/>
      <c r="C738" s="379"/>
      <c r="P738" s="381" t="s">
        <v>247</v>
      </c>
      <c r="Q738" s="382" t="s">
        <v>705</v>
      </c>
    </row>
    <row r="739" spans="2:17" s="307" customFormat="1" ht="12.75">
      <c r="B739" s="384"/>
      <c r="C739" s="379"/>
      <c r="P739" s="381" t="s">
        <v>247</v>
      </c>
      <c r="Q739" s="382" t="s">
        <v>976</v>
      </c>
    </row>
    <row r="740" spans="2:17" s="307" customFormat="1" ht="12.75">
      <c r="B740" s="384"/>
      <c r="C740" s="379"/>
      <c r="P740" s="381" t="s">
        <v>247</v>
      </c>
      <c r="Q740" s="382" t="s">
        <v>1159</v>
      </c>
    </row>
    <row r="741" spans="2:17" s="307" customFormat="1" ht="12.75">
      <c r="B741" s="384"/>
      <c r="C741" s="379"/>
      <c r="P741" s="381" t="s">
        <v>247</v>
      </c>
      <c r="Q741" s="382" t="s">
        <v>1160</v>
      </c>
    </row>
    <row r="742" spans="2:17" s="307" customFormat="1" ht="12.75">
      <c r="B742" s="384"/>
      <c r="C742" s="379"/>
      <c r="P742" s="381" t="s">
        <v>247</v>
      </c>
      <c r="Q742" s="382" t="s">
        <v>706</v>
      </c>
    </row>
    <row r="743" spans="2:17" s="307" customFormat="1" ht="12.75">
      <c r="B743" s="384"/>
      <c r="C743" s="379"/>
      <c r="P743" s="381" t="s">
        <v>247</v>
      </c>
      <c r="Q743" s="382" t="s">
        <v>977</v>
      </c>
    </row>
    <row r="744" spans="2:17" s="307" customFormat="1" ht="12.75">
      <c r="B744" s="384"/>
      <c r="C744" s="379"/>
      <c r="P744" s="381" t="s">
        <v>247</v>
      </c>
      <c r="Q744" s="382" t="s">
        <v>978</v>
      </c>
    </row>
    <row r="745" spans="2:17" s="307" customFormat="1" ht="12.75">
      <c r="B745" s="384"/>
      <c r="C745" s="379"/>
      <c r="P745" s="381" t="s">
        <v>247</v>
      </c>
      <c r="Q745" s="382" t="s">
        <v>979</v>
      </c>
    </row>
    <row r="746" spans="2:17" s="307" customFormat="1" ht="12.75">
      <c r="B746" s="384"/>
      <c r="C746" s="379"/>
      <c r="P746" s="381" t="s">
        <v>247</v>
      </c>
      <c r="Q746" s="382" t="s">
        <v>980</v>
      </c>
    </row>
    <row r="747" spans="2:17" s="307" customFormat="1" ht="12.75">
      <c r="B747" s="384"/>
      <c r="C747" s="379"/>
      <c r="P747" s="381" t="s">
        <v>247</v>
      </c>
      <c r="Q747" s="382" t="s">
        <v>967</v>
      </c>
    </row>
    <row r="748" spans="2:17" s="307" customFormat="1" ht="12.75">
      <c r="B748" s="384"/>
      <c r="C748" s="379"/>
      <c r="P748" s="381" t="s">
        <v>247</v>
      </c>
      <c r="Q748" s="382" t="s">
        <v>762</v>
      </c>
    </row>
    <row r="749" spans="2:17" s="307" customFormat="1" ht="12.75">
      <c r="B749" s="384"/>
      <c r="C749" s="379"/>
      <c r="P749" s="381" t="s">
        <v>247</v>
      </c>
      <c r="Q749" s="382" t="s">
        <v>1161</v>
      </c>
    </row>
    <row r="750" spans="2:17" s="307" customFormat="1" ht="12.75">
      <c r="B750" s="384"/>
      <c r="C750" s="379"/>
      <c r="P750" s="381" t="s">
        <v>247</v>
      </c>
      <c r="Q750" s="382" t="s">
        <v>1162</v>
      </c>
    </row>
    <row r="751" spans="2:17" s="307" customFormat="1" ht="12.75">
      <c r="B751" s="384"/>
      <c r="C751" s="379"/>
      <c r="P751" s="381" t="s">
        <v>247</v>
      </c>
      <c r="Q751" s="382" t="s">
        <v>771</v>
      </c>
    </row>
    <row r="752" spans="2:17" s="307" customFormat="1" ht="12.75">
      <c r="B752" s="384"/>
      <c r="C752" s="379"/>
      <c r="P752" s="381" t="s">
        <v>247</v>
      </c>
      <c r="Q752" s="382" t="s">
        <v>1163</v>
      </c>
    </row>
    <row r="753" spans="2:17" s="307" customFormat="1" ht="12.75">
      <c r="B753" s="384"/>
      <c r="C753" s="379"/>
      <c r="P753" s="381" t="s">
        <v>247</v>
      </c>
      <c r="Q753" s="382" t="s">
        <v>1164</v>
      </c>
    </row>
    <row r="754" spans="2:17" s="307" customFormat="1" ht="12.75">
      <c r="B754" s="384"/>
      <c r="C754" s="379"/>
      <c r="P754" s="381" t="s">
        <v>247</v>
      </c>
      <c r="Q754" s="382" t="s">
        <v>1165</v>
      </c>
    </row>
    <row r="755" spans="2:17" s="307" customFormat="1" ht="12.75">
      <c r="B755" s="384"/>
      <c r="C755" s="379"/>
      <c r="P755" s="381" t="s">
        <v>247</v>
      </c>
      <c r="Q755" s="382" t="s">
        <v>1166</v>
      </c>
    </row>
    <row r="756" spans="2:17" s="307" customFormat="1" ht="12.75">
      <c r="B756" s="384"/>
      <c r="C756" s="379"/>
      <c r="P756" s="381" t="s">
        <v>247</v>
      </c>
      <c r="Q756" s="382" t="s">
        <v>1167</v>
      </c>
    </row>
    <row r="757" spans="2:17" s="307" customFormat="1" ht="12.75">
      <c r="B757" s="384"/>
      <c r="C757" s="379"/>
      <c r="P757" s="381" t="s">
        <v>247</v>
      </c>
      <c r="Q757" s="382" t="s">
        <v>1168</v>
      </c>
    </row>
    <row r="758" spans="2:17" s="307" customFormat="1" ht="12.75">
      <c r="B758" s="384"/>
      <c r="C758" s="379"/>
      <c r="P758" s="381" t="s">
        <v>247</v>
      </c>
      <c r="Q758" s="382" t="s">
        <v>189</v>
      </c>
    </row>
    <row r="759" spans="2:17" s="307" customFormat="1" ht="12.75">
      <c r="B759" s="384"/>
      <c r="C759" s="379"/>
      <c r="P759" s="381" t="s">
        <v>247</v>
      </c>
      <c r="Q759" s="382" t="s">
        <v>937</v>
      </c>
    </row>
    <row r="760" spans="2:17" s="307" customFormat="1" ht="12.75">
      <c r="B760" s="384"/>
      <c r="C760" s="379"/>
      <c r="P760" s="381" t="s">
        <v>247</v>
      </c>
      <c r="Q760" s="382" t="s">
        <v>773</v>
      </c>
    </row>
    <row r="761" spans="2:17" s="307" customFormat="1" ht="12.75">
      <c r="B761" s="384"/>
      <c r="C761" s="379"/>
      <c r="P761" s="381" t="s">
        <v>247</v>
      </c>
      <c r="Q761" s="382" t="s">
        <v>938</v>
      </c>
    </row>
    <row r="762" spans="2:17" s="307" customFormat="1" ht="12.75">
      <c r="B762" s="384"/>
      <c r="C762" s="379"/>
      <c r="P762" s="381" t="s">
        <v>247</v>
      </c>
      <c r="Q762" s="382" t="s">
        <v>1169</v>
      </c>
    </row>
    <row r="763" spans="2:17" s="307" customFormat="1" ht="12.75">
      <c r="B763" s="384"/>
      <c r="C763" s="379"/>
      <c r="P763" s="381" t="s">
        <v>247</v>
      </c>
      <c r="Q763" s="382" t="s">
        <v>1170</v>
      </c>
    </row>
    <row r="764" spans="2:17" s="307" customFormat="1" ht="12.75">
      <c r="B764" s="384"/>
      <c r="C764" s="379"/>
      <c r="P764" s="381" t="s">
        <v>247</v>
      </c>
      <c r="Q764" s="382" t="s">
        <v>939</v>
      </c>
    </row>
    <row r="765" spans="2:17" s="307" customFormat="1" ht="12.75">
      <c r="B765" s="384"/>
      <c r="C765" s="379"/>
      <c r="P765" s="381" t="s">
        <v>247</v>
      </c>
      <c r="Q765" s="382" t="s">
        <v>1171</v>
      </c>
    </row>
    <row r="766" spans="2:17" s="307" customFormat="1" ht="12.75">
      <c r="B766" s="384"/>
      <c r="C766" s="379"/>
      <c r="P766" s="381" t="s">
        <v>247</v>
      </c>
      <c r="Q766" s="382" t="s">
        <v>940</v>
      </c>
    </row>
    <row r="767" spans="2:17" s="307" customFormat="1" ht="12.75">
      <c r="B767" s="384"/>
      <c r="C767" s="379"/>
      <c r="P767" s="381" t="s">
        <v>247</v>
      </c>
      <c r="Q767" s="382" t="s">
        <v>1172</v>
      </c>
    </row>
    <row r="768" spans="2:17" s="307" customFormat="1" ht="12.75">
      <c r="B768" s="384"/>
      <c r="C768" s="379"/>
      <c r="P768" s="381" t="s">
        <v>247</v>
      </c>
      <c r="Q768" s="382" t="s">
        <v>941</v>
      </c>
    </row>
    <row r="769" spans="2:17" s="307" customFormat="1" ht="12.75">
      <c r="B769" s="384"/>
      <c r="C769" s="379"/>
      <c r="P769" s="381" t="s">
        <v>247</v>
      </c>
      <c r="Q769" s="382" t="s">
        <v>1173</v>
      </c>
    </row>
    <row r="770" spans="2:17" s="307" customFormat="1" ht="12.75">
      <c r="B770" s="384"/>
      <c r="C770" s="379"/>
      <c r="P770" s="381" t="s">
        <v>247</v>
      </c>
      <c r="Q770" s="382" t="s">
        <v>923</v>
      </c>
    </row>
    <row r="771" spans="2:17" s="307" customFormat="1" ht="12.75">
      <c r="B771" s="384"/>
      <c r="C771" s="379"/>
      <c r="P771" s="381" t="s">
        <v>247</v>
      </c>
      <c r="Q771" s="382" t="s">
        <v>924</v>
      </c>
    </row>
    <row r="772" spans="2:17" s="307" customFormat="1" ht="12.75">
      <c r="B772" s="384"/>
      <c r="C772" s="379"/>
      <c r="P772" s="381" t="s">
        <v>250</v>
      </c>
      <c r="Q772" s="382" t="s">
        <v>746</v>
      </c>
    </row>
    <row r="773" spans="2:17" s="307" customFormat="1" ht="12.75">
      <c r="B773" s="384"/>
      <c r="C773" s="379"/>
      <c r="P773" s="381" t="s">
        <v>452</v>
      </c>
      <c r="Q773" s="382" t="s">
        <v>1074</v>
      </c>
    </row>
    <row r="774" spans="2:17" s="307" customFormat="1" ht="12.75">
      <c r="B774" s="384"/>
      <c r="C774" s="379"/>
      <c r="P774" s="381" t="s">
        <v>253</v>
      </c>
      <c r="Q774" s="382" t="s">
        <v>746</v>
      </c>
    </row>
    <row r="775" spans="2:17" s="307" customFormat="1" ht="12.75">
      <c r="B775" s="384"/>
      <c r="C775" s="379"/>
      <c r="P775" s="381" t="s">
        <v>464</v>
      </c>
      <c r="Q775" s="382" t="s">
        <v>1052</v>
      </c>
    </row>
    <row r="776" spans="2:17" s="307" customFormat="1" ht="12.75">
      <c r="B776" s="384"/>
      <c r="C776" s="379"/>
      <c r="P776" s="381" t="s">
        <v>465</v>
      </c>
      <c r="Q776" s="382" t="s">
        <v>1052</v>
      </c>
    </row>
    <row r="777" spans="2:17" s="307" customFormat="1" ht="12.75">
      <c r="B777" s="384"/>
      <c r="C777" s="379"/>
      <c r="P777" s="381" t="s">
        <v>466</v>
      </c>
      <c r="Q777" s="382" t="s">
        <v>1052</v>
      </c>
    </row>
    <row r="778" spans="2:17" s="307" customFormat="1" ht="12.75">
      <c r="B778" s="384"/>
      <c r="C778" s="379"/>
      <c r="P778" s="381" t="s">
        <v>467</v>
      </c>
      <c r="Q778" s="382" t="s">
        <v>1052</v>
      </c>
    </row>
    <row r="779" spans="2:17" s="307" customFormat="1" ht="12.75">
      <c r="B779" s="384"/>
      <c r="C779" s="379"/>
      <c r="P779" s="381" t="s">
        <v>455</v>
      </c>
      <c r="Q779" s="382" t="s">
        <v>1053</v>
      </c>
    </row>
    <row r="780" spans="2:17" s="307" customFormat="1" ht="12.75">
      <c r="B780" s="384"/>
      <c r="C780" s="379"/>
      <c r="P780" s="381" t="s">
        <v>254</v>
      </c>
      <c r="Q780" s="382" t="s">
        <v>1054</v>
      </c>
    </row>
    <row r="781" spans="2:17" s="307" customFormat="1" ht="12.75">
      <c r="B781" s="384"/>
      <c r="C781" s="379"/>
      <c r="P781" s="381" t="s">
        <v>254</v>
      </c>
      <c r="Q781" s="382" t="s">
        <v>844</v>
      </c>
    </row>
    <row r="782" spans="2:17" s="307" customFormat="1" ht="12.75">
      <c r="B782" s="384"/>
      <c r="C782" s="379"/>
      <c r="P782" s="381" t="s">
        <v>254</v>
      </c>
      <c r="Q782" s="382" t="s">
        <v>1055</v>
      </c>
    </row>
    <row r="783" spans="2:17" s="307" customFormat="1" ht="12.75">
      <c r="B783" s="384"/>
      <c r="C783" s="379"/>
      <c r="P783" s="381" t="s">
        <v>254</v>
      </c>
      <c r="Q783" s="382" t="s">
        <v>1056</v>
      </c>
    </row>
    <row r="784" spans="2:17" s="307" customFormat="1" ht="12.75">
      <c r="B784" s="384"/>
      <c r="C784" s="379"/>
      <c r="P784" s="381" t="s">
        <v>254</v>
      </c>
      <c r="Q784" s="382" t="s">
        <v>845</v>
      </c>
    </row>
    <row r="785" spans="2:17" s="307" customFormat="1" ht="12.75">
      <c r="B785" s="384"/>
      <c r="C785" s="379"/>
      <c r="P785" s="381" t="s">
        <v>254</v>
      </c>
      <c r="Q785" s="382" t="s">
        <v>846</v>
      </c>
    </row>
    <row r="786" spans="2:17" s="307" customFormat="1" ht="12.75">
      <c r="B786" s="384"/>
      <c r="C786" s="379"/>
      <c r="P786" s="381" t="s">
        <v>254</v>
      </c>
      <c r="Q786" s="382" t="s">
        <v>1057</v>
      </c>
    </row>
    <row r="787" spans="2:17" s="307" customFormat="1" ht="12.75">
      <c r="B787" s="384"/>
      <c r="C787" s="379"/>
      <c r="P787" s="381" t="s">
        <v>254</v>
      </c>
      <c r="Q787" s="382" t="s">
        <v>1058</v>
      </c>
    </row>
    <row r="788" spans="2:17" s="307" customFormat="1" ht="12.75">
      <c r="B788" s="384"/>
      <c r="C788" s="379"/>
      <c r="P788" s="381" t="s">
        <v>254</v>
      </c>
      <c r="Q788" s="382" t="s">
        <v>1059</v>
      </c>
    </row>
    <row r="789" spans="2:17" s="307" customFormat="1" ht="12.75">
      <c r="B789" s="384"/>
      <c r="C789" s="379"/>
      <c r="P789" s="381" t="s">
        <v>254</v>
      </c>
      <c r="Q789" s="382" t="s">
        <v>1060</v>
      </c>
    </row>
    <row r="790" spans="2:17" s="307" customFormat="1" ht="12.75">
      <c r="B790" s="384"/>
      <c r="C790" s="379"/>
      <c r="P790" s="381" t="s">
        <v>254</v>
      </c>
      <c r="Q790" s="382" t="s">
        <v>847</v>
      </c>
    </row>
    <row r="791" spans="2:17" s="307" customFormat="1" ht="12.75">
      <c r="B791" s="384"/>
      <c r="C791" s="379"/>
      <c r="P791" s="381" t="s">
        <v>254</v>
      </c>
      <c r="Q791" s="382" t="s">
        <v>1061</v>
      </c>
    </row>
    <row r="792" spans="2:17" s="307" customFormat="1" ht="12.75">
      <c r="B792" s="384"/>
      <c r="C792" s="379"/>
      <c r="P792" s="381" t="s">
        <v>254</v>
      </c>
      <c r="Q792" s="382" t="s">
        <v>848</v>
      </c>
    </row>
    <row r="793" spans="2:17" s="307" customFormat="1" ht="12.75">
      <c r="B793" s="384"/>
      <c r="C793" s="379"/>
      <c r="P793" s="381" t="s">
        <v>254</v>
      </c>
      <c r="Q793" s="382" t="s">
        <v>849</v>
      </c>
    </row>
    <row r="794" spans="2:17" s="307" customFormat="1" ht="12.75">
      <c r="B794" s="384"/>
      <c r="C794" s="379"/>
      <c r="P794" s="381" t="s">
        <v>254</v>
      </c>
      <c r="Q794" s="382" t="s">
        <v>1062</v>
      </c>
    </row>
    <row r="795" spans="2:17" s="307" customFormat="1" ht="12.75">
      <c r="B795" s="384"/>
      <c r="C795" s="379"/>
      <c r="P795" s="381" t="s">
        <v>254</v>
      </c>
      <c r="Q795" s="382" t="s">
        <v>1063</v>
      </c>
    </row>
    <row r="796" spans="2:17" s="307" customFormat="1" ht="12.75">
      <c r="B796" s="384"/>
      <c r="C796" s="379"/>
      <c r="P796" s="381" t="s">
        <v>254</v>
      </c>
      <c r="Q796" s="382" t="s">
        <v>850</v>
      </c>
    </row>
    <row r="797" spans="2:17" s="307" customFormat="1" ht="12.75">
      <c r="B797" s="384"/>
      <c r="C797" s="379"/>
      <c r="P797" s="381" t="s">
        <v>254</v>
      </c>
      <c r="Q797" s="382" t="s">
        <v>1064</v>
      </c>
    </row>
    <row r="798" spans="2:17" s="307" customFormat="1" ht="12.75">
      <c r="B798" s="384"/>
      <c r="C798" s="379"/>
      <c r="P798" s="381" t="s">
        <v>254</v>
      </c>
      <c r="Q798" s="382" t="s">
        <v>1065</v>
      </c>
    </row>
    <row r="799" spans="2:17" s="307" customFormat="1" ht="12.75">
      <c r="B799" s="384"/>
      <c r="C799" s="379"/>
      <c r="P799" s="381" t="s">
        <v>254</v>
      </c>
      <c r="Q799" s="382" t="s">
        <v>1066</v>
      </c>
    </row>
    <row r="800" spans="2:17" s="307" customFormat="1" ht="12.75">
      <c r="B800" s="384"/>
      <c r="C800" s="379"/>
      <c r="P800" s="381" t="s">
        <v>254</v>
      </c>
      <c r="Q800" s="382" t="s">
        <v>1067</v>
      </c>
    </row>
    <row r="801" spans="2:17" s="307" customFormat="1" ht="12.75">
      <c r="B801" s="384"/>
      <c r="C801" s="379"/>
      <c r="P801" s="381" t="s">
        <v>254</v>
      </c>
      <c r="Q801" s="382" t="s">
        <v>1068</v>
      </c>
    </row>
    <row r="802" spans="2:17" s="307" customFormat="1" ht="12.75">
      <c r="B802" s="384"/>
      <c r="C802" s="379"/>
      <c r="P802" s="381" t="s">
        <v>254</v>
      </c>
      <c r="Q802" s="382" t="s">
        <v>851</v>
      </c>
    </row>
    <row r="803" spans="2:17" s="307" customFormat="1" ht="12.75">
      <c r="B803" s="384"/>
      <c r="C803" s="379"/>
      <c r="P803" s="381" t="s">
        <v>254</v>
      </c>
      <c r="Q803" s="382" t="s">
        <v>1069</v>
      </c>
    </row>
    <row r="804" spans="2:17" s="307" customFormat="1" ht="12.75">
      <c r="B804" s="384"/>
      <c r="C804" s="379"/>
      <c r="P804" s="381" t="s">
        <v>254</v>
      </c>
      <c r="Q804" s="382" t="s">
        <v>1070</v>
      </c>
    </row>
    <row r="805" spans="2:17" s="307" customFormat="1" ht="12.75">
      <c r="B805" s="384"/>
      <c r="C805" s="379"/>
      <c r="P805" s="381" t="s">
        <v>254</v>
      </c>
      <c r="Q805" s="382" t="s">
        <v>852</v>
      </c>
    </row>
    <row r="806" spans="2:17" s="307" customFormat="1" ht="12.75">
      <c r="B806" s="384"/>
      <c r="C806" s="379"/>
      <c r="P806" s="381" t="s">
        <v>254</v>
      </c>
      <c r="Q806" s="382" t="s">
        <v>1071</v>
      </c>
    </row>
    <row r="807" spans="2:17" s="307" customFormat="1" ht="12.75">
      <c r="B807" s="384"/>
      <c r="C807" s="379"/>
      <c r="P807" s="381" t="s">
        <v>456</v>
      </c>
      <c r="Q807" s="382" t="s">
        <v>613</v>
      </c>
    </row>
    <row r="808" spans="2:17" s="307" customFormat="1" ht="12.75">
      <c r="B808" s="384"/>
      <c r="C808" s="379"/>
      <c r="P808" s="381" t="s">
        <v>369</v>
      </c>
      <c r="Q808" s="382" t="s">
        <v>637</v>
      </c>
    </row>
    <row r="809" spans="2:17" s="307" customFormat="1" ht="12.75">
      <c r="B809" s="384"/>
      <c r="C809" s="379"/>
      <c r="P809" s="381" t="s">
        <v>369</v>
      </c>
      <c r="Q809" s="382" t="s">
        <v>646</v>
      </c>
    </row>
    <row r="810" spans="2:17" s="307" customFormat="1" ht="12.75">
      <c r="B810" s="384"/>
      <c r="C810" s="379"/>
      <c r="P810" s="381" t="s">
        <v>369</v>
      </c>
      <c r="Q810" s="382" t="s">
        <v>730</v>
      </c>
    </row>
    <row r="811" spans="2:17" s="307" customFormat="1" ht="12.75">
      <c r="B811" s="384"/>
      <c r="C811" s="379"/>
      <c r="P811" s="381" t="s">
        <v>256</v>
      </c>
      <c r="Q811" s="382" t="s">
        <v>942</v>
      </c>
    </row>
    <row r="812" spans="2:17" s="307" customFormat="1" ht="12.75">
      <c r="B812" s="384"/>
      <c r="C812" s="379"/>
      <c r="P812" s="381" t="s">
        <v>256</v>
      </c>
      <c r="Q812" s="382" t="s">
        <v>688</v>
      </c>
    </row>
    <row r="813" spans="2:17" s="307" customFormat="1" ht="12.75">
      <c r="B813" s="384"/>
      <c r="C813" s="379"/>
      <c r="P813" s="381" t="s">
        <v>256</v>
      </c>
      <c r="Q813" s="382" t="s">
        <v>689</v>
      </c>
    </row>
    <row r="814" spans="2:17" s="307" customFormat="1" ht="12.75">
      <c r="B814" s="384"/>
      <c r="C814" s="379"/>
      <c r="P814" s="381" t="s">
        <v>256</v>
      </c>
      <c r="Q814" s="382" t="s">
        <v>690</v>
      </c>
    </row>
    <row r="815" spans="2:17" s="307" customFormat="1" ht="12.75">
      <c r="B815" s="384"/>
      <c r="C815" s="379"/>
      <c r="P815" s="381" t="s">
        <v>256</v>
      </c>
      <c r="Q815" s="382" t="s">
        <v>691</v>
      </c>
    </row>
    <row r="816" spans="2:17" s="307" customFormat="1" ht="12.75">
      <c r="B816" s="384"/>
      <c r="C816" s="379"/>
      <c r="P816" s="381" t="s">
        <v>256</v>
      </c>
      <c r="Q816" s="382" t="s">
        <v>693</v>
      </c>
    </row>
    <row r="817" spans="2:17" s="307" customFormat="1" ht="12.75">
      <c r="B817" s="384"/>
      <c r="C817" s="379"/>
      <c r="P817" s="381" t="s">
        <v>257</v>
      </c>
      <c r="Q817" s="382" t="s">
        <v>942</v>
      </c>
    </row>
    <row r="818" spans="2:17" s="307" customFormat="1" ht="12.75">
      <c r="B818" s="384"/>
      <c r="C818" s="379"/>
      <c r="P818" s="381" t="s">
        <v>257</v>
      </c>
      <c r="Q818" s="382" t="s">
        <v>688</v>
      </c>
    </row>
    <row r="819" spans="2:17" s="307" customFormat="1" ht="12.75">
      <c r="B819" s="384"/>
      <c r="C819" s="379"/>
      <c r="P819" s="381" t="s">
        <v>257</v>
      </c>
      <c r="Q819" s="382" t="s">
        <v>689</v>
      </c>
    </row>
    <row r="820" spans="2:17" s="307" customFormat="1" ht="12.75">
      <c r="B820" s="384"/>
      <c r="C820" s="379"/>
      <c r="P820" s="381" t="s">
        <v>257</v>
      </c>
      <c r="Q820" s="382" t="s">
        <v>690</v>
      </c>
    </row>
    <row r="821" spans="2:17" s="307" customFormat="1" ht="12.75">
      <c r="B821" s="384"/>
      <c r="C821" s="379"/>
      <c r="P821" s="381" t="s">
        <v>257</v>
      </c>
      <c r="Q821" s="382" t="s">
        <v>691</v>
      </c>
    </row>
    <row r="822" spans="2:17" s="307" customFormat="1" ht="12.75">
      <c r="B822" s="384"/>
      <c r="C822" s="379"/>
      <c r="P822" s="381" t="s">
        <v>257</v>
      </c>
      <c r="Q822" s="382" t="s">
        <v>693</v>
      </c>
    </row>
    <row r="823" spans="2:17" s="307" customFormat="1" ht="12.75">
      <c r="B823" s="384"/>
      <c r="C823" s="379"/>
      <c r="P823" s="381" t="s">
        <v>457</v>
      </c>
      <c r="Q823" s="382" t="s">
        <v>1072</v>
      </c>
    </row>
    <row r="824" spans="2:17" s="307" customFormat="1" ht="12.75">
      <c r="B824" s="384"/>
      <c r="C824" s="379"/>
      <c r="P824" s="381" t="s">
        <v>458</v>
      </c>
      <c r="Q824" s="382" t="s">
        <v>1074</v>
      </c>
    </row>
    <row r="825" spans="2:17" s="307" customFormat="1" ht="12.75">
      <c r="B825" s="384"/>
      <c r="C825" s="379"/>
      <c r="P825" s="381" t="s">
        <v>459</v>
      </c>
      <c r="Q825" s="382" t="s">
        <v>1075</v>
      </c>
    </row>
    <row r="826" spans="2:17" s="307" customFormat="1" ht="12.75">
      <c r="B826" s="384"/>
      <c r="C826" s="379"/>
      <c r="P826" s="381" t="s">
        <v>461</v>
      </c>
      <c r="Q826" s="382" t="s">
        <v>1076</v>
      </c>
    </row>
    <row r="827" spans="2:17" s="307" customFormat="1" ht="12.75">
      <c r="B827" s="384"/>
      <c r="C827" s="379"/>
      <c r="P827" s="381" t="s">
        <v>460</v>
      </c>
      <c r="Q827" s="382" t="s">
        <v>1076</v>
      </c>
    </row>
    <row r="828" spans="2:17" s="307" customFormat="1" ht="12.75">
      <c r="B828" s="384"/>
      <c r="C828" s="379"/>
      <c r="P828" s="381" t="s">
        <v>463</v>
      </c>
      <c r="Q828" s="382" t="s">
        <v>1052</v>
      </c>
    </row>
    <row r="829" spans="2:17" s="307" customFormat="1" ht="12.75">
      <c r="B829" s="384"/>
      <c r="C829" s="379"/>
      <c r="P829" s="381" t="s">
        <v>786</v>
      </c>
      <c r="Q829" s="382" t="s">
        <v>1052</v>
      </c>
    </row>
    <row r="830" spans="2:17" s="307" customFormat="1" ht="12.75">
      <c r="B830" s="384"/>
      <c r="C830" s="379"/>
      <c r="P830" s="381" t="s">
        <v>462</v>
      </c>
      <c r="Q830" s="382" t="s">
        <v>1050</v>
      </c>
    </row>
    <row r="831" spans="2:17" s="307" customFormat="1" ht="12.75">
      <c r="B831" s="384"/>
      <c r="C831" s="379"/>
      <c r="P831" s="381" t="s">
        <v>814</v>
      </c>
      <c r="Q831" s="382" t="s">
        <v>1050</v>
      </c>
    </row>
    <row r="832" spans="2:17" s="307" customFormat="1" ht="12.75">
      <c r="B832" s="384"/>
      <c r="C832" s="379"/>
      <c r="P832" s="381" t="s">
        <v>258</v>
      </c>
      <c r="Q832" s="382" t="s">
        <v>707</v>
      </c>
    </row>
    <row r="833" spans="2:17" s="307" customFormat="1" ht="12.75">
      <c r="B833" s="384"/>
      <c r="C833" s="379"/>
      <c r="P833" s="381" t="s">
        <v>258</v>
      </c>
      <c r="Q833" s="382" t="s">
        <v>1114</v>
      </c>
    </row>
    <row r="834" spans="2:17" s="307" customFormat="1" ht="12.75">
      <c r="B834" s="384"/>
      <c r="C834" s="379"/>
      <c r="P834" s="381" t="s">
        <v>258</v>
      </c>
      <c r="Q834" s="382" t="s">
        <v>943</v>
      </c>
    </row>
    <row r="835" spans="2:17" s="307" customFormat="1" ht="12.75">
      <c r="B835" s="384"/>
      <c r="C835" s="379"/>
      <c r="P835" s="381" t="s">
        <v>258</v>
      </c>
      <c r="Q835" s="382" t="s">
        <v>944</v>
      </c>
    </row>
    <row r="836" spans="2:17" s="307" customFormat="1" ht="12.75">
      <c r="B836" s="384"/>
      <c r="C836" s="379"/>
      <c r="P836" s="381" t="s">
        <v>259</v>
      </c>
      <c r="Q836" s="382" t="s">
        <v>945</v>
      </c>
    </row>
    <row r="837" spans="2:17" s="307" customFormat="1" ht="12.75">
      <c r="B837" s="384"/>
      <c r="C837" s="379"/>
      <c r="P837" s="381" t="s">
        <v>259</v>
      </c>
      <c r="Q837" s="382" t="s">
        <v>707</v>
      </c>
    </row>
    <row r="838" spans="2:17" s="307" customFormat="1" ht="12.75">
      <c r="B838" s="384"/>
      <c r="C838" s="379"/>
      <c r="P838" s="381" t="s">
        <v>259</v>
      </c>
      <c r="Q838" s="382" t="s">
        <v>1114</v>
      </c>
    </row>
    <row r="839" spans="2:17" s="307" customFormat="1" ht="12.75">
      <c r="B839" s="384"/>
      <c r="C839" s="379"/>
      <c r="P839" s="381" t="s">
        <v>259</v>
      </c>
      <c r="Q839" s="382" t="s">
        <v>943</v>
      </c>
    </row>
    <row r="840" spans="2:17" s="307" customFormat="1" ht="12.75">
      <c r="B840" s="384"/>
      <c r="C840" s="379"/>
      <c r="P840" s="381" t="s">
        <v>259</v>
      </c>
      <c r="Q840" s="382" t="s">
        <v>944</v>
      </c>
    </row>
    <row r="841" spans="2:17" s="307" customFormat="1" ht="12.75">
      <c r="B841" s="384"/>
      <c r="C841" s="379"/>
      <c r="P841" s="381" t="s">
        <v>468</v>
      </c>
      <c r="Q841" s="382" t="s">
        <v>1075</v>
      </c>
    </row>
    <row r="842" spans="2:17" s="307" customFormat="1" ht="12.75">
      <c r="B842" s="384"/>
      <c r="C842" s="379"/>
      <c r="P842" s="381" t="s">
        <v>469</v>
      </c>
      <c r="Q842" s="382" t="s">
        <v>1078</v>
      </c>
    </row>
    <row r="843" spans="2:17" s="307" customFormat="1" ht="12.75">
      <c r="B843" s="384"/>
      <c r="C843" s="379"/>
      <c r="P843" s="381" t="s">
        <v>370</v>
      </c>
      <c r="Q843" s="382" t="s">
        <v>566</v>
      </c>
    </row>
    <row r="844" spans="2:17" s="307" customFormat="1" ht="12.75">
      <c r="B844" s="384"/>
      <c r="C844" s="379"/>
      <c r="P844" s="381" t="s">
        <v>370</v>
      </c>
      <c r="Q844" s="382" t="s">
        <v>567</v>
      </c>
    </row>
    <row r="845" spans="2:17" s="307" customFormat="1" ht="12.75">
      <c r="B845" s="384"/>
      <c r="C845" s="379"/>
      <c r="P845" s="381" t="s">
        <v>370</v>
      </c>
      <c r="Q845" s="382" t="s">
        <v>860</v>
      </c>
    </row>
    <row r="846" spans="2:17" s="307" customFormat="1" ht="12.75">
      <c r="B846" s="384"/>
      <c r="C846" s="379"/>
      <c r="P846" s="381" t="s">
        <v>370</v>
      </c>
      <c r="Q846" s="382" t="s">
        <v>861</v>
      </c>
    </row>
    <row r="847" spans="2:17" s="307" customFormat="1" ht="12.75">
      <c r="B847" s="384"/>
      <c r="C847" s="379"/>
      <c r="P847" s="381" t="s">
        <v>370</v>
      </c>
      <c r="Q847" s="382" t="s">
        <v>862</v>
      </c>
    </row>
    <row r="848" spans="2:17" s="307" customFormat="1" ht="12.75">
      <c r="B848" s="384"/>
      <c r="C848" s="379"/>
      <c r="P848" s="381" t="s">
        <v>370</v>
      </c>
      <c r="Q848" s="382" t="s">
        <v>863</v>
      </c>
    </row>
    <row r="849" spans="2:17" s="307" customFormat="1" ht="12.75">
      <c r="B849" s="384"/>
      <c r="C849" s="379"/>
      <c r="P849" s="381" t="s">
        <v>370</v>
      </c>
      <c r="Q849" s="382" t="s">
        <v>864</v>
      </c>
    </row>
    <row r="850" spans="2:17" s="307" customFormat="1" ht="12.75">
      <c r="B850" s="384"/>
      <c r="C850" s="379"/>
      <c r="P850" s="381" t="s">
        <v>370</v>
      </c>
      <c r="Q850" s="382" t="s">
        <v>865</v>
      </c>
    </row>
    <row r="851" spans="2:17" s="307" customFormat="1" ht="12.75">
      <c r="B851" s="384"/>
      <c r="C851" s="379"/>
      <c r="P851" s="381" t="s">
        <v>370</v>
      </c>
      <c r="Q851" s="382" t="s">
        <v>866</v>
      </c>
    </row>
    <row r="852" spans="2:17" s="307" customFormat="1" ht="12.75">
      <c r="B852" s="384"/>
      <c r="C852" s="379"/>
      <c r="P852" s="381" t="s">
        <v>370</v>
      </c>
      <c r="Q852" s="382" t="s">
        <v>569</v>
      </c>
    </row>
    <row r="853" spans="2:17" s="307" customFormat="1" ht="12.75">
      <c r="B853" s="384"/>
      <c r="C853" s="379"/>
      <c r="P853" s="381" t="s">
        <v>370</v>
      </c>
      <c r="Q853" s="382" t="s">
        <v>570</v>
      </c>
    </row>
    <row r="854" spans="2:17" s="307" customFormat="1" ht="12.75">
      <c r="B854" s="384"/>
      <c r="C854" s="379"/>
      <c r="P854" s="381" t="s">
        <v>370</v>
      </c>
      <c r="Q854" s="382" t="s">
        <v>1147</v>
      </c>
    </row>
    <row r="855" spans="2:17" s="307" customFormat="1" ht="12.75">
      <c r="B855" s="384"/>
      <c r="C855" s="379"/>
      <c r="P855" s="387" t="s">
        <v>370</v>
      </c>
      <c r="Q855" s="382" t="s">
        <v>1148</v>
      </c>
    </row>
    <row r="856" spans="2:17" s="307" customFormat="1" ht="12.75">
      <c r="B856" s="384"/>
      <c r="C856" s="379"/>
      <c r="P856" s="381" t="s">
        <v>470</v>
      </c>
      <c r="Q856" s="382" t="s">
        <v>1079</v>
      </c>
    </row>
    <row r="857" spans="2:17" s="307" customFormat="1" ht="12.75">
      <c r="B857" s="384"/>
      <c r="C857" s="379"/>
      <c r="P857" s="381" t="s">
        <v>174</v>
      </c>
      <c r="Q857" s="382" t="s">
        <v>174</v>
      </c>
    </row>
    <row r="858" spans="2:17" s="307" customFormat="1" ht="12.75">
      <c r="B858" s="384"/>
      <c r="C858" s="379"/>
      <c r="P858" s="381" t="s">
        <v>471</v>
      </c>
      <c r="Q858" s="382" t="s">
        <v>1080</v>
      </c>
    </row>
    <row r="859" spans="2:17" s="307" customFormat="1" ht="12.75">
      <c r="B859" s="384"/>
      <c r="C859" s="379"/>
      <c r="P859" s="381" t="s">
        <v>260</v>
      </c>
      <c r="Q859" s="382" t="s">
        <v>627</v>
      </c>
    </row>
    <row r="860" spans="2:17" s="307" customFormat="1" ht="12.75">
      <c r="B860" s="384"/>
      <c r="C860" s="379"/>
      <c r="P860" s="381" t="s">
        <v>260</v>
      </c>
      <c r="Q860" s="382" t="s">
        <v>628</v>
      </c>
    </row>
    <row r="861" spans="2:17" s="307" customFormat="1" ht="12.75">
      <c r="B861" s="384"/>
      <c r="C861" s="379"/>
      <c r="P861" s="381" t="s">
        <v>260</v>
      </c>
      <c r="Q861" s="382" t="s">
        <v>630</v>
      </c>
    </row>
    <row r="862" spans="2:17" s="307" customFormat="1" ht="12.75">
      <c r="B862" s="384"/>
      <c r="C862" s="379"/>
      <c r="P862" s="381" t="s">
        <v>261</v>
      </c>
      <c r="Q862" s="382" t="s">
        <v>627</v>
      </c>
    </row>
    <row r="863" spans="2:17" s="307" customFormat="1" ht="12.75">
      <c r="B863" s="384"/>
      <c r="C863" s="379"/>
      <c r="P863" s="381" t="s">
        <v>261</v>
      </c>
      <c r="Q863" s="382" t="s">
        <v>628</v>
      </c>
    </row>
    <row r="864" spans="2:17" s="307" customFormat="1" ht="12.75">
      <c r="B864" s="384"/>
      <c r="C864" s="379"/>
      <c r="P864" s="381" t="s">
        <v>261</v>
      </c>
      <c r="Q864" s="382" t="s">
        <v>630</v>
      </c>
    </row>
    <row r="865" spans="2:17" s="307" customFormat="1" ht="12.75">
      <c r="B865" s="384"/>
      <c r="C865" s="379"/>
      <c r="P865" s="381" t="s">
        <v>787</v>
      </c>
      <c r="Q865" s="382" t="s">
        <v>1075</v>
      </c>
    </row>
    <row r="866" spans="2:17" s="307" customFormat="1" ht="12.75">
      <c r="B866" s="384"/>
      <c r="C866" s="379"/>
      <c r="P866" s="381" t="s">
        <v>788</v>
      </c>
      <c r="Q866" s="382" t="s">
        <v>1075</v>
      </c>
    </row>
    <row r="867" spans="2:17" s="307" customFormat="1" ht="12.75">
      <c r="B867" s="384"/>
      <c r="C867" s="379"/>
      <c r="P867" s="381" t="s">
        <v>789</v>
      </c>
      <c r="Q867" s="382" t="s">
        <v>1075</v>
      </c>
    </row>
    <row r="868" spans="2:17" s="307" customFormat="1" ht="12.75">
      <c r="B868" s="384"/>
      <c r="C868" s="379"/>
      <c r="P868" s="381" t="s">
        <v>472</v>
      </c>
      <c r="Q868" s="382" t="s">
        <v>1075</v>
      </c>
    </row>
    <row r="869" spans="2:17" s="307" customFormat="1" ht="12.75">
      <c r="B869" s="384"/>
      <c r="C869" s="379"/>
      <c r="P869" s="381" t="s">
        <v>262</v>
      </c>
      <c r="Q869" s="382" t="s">
        <v>694</v>
      </c>
    </row>
    <row r="870" spans="2:17" s="307" customFormat="1" ht="12.75">
      <c r="B870" s="384"/>
      <c r="C870" s="379"/>
      <c r="P870" s="381" t="s">
        <v>262</v>
      </c>
      <c r="Q870" s="382" t="s">
        <v>696</v>
      </c>
    </row>
    <row r="871" spans="2:17" s="307" customFormat="1" ht="12.75">
      <c r="B871" s="384"/>
      <c r="C871" s="379"/>
      <c r="P871" s="381" t="s">
        <v>262</v>
      </c>
      <c r="Q871" s="382" t="s">
        <v>697</v>
      </c>
    </row>
    <row r="872" spans="2:17" s="307" customFormat="1" ht="12.75">
      <c r="B872" s="384"/>
      <c r="C872" s="379"/>
      <c r="P872" s="381" t="s">
        <v>262</v>
      </c>
      <c r="Q872" s="382" t="s">
        <v>699</v>
      </c>
    </row>
    <row r="873" spans="2:17" s="307" customFormat="1" ht="12.75">
      <c r="B873" s="384"/>
      <c r="C873" s="379"/>
      <c r="P873" s="381" t="s">
        <v>262</v>
      </c>
      <c r="Q873" s="382" t="s">
        <v>701</v>
      </c>
    </row>
    <row r="874" spans="2:17" s="307" customFormat="1" ht="12.75">
      <c r="B874" s="384"/>
      <c r="C874" s="379"/>
      <c r="P874" s="381" t="s">
        <v>262</v>
      </c>
      <c r="Q874" s="382" t="s">
        <v>703</v>
      </c>
    </row>
    <row r="875" spans="2:17" s="307" customFormat="1" ht="12.75">
      <c r="B875" s="384"/>
      <c r="C875" s="379"/>
      <c r="P875" s="381" t="s">
        <v>262</v>
      </c>
      <c r="Q875" s="382" t="s">
        <v>704</v>
      </c>
    </row>
    <row r="876" spans="2:17" s="307" customFormat="1" ht="12.75">
      <c r="B876" s="384"/>
      <c r="C876" s="379"/>
      <c r="P876" s="381" t="s">
        <v>262</v>
      </c>
      <c r="Q876" s="382" t="s">
        <v>705</v>
      </c>
    </row>
    <row r="877" spans="2:17" s="307" customFormat="1" ht="12.75">
      <c r="B877" s="384"/>
      <c r="C877" s="379"/>
      <c r="P877" s="381" t="s">
        <v>262</v>
      </c>
      <c r="Q877" s="382" t="s">
        <v>706</v>
      </c>
    </row>
    <row r="878" spans="2:17" s="307" customFormat="1" ht="12.75">
      <c r="B878" s="384"/>
      <c r="C878" s="379"/>
      <c r="P878" s="381" t="s">
        <v>262</v>
      </c>
      <c r="Q878" s="382" t="s">
        <v>741</v>
      </c>
    </row>
    <row r="879" spans="2:17" s="307" customFormat="1" ht="12.75">
      <c r="B879" s="384"/>
      <c r="C879" s="379"/>
      <c r="P879" s="381" t="s">
        <v>262</v>
      </c>
      <c r="Q879" s="382" t="s">
        <v>742</v>
      </c>
    </row>
    <row r="880" spans="2:17" s="307" customFormat="1" ht="12.75">
      <c r="B880" s="384"/>
      <c r="C880" s="379"/>
      <c r="P880" s="381" t="s">
        <v>262</v>
      </c>
      <c r="Q880" s="382" t="s">
        <v>743</v>
      </c>
    </row>
    <row r="881" spans="2:17" s="307" customFormat="1" ht="12.75">
      <c r="B881" s="384"/>
      <c r="C881" s="379"/>
      <c r="P881" s="381" t="s">
        <v>262</v>
      </c>
      <c r="Q881" s="382" t="s">
        <v>744</v>
      </c>
    </row>
    <row r="882" spans="2:17" s="307" customFormat="1" ht="12.75">
      <c r="B882" s="384"/>
      <c r="C882" s="379"/>
      <c r="P882" s="381" t="s">
        <v>263</v>
      </c>
      <c r="Q882" s="382" t="s">
        <v>694</v>
      </c>
    </row>
    <row r="883" spans="2:17" s="307" customFormat="1" ht="12.75">
      <c r="B883" s="384"/>
      <c r="C883" s="379"/>
      <c r="P883" s="381" t="s">
        <v>263</v>
      </c>
      <c r="Q883" s="382" t="s">
        <v>696</v>
      </c>
    </row>
    <row r="884" spans="2:17" s="307" customFormat="1" ht="12.75">
      <c r="B884" s="384"/>
      <c r="C884" s="379"/>
      <c r="P884" s="381" t="s">
        <v>263</v>
      </c>
      <c r="Q884" s="382" t="s">
        <v>697</v>
      </c>
    </row>
    <row r="885" spans="2:17" s="307" customFormat="1" ht="12.75">
      <c r="B885" s="384"/>
      <c r="C885" s="379"/>
      <c r="P885" s="381" t="s">
        <v>263</v>
      </c>
      <c r="Q885" s="382" t="s">
        <v>699</v>
      </c>
    </row>
    <row r="886" spans="2:17" s="307" customFormat="1" ht="12.75">
      <c r="B886" s="384"/>
      <c r="C886" s="379"/>
      <c r="P886" s="381" t="s">
        <v>263</v>
      </c>
      <c r="Q886" s="382" t="s">
        <v>700</v>
      </c>
    </row>
    <row r="887" spans="2:17" s="307" customFormat="1" ht="12.75">
      <c r="B887" s="384"/>
      <c r="C887" s="379"/>
      <c r="P887" s="381" t="s">
        <v>263</v>
      </c>
      <c r="Q887" s="382" t="s">
        <v>701</v>
      </c>
    </row>
    <row r="888" spans="2:17" s="307" customFormat="1" ht="12.75">
      <c r="B888" s="384"/>
      <c r="C888" s="379"/>
      <c r="P888" s="381" t="s">
        <v>263</v>
      </c>
      <c r="Q888" s="382" t="s">
        <v>703</v>
      </c>
    </row>
    <row r="889" spans="2:17" s="307" customFormat="1" ht="12.75">
      <c r="B889" s="384"/>
      <c r="C889" s="379"/>
      <c r="P889" s="381" t="s">
        <v>263</v>
      </c>
      <c r="Q889" s="382" t="s">
        <v>704</v>
      </c>
    </row>
    <row r="890" spans="2:17" s="307" customFormat="1" ht="12.75">
      <c r="B890" s="384"/>
      <c r="C890" s="379"/>
      <c r="P890" s="381" t="s">
        <v>263</v>
      </c>
      <c r="Q890" s="382" t="s">
        <v>705</v>
      </c>
    </row>
    <row r="891" spans="2:17" s="307" customFormat="1" ht="12.75">
      <c r="B891" s="384"/>
      <c r="C891" s="379"/>
      <c r="P891" s="381" t="s">
        <v>263</v>
      </c>
      <c r="Q891" s="382" t="s">
        <v>706</v>
      </c>
    </row>
    <row r="892" spans="2:17" s="307" customFormat="1" ht="12.75">
      <c r="B892" s="384"/>
      <c r="C892" s="379"/>
      <c r="P892" s="381" t="s">
        <v>371</v>
      </c>
      <c r="Q892" s="382" t="s">
        <v>638</v>
      </c>
    </row>
    <row r="893" spans="2:17" s="307" customFormat="1" ht="12.75">
      <c r="B893" s="384"/>
      <c r="C893" s="379"/>
      <c r="P893" s="381" t="s">
        <v>372</v>
      </c>
      <c r="Q893" s="382" t="s">
        <v>591</v>
      </c>
    </row>
    <row r="894" spans="2:17" s="307" customFormat="1" ht="12.75">
      <c r="B894" s="384"/>
      <c r="C894" s="379"/>
      <c r="P894" s="381" t="s">
        <v>372</v>
      </c>
      <c r="Q894" s="382" t="s">
        <v>867</v>
      </c>
    </row>
    <row r="895" spans="2:17" s="307" customFormat="1" ht="12.75">
      <c r="B895" s="384"/>
      <c r="C895" s="379"/>
      <c r="P895" s="381" t="s">
        <v>372</v>
      </c>
      <c r="Q895" s="382" t="s">
        <v>649</v>
      </c>
    </row>
    <row r="896" spans="2:17" s="307" customFormat="1" ht="12.75">
      <c r="B896" s="384"/>
      <c r="C896" s="379"/>
      <c r="P896" s="381" t="s">
        <v>373</v>
      </c>
      <c r="Q896" s="382" t="s">
        <v>575</v>
      </c>
    </row>
    <row r="897" spans="2:17" s="307" customFormat="1" ht="12.75">
      <c r="B897" s="384"/>
      <c r="C897" s="379"/>
      <c r="P897" s="381" t="s">
        <v>373</v>
      </c>
      <c r="Q897" s="382" t="s">
        <v>591</v>
      </c>
    </row>
    <row r="898" spans="2:17" s="307" customFormat="1" ht="12.75">
      <c r="B898" s="384"/>
      <c r="C898" s="379"/>
      <c r="P898" s="381" t="s">
        <v>373</v>
      </c>
      <c r="Q898" s="382" t="s">
        <v>867</v>
      </c>
    </row>
    <row r="899" spans="2:17" s="307" customFormat="1" ht="12.75">
      <c r="B899" s="384"/>
      <c r="C899" s="379"/>
      <c r="P899" s="381" t="s">
        <v>373</v>
      </c>
      <c r="Q899" s="382" t="s">
        <v>649</v>
      </c>
    </row>
    <row r="900" spans="2:17" s="307" customFormat="1" ht="12.75">
      <c r="B900" s="384"/>
      <c r="C900" s="379"/>
      <c r="P900" s="381" t="s">
        <v>373</v>
      </c>
      <c r="Q900" s="382" t="s">
        <v>717</v>
      </c>
    </row>
    <row r="901" spans="2:17" s="307" customFormat="1" ht="12.75">
      <c r="B901" s="384"/>
      <c r="C901" s="379"/>
      <c r="P901" s="381" t="s">
        <v>264</v>
      </c>
      <c r="Q901" s="382" t="s">
        <v>564</v>
      </c>
    </row>
    <row r="902" spans="2:17" s="307" customFormat="1" ht="12.75">
      <c r="B902" s="384"/>
      <c r="C902" s="379"/>
      <c r="P902" s="381" t="s">
        <v>264</v>
      </c>
      <c r="Q902" s="382" t="s">
        <v>634</v>
      </c>
    </row>
    <row r="903" spans="2:17" s="307" customFormat="1" ht="12.75">
      <c r="B903" s="384"/>
      <c r="C903" s="379"/>
      <c r="P903" s="381" t="s">
        <v>264</v>
      </c>
      <c r="Q903" s="382" t="s">
        <v>166</v>
      </c>
    </row>
    <row r="904" spans="2:17" s="307" customFormat="1" ht="12.75">
      <c r="B904" s="384"/>
      <c r="C904" s="379"/>
      <c r="P904" s="381" t="s">
        <v>264</v>
      </c>
      <c r="Q904" s="382" t="s">
        <v>638</v>
      </c>
    </row>
    <row r="905" spans="2:17" s="307" customFormat="1" ht="12.75">
      <c r="B905" s="384"/>
      <c r="C905" s="379"/>
      <c r="P905" s="381" t="s">
        <v>265</v>
      </c>
      <c r="Q905" s="382" t="s">
        <v>763</v>
      </c>
    </row>
    <row r="906" spans="2:17" s="307" customFormat="1" ht="12.75">
      <c r="B906" s="384"/>
      <c r="C906" s="379"/>
      <c r="P906" s="381" t="s">
        <v>265</v>
      </c>
      <c r="Q906" s="382" t="s">
        <v>946</v>
      </c>
    </row>
    <row r="907" spans="2:17" s="307" customFormat="1" ht="12.75">
      <c r="B907" s="384"/>
      <c r="C907" s="379"/>
      <c r="P907" s="381" t="s">
        <v>265</v>
      </c>
      <c r="Q907" s="382" t="s">
        <v>764</v>
      </c>
    </row>
    <row r="908" spans="2:17" s="307" customFormat="1" ht="12.75">
      <c r="B908" s="384"/>
      <c r="C908" s="379"/>
      <c r="P908" s="381" t="s">
        <v>265</v>
      </c>
      <c r="Q908" s="382" t="s">
        <v>947</v>
      </c>
    </row>
    <row r="909" spans="2:17" s="307" customFormat="1" ht="12.75">
      <c r="B909" s="384"/>
      <c r="C909" s="379"/>
      <c r="P909" s="381" t="s">
        <v>265</v>
      </c>
      <c r="Q909" s="382" t="s">
        <v>948</v>
      </c>
    </row>
    <row r="910" spans="2:17" s="307" customFormat="1" ht="12.75">
      <c r="B910" s="384"/>
      <c r="C910" s="379"/>
      <c r="P910" s="381" t="s">
        <v>265</v>
      </c>
      <c r="Q910" s="382" t="s">
        <v>949</v>
      </c>
    </row>
    <row r="911" spans="2:17" s="307" customFormat="1" ht="12.75">
      <c r="B911" s="384"/>
      <c r="C911" s="379"/>
      <c r="P911" s="381" t="s">
        <v>265</v>
      </c>
      <c r="Q911" s="382" t="s">
        <v>950</v>
      </c>
    </row>
    <row r="912" spans="2:17" s="307" customFormat="1" ht="12.75">
      <c r="B912" s="384"/>
      <c r="C912" s="379"/>
      <c r="P912" s="381" t="s">
        <v>265</v>
      </c>
      <c r="Q912" s="382" t="s">
        <v>951</v>
      </c>
    </row>
    <row r="913" spans="2:17" s="307" customFormat="1" ht="12.75">
      <c r="B913" s="384"/>
      <c r="C913" s="379"/>
      <c r="P913" s="381" t="s">
        <v>265</v>
      </c>
      <c r="Q913" s="382" t="s">
        <v>952</v>
      </c>
    </row>
    <row r="914" spans="2:17" s="307" customFormat="1" ht="12.75">
      <c r="B914" s="384"/>
      <c r="C914" s="379"/>
      <c r="P914" s="381" t="s">
        <v>265</v>
      </c>
      <c r="Q914" s="382" t="s">
        <v>765</v>
      </c>
    </row>
    <row r="915" spans="2:17" s="307" customFormat="1" ht="12.75">
      <c r="B915" s="384"/>
      <c r="C915" s="379"/>
      <c r="P915" s="381" t="s">
        <v>265</v>
      </c>
      <c r="Q915" s="382" t="s">
        <v>185</v>
      </c>
    </row>
    <row r="916" spans="2:17" s="307" customFormat="1" ht="12.75">
      <c r="B916" s="384"/>
      <c r="C916" s="379"/>
      <c r="P916" s="381" t="s">
        <v>265</v>
      </c>
      <c r="Q916" s="382" t="s">
        <v>953</v>
      </c>
    </row>
    <row r="917" spans="2:17" s="307" customFormat="1" ht="12.75">
      <c r="B917" s="384"/>
      <c r="C917" s="379"/>
      <c r="P917" s="381" t="s">
        <v>265</v>
      </c>
      <c r="Q917" s="382" t="s">
        <v>954</v>
      </c>
    </row>
    <row r="918" spans="2:17" s="307" customFormat="1" ht="12.75">
      <c r="B918" s="384"/>
      <c r="C918" s="379"/>
      <c r="P918" s="381" t="s">
        <v>265</v>
      </c>
      <c r="Q918" s="382" t="s">
        <v>955</v>
      </c>
    </row>
    <row r="919" spans="2:17" s="307" customFormat="1" ht="12.75">
      <c r="B919" s="384"/>
      <c r="C919" s="379"/>
      <c r="P919" s="381" t="s">
        <v>266</v>
      </c>
      <c r="Q919" s="382" t="s">
        <v>763</v>
      </c>
    </row>
    <row r="920" spans="2:17" s="307" customFormat="1" ht="12.75">
      <c r="B920" s="384"/>
      <c r="C920" s="379"/>
      <c r="P920" s="381" t="s">
        <v>266</v>
      </c>
      <c r="Q920" s="382" t="s">
        <v>946</v>
      </c>
    </row>
    <row r="921" spans="2:17" s="307" customFormat="1" ht="12.75">
      <c r="B921" s="384"/>
      <c r="C921" s="379"/>
      <c r="P921" s="381" t="s">
        <v>266</v>
      </c>
      <c r="Q921" s="382" t="s">
        <v>764</v>
      </c>
    </row>
    <row r="922" spans="2:17" s="307" customFormat="1" ht="12.75">
      <c r="B922" s="384"/>
      <c r="C922" s="379"/>
      <c r="P922" s="381" t="s">
        <v>266</v>
      </c>
      <c r="Q922" s="382" t="s">
        <v>947</v>
      </c>
    </row>
    <row r="923" spans="2:17" s="307" customFormat="1" ht="12.75">
      <c r="B923" s="384"/>
      <c r="C923" s="379"/>
      <c r="P923" s="381" t="s">
        <v>266</v>
      </c>
      <c r="Q923" s="382" t="s">
        <v>948</v>
      </c>
    </row>
    <row r="924" spans="2:17" s="307" customFormat="1" ht="12.75">
      <c r="B924" s="384"/>
      <c r="C924" s="379"/>
      <c r="P924" s="381" t="s">
        <v>266</v>
      </c>
      <c r="Q924" s="382" t="s">
        <v>949</v>
      </c>
    </row>
    <row r="925" spans="2:17" s="307" customFormat="1" ht="12.75">
      <c r="B925" s="384"/>
      <c r="C925" s="379"/>
      <c r="P925" s="381" t="s">
        <v>266</v>
      </c>
      <c r="Q925" s="382" t="s">
        <v>950</v>
      </c>
    </row>
    <row r="926" spans="2:17" s="307" customFormat="1" ht="12.75">
      <c r="B926" s="384"/>
      <c r="C926" s="379"/>
      <c r="P926" s="381" t="s">
        <v>266</v>
      </c>
      <c r="Q926" s="382" t="s">
        <v>951</v>
      </c>
    </row>
    <row r="927" spans="2:17" s="307" customFormat="1" ht="12.75">
      <c r="B927" s="384"/>
      <c r="C927" s="379"/>
      <c r="P927" s="381" t="s">
        <v>266</v>
      </c>
      <c r="Q927" s="382" t="s">
        <v>952</v>
      </c>
    </row>
    <row r="928" spans="2:17" s="307" customFormat="1" ht="12.75">
      <c r="B928" s="384"/>
      <c r="C928" s="379"/>
      <c r="P928" s="381" t="s">
        <v>266</v>
      </c>
      <c r="Q928" s="382" t="s">
        <v>765</v>
      </c>
    </row>
    <row r="929" spans="2:17" s="307" customFormat="1" ht="12.75">
      <c r="B929" s="384"/>
      <c r="C929" s="379"/>
      <c r="P929" s="381" t="s">
        <v>266</v>
      </c>
      <c r="Q929" s="382" t="s">
        <v>185</v>
      </c>
    </row>
    <row r="930" spans="2:17" s="307" customFormat="1" ht="12.75">
      <c r="B930" s="384"/>
      <c r="C930" s="379"/>
      <c r="P930" s="381" t="s">
        <v>266</v>
      </c>
      <c r="Q930" s="382" t="s">
        <v>953</v>
      </c>
    </row>
    <row r="931" spans="2:17" s="307" customFormat="1" ht="12.75">
      <c r="B931" s="384"/>
      <c r="C931" s="379"/>
      <c r="P931" s="381" t="s">
        <v>266</v>
      </c>
      <c r="Q931" s="382" t="s">
        <v>954</v>
      </c>
    </row>
    <row r="932" spans="2:17" s="307" customFormat="1" ht="12.75">
      <c r="B932" s="384"/>
      <c r="C932" s="379"/>
      <c r="P932" s="381" t="s">
        <v>266</v>
      </c>
      <c r="Q932" s="382" t="s">
        <v>955</v>
      </c>
    </row>
    <row r="933" spans="2:17" s="307" customFormat="1" ht="12.75">
      <c r="B933" s="384"/>
      <c r="C933" s="379"/>
      <c r="P933" s="381" t="s">
        <v>266</v>
      </c>
      <c r="Q933" s="382" t="s">
        <v>187</v>
      </c>
    </row>
    <row r="934" spans="2:17" s="307" customFormat="1" ht="12.75">
      <c r="B934" s="384"/>
      <c r="C934" s="379"/>
      <c r="P934" s="381" t="s">
        <v>266</v>
      </c>
      <c r="Q934" s="382" t="s">
        <v>956</v>
      </c>
    </row>
    <row r="935" spans="2:17" s="307" customFormat="1" ht="12.75">
      <c r="B935" s="384"/>
      <c r="C935" s="379"/>
      <c r="P935" s="381" t="s">
        <v>266</v>
      </c>
      <c r="Q935" s="382" t="s">
        <v>767</v>
      </c>
    </row>
    <row r="936" spans="2:17" s="307" customFormat="1" ht="12.75">
      <c r="B936" s="384"/>
      <c r="C936" s="379"/>
      <c r="P936" s="381" t="s">
        <v>266</v>
      </c>
      <c r="Q936" s="382" t="s">
        <v>957</v>
      </c>
    </row>
    <row r="937" spans="2:17" s="307" customFormat="1" ht="12.75">
      <c r="B937" s="384"/>
      <c r="C937" s="379"/>
      <c r="P937" s="381" t="s">
        <v>266</v>
      </c>
      <c r="Q937" s="382" t="s">
        <v>958</v>
      </c>
    </row>
    <row r="938" spans="2:17" s="307" customFormat="1" ht="12.75">
      <c r="B938" s="384"/>
      <c r="C938" s="379"/>
      <c r="P938" s="381" t="s">
        <v>266</v>
      </c>
      <c r="Q938" s="382" t="s">
        <v>959</v>
      </c>
    </row>
    <row r="939" spans="2:17" s="307" customFormat="1" ht="12.75">
      <c r="B939" s="384"/>
      <c r="C939" s="379"/>
      <c r="P939" s="381" t="s">
        <v>266</v>
      </c>
      <c r="Q939" s="382" t="s">
        <v>960</v>
      </c>
    </row>
    <row r="940" spans="2:17" s="307" customFormat="1" ht="12.75">
      <c r="B940" s="384"/>
      <c r="C940" s="379"/>
      <c r="P940" s="381" t="s">
        <v>266</v>
      </c>
      <c r="Q940" s="382" t="s">
        <v>961</v>
      </c>
    </row>
    <row r="941" spans="2:17" s="307" customFormat="1" ht="12.75">
      <c r="B941" s="384"/>
      <c r="C941" s="379"/>
      <c r="P941" s="381" t="s">
        <v>266</v>
      </c>
      <c r="Q941" s="382" t="s">
        <v>962</v>
      </c>
    </row>
    <row r="942" spans="2:17" s="307" customFormat="1" ht="12.75">
      <c r="B942" s="384"/>
      <c r="C942" s="379"/>
      <c r="P942" s="381" t="s">
        <v>266</v>
      </c>
      <c r="Q942" s="382" t="s">
        <v>768</v>
      </c>
    </row>
    <row r="943" spans="2:17" s="307" customFormat="1" ht="12.75">
      <c r="B943" s="384"/>
      <c r="C943" s="379"/>
      <c r="P943" s="381" t="s">
        <v>266</v>
      </c>
      <c r="Q943" s="382" t="s">
        <v>769</v>
      </c>
    </row>
    <row r="944" spans="2:17" s="307" customFormat="1" ht="12.75">
      <c r="B944" s="384"/>
      <c r="C944" s="379"/>
      <c r="P944" s="381" t="s">
        <v>266</v>
      </c>
      <c r="Q944" s="382" t="s">
        <v>963</v>
      </c>
    </row>
    <row r="945" spans="2:17" s="307" customFormat="1" ht="12.75">
      <c r="B945" s="384"/>
      <c r="C945" s="379"/>
      <c r="P945" s="381" t="s">
        <v>266</v>
      </c>
      <c r="Q945" s="382" t="s">
        <v>964</v>
      </c>
    </row>
    <row r="946" spans="2:17" s="307" customFormat="1" ht="12.75">
      <c r="B946" s="384"/>
      <c r="C946" s="379"/>
      <c r="P946" s="381" t="s">
        <v>266</v>
      </c>
      <c r="Q946" s="382" t="s">
        <v>965</v>
      </c>
    </row>
    <row r="947" spans="2:17" s="307" customFormat="1" ht="12.75">
      <c r="B947" s="384"/>
      <c r="C947" s="379"/>
      <c r="P947" s="381" t="s">
        <v>473</v>
      </c>
      <c r="Q947" s="382" t="s">
        <v>1081</v>
      </c>
    </row>
    <row r="948" spans="2:17" s="307" customFormat="1" ht="12.75">
      <c r="B948" s="384"/>
      <c r="C948" s="379"/>
      <c r="P948" s="381" t="s">
        <v>271</v>
      </c>
      <c r="Q948" s="382" t="s">
        <v>746</v>
      </c>
    </row>
    <row r="949" spans="2:17" s="307" customFormat="1" ht="12.75">
      <c r="B949" s="384"/>
      <c r="C949" s="379"/>
      <c r="P949" s="381" t="s">
        <v>272</v>
      </c>
      <c r="Q949" s="382" t="s">
        <v>736</v>
      </c>
    </row>
    <row r="950" spans="2:17" s="307" customFormat="1" ht="12.75">
      <c r="B950" s="384"/>
      <c r="C950" s="379"/>
      <c r="P950" s="381" t="s">
        <v>272</v>
      </c>
      <c r="Q950" s="382" t="s">
        <v>739</v>
      </c>
    </row>
    <row r="951" spans="2:17" s="307" customFormat="1" ht="12.75">
      <c r="B951" s="384"/>
      <c r="C951" s="379"/>
      <c r="P951" s="381" t="s">
        <v>272</v>
      </c>
      <c r="Q951" s="382" t="s">
        <v>746</v>
      </c>
    </row>
    <row r="952" spans="2:17" s="307" customFormat="1" ht="12.75">
      <c r="B952" s="384"/>
      <c r="C952" s="379"/>
      <c r="P952" s="381" t="s">
        <v>272</v>
      </c>
      <c r="Q952" s="382" t="s">
        <v>749</v>
      </c>
    </row>
    <row r="953" spans="2:17" s="307" customFormat="1" ht="12.75">
      <c r="B953" s="384"/>
      <c r="C953" s="379"/>
      <c r="P953" s="381" t="s">
        <v>272</v>
      </c>
      <c r="Q953" s="382" t="s">
        <v>752</v>
      </c>
    </row>
    <row r="954" spans="2:17" s="307" customFormat="1" ht="12.75">
      <c r="B954" s="384"/>
      <c r="C954" s="379"/>
      <c r="P954" s="381" t="s">
        <v>273</v>
      </c>
      <c r="Q954" s="382" t="s">
        <v>746</v>
      </c>
    </row>
    <row r="955" spans="2:17" s="307" customFormat="1" ht="12.75">
      <c r="B955" s="384"/>
      <c r="C955" s="379"/>
      <c r="P955" s="381" t="s">
        <v>269</v>
      </c>
      <c r="Q955" s="382" t="s">
        <v>698</v>
      </c>
    </row>
    <row r="956" spans="2:17" s="307" customFormat="1" ht="12.75">
      <c r="B956" s="384"/>
      <c r="C956" s="379"/>
      <c r="P956" s="381" t="s">
        <v>269</v>
      </c>
      <c r="Q956" s="382" t="s">
        <v>702</v>
      </c>
    </row>
    <row r="957" spans="2:17" s="307" customFormat="1" ht="12.75">
      <c r="B957" s="384"/>
      <c r="C957" s="379"/>
      <c r="P957" s="381" t="s">
        <v>270</v>
      </c>
      <c r="Q957" s="382" t="s">
        <v>189</v>
      </c>
    </row>
    <row r="958" spans="2:17" s="307" customFormat="1" ht="12.75">
      <c r="B958" s="384"/>
      <c r="C958" s="379"/>
      <c r="P958" s="381" t="s">
        <v>270</v>
      </c>
      <c r="Q958" s="382" t="s">
        <v>773</v>
      </c>
    </row>
    <row r="959" spans="2:17" s="307" customFormat="1" ht="12.75">
      <c r="B959" s="384"/>
      <c r="C959" s="379"/>
      <c r="P959" s="381" t="s">
        <v>267</v>
      </c>
      <c r="Q959" s="382" t="s">
        <v>893</v>
      </c>
    </row>
    <row r="960" spans="2:17" s="307" customFormat="1" ht="12.75">
      <c r="B960" s="384"/>
      <c r="C960" s="379"/>
      <c r="P960" s="381" t="s">
        <v>267</v>
      </c>
      <c r="Q960" s="382" t="s">
        <v>894</v>
      </c>
    </row>
    <row r="961" spans="2:17" s="307" customFormat="1" ht="12.75">
      <c r="B961" s="384"/>
      <c r="C961" s="379"/>
      <c r="P961" s="381" t="s">
        <v>267</v>
      </c>
      <c r="Q961" s="382" t="s">
        <v>1153</v>
      </c>
    </row>
    <row r="962" spans="2:17" s="307" customFormat="1" ht="12.75">
      <c r="B962" s="384"/>
      <c r="C962" s="379"/>
      <c r="P962" s="381" t="s">
        <v>267</v>
      </c>
      <c r="Q962" s="382" t="s">
        <v>1154</v>
      </c>
    </row>
    <row r="963" spans="2:17" s="307" customFormat="1" ht="12.75">
      <c r="B963" s="384"/>
      <c r="C963" s="379"/>
      <c r="P963" s="381" t="s">
        <v>267</v>
      </c>
      <c r="Q963" s="382" t="s">
        <v>966</v>
      </c>
    </row>
    <row r="964" spans="2:17" s="307" customFormat="1" ht="12.75">
      <c r="B964" s="384"/>
      <c r="C964" s="379"/>
      <c r="P964" s="381" t="s">
        <v>267</v>
      </c>
      <c r="Q964" s="382" t="s">
        <v>695</v>
      </c>
    </row>
    <row r="965" spans="2:17" s="307" customFormat="1" ht="12.75">
      <c r="B965" s="384"/>
      <c r="C965" s="379"/>
      <c r="P965" s="381" t="s">
        <v>267</v>
      </c>
      <c r="Q965" s="382" t="s">
        <v>1155</v>
      </c>
    </row>
    <row r="966" spans="2:17" s="307" customFormat="1" ht="12.75">
      <c r="B966" s="384"/>
      <c r="C966" s="379"/>
      <c r="P966" s="381" t="s">
        <v>267</v>
      </c>
      <c r="Q966" s="382" t="s">
        <v>968</v>
      </c>
    </row>
    <row r="967" spans="2:17" s="307" customFormat="1" ht="12.75">
      <c r="B967" s="384"/>
      <c r="C967" s="379"/>
      <c r="P967" s="381" t="s">
        <v>267</v>
      </c>
      <c r="Q967" s="382" t="s">
        <v>1156</v>
      </c>
    </row>
    <row r="968" spans="2:17" s="307" customFormat="1" ht="12.75">
      <c r="B968" s="384"/>
      <c r="C968" s="379"/>
      <c r="P968" s="381" t="s">
        <v>267</v>
      </c>
      <c r="Q968" s="382" t="s">
        <v>969</v>
      </c>
    </row>
    <row r="969" spans="2:17" s="307" customFormat="1" ht="12.75">
      <c r="B969" s="384"/>
      <c r="C969" s="379"/>
      <c r="P969" s="381" t="s">
        <v>267</v>
      </c>
      <c r="Q969" s="382" t="s">
        <v>970</v>
      </c>
    </row>
    <row r="970" spans="2:17" s="307" customFormat="1" ht="12.75">
      <c r="B970" s="384"/>
      <c r="C970" s="379"/>
      <c r="P970" s="381" t="s">
        <v>267</v>
      </c>
      <c r="Q970" s="382" t="s">
        <v>971</v>
      </c>
    </row>
    <row r="971" spans="2:17" s="307" customFormat="1" ht="12.75">
      <c r="B971" s="384"/>
      <c r="C971" s="379"/>
      <c r="P971" s="381" t="s">
        <v>267</v>
      </c>
      <c r="Q971" s="382" t="s">
        <v>972</v>
      </c>
    </row>
    <row r="972" spans="2:17" s="307" customFormat="1" ht="12.75">
      <c r="B972" s="384"/>
      <c r="C972" s="379"/>
      <c r="P972" s="381" t="s">
        <v>267</v>
      </c>
      <c r="Q972" s="382" t="s">
        <v>698</v>
      </c>
    </row>
    <row r="973" spans="2:17" s="307" customFormat="1" ht="12.75">
      <c r="B973" s="384"/>
      <c r="C973" s="379"/>
      <c r="P973" s="381" t="s">
        <v>267</v>
      </c>
      <c r="Q973" s="382" t="s">
        <v>699</v>
      </c>
    </row>
    <row r="974" spans="2:17" s="307" customFormat="1" ht="12.75">
      <c r="B974" s="384"/>
      <c r="C974" s="379"/>
      <c r="P974" s="381" t="s">
        <v>267</v>
      </c>
      <c r="Q974" s="382" t="s">
        <v>973</v>
      </c>
    </row>
    <row r="975" spans="2:17" s="307" customFormat="1" ht="12.75">
      <c r="B975" s="384"/>
      <c r="C975" s="379"/>
      <c r="P975" s="381" t="s">
        <v>267</v>
      </c>
      <c r="Q975" s="382" t="s">
        <v>974</v>
      </c>
    </row>
    <row r="976" spans="2:17" s="307" customFormat="1" ht="12.75">
      <c r="B976" s="384"/>
      <c r="C976" s="379"/>
      <c r="P976" s="381" t="s">
        <v>267</v>
      </c>
      <c r="Q976" s="382" t="s">
        <v>701</v>
      </c>
    </row>
    <row r="977" spans="2:17" s="307" customFormat="1" ht="12.75">
      <c r="B977" s="384"/>
      <c r="C977" s="379"/>
      <c r="P977" s="381" t="s">
        <v>267</v>
      </c>
      <c r="Q977" s="382" t="s">
        <v>975</v>
      </c>
    </row>
    <row r="978" spans="2:17" s="307" customFormat="1" ht="12.75">
      <c r="B978" s="384"/>
      <c r="C978" s="379"/>
      <c r="P978" s="381" t="s">
        <v>267</v>
      </c>
      <c r="Q978" s="382" t="s">
        <v>1157</v>
      </c>
    </row>
    <row r="979" spans="2:17" s="307" customFormat="1" ht="12.75">
      <c r="B979" s="384"/>
      <c r="C979" s="379"/>
      <c r="P979" s="381" t="s">
        <v>267</v>
      </c>
      <c r="Q979" s="382" t="s">
        <v>702</v>
      </c>
    </row>
    <row r="980" spans="2:17" s="307" customFormat="1" ht="12.75">
      <c r="B980" s="384"/>
      <c r="C980" s="379"/>
      <c r="P980" s="381" t="s">
        <v>267</v>
      </c>
      <c r="Q980" s="382" t="s">
        <v>703</v>
      </c>
    </row>
    <row r="981" spans="2:17" s="307" customFormat="1" ht="12.75">
      <c r="B981" s="384"/>
      <c r="C981" s="379"/>
      <c r="P981" s="381" t="s">
        <v>267</v>
      </c>
      <c r="Q981" s="382" t="s">
        <v>1158</v>
      </c>
    </row>
    <row r="982" spans="2:17" s="307" customFormat="1" ht="12.75">
      <c r="B982" s="384"/>
      <c r="C982" s="379"/>
      <c r="P982" s="381" t="s">
        <v>267</v>
      </c>
      <c r="Q982" s="382" t="s">
        <v>705</v>
      </c>
    </row>
    <row r="983" spans="2:17" s="307" customFormat="1" ht="12.75">
      <c r="B983" s="384"/>
      <c r="C983" s="379"/>
      <c r="P983" s="381" t="s">
        <v>267</v>
      </c>
      <c r="Q983" s="382" t="s">
        <v>976</v>
      </c>
    </row>
    <row r="984" spans="2:17" s="307" customFormat="1" ht="12.75">
      <c r="B984" s="384"/>
      <c r="C984" s="379"/>
      <c r="P984" s="381" t="s">
        <v>267</v>
      </c>
      <c r="Q984" s="382" t="s">
        <v>1159</v>
      </c>
    </row>
    <row r="985" spans="2:17" s="307" customFormat="1" ht="12.75">
      <c r="B985" s="384"/>
      <c r="C985" s="379"/>
      <c r="P985" s="381" t="s">
        <v>267</v>
      </c>
      <c r="Q985" s="382" t="s">
        <v>1160</v>
      </c>
    </row>
    <row r="986" spans="2:17" s="307" customFormat="1" ht="12.75">
      <c r="B986" s="384"/>
      <c r="C986" s="379"/>
      <c r="P986" s="381" t="s">
        <v>267</v>
      </c>
      <c r="Q986" s="382" t="s">
        <v>706</v>
      </c>
    </row>
    <row r="987" spans="2:17" s="307" customFormat="1" ht="12.75">
      <c r="B987" s="384"/>
      <c r="C987" s="379"/>
      <c r="P987" s="381" t="s">
        <v>267</v>
      </c>
      <c r="Q987" s="382" t="s">
        <v>977</v>
      </c>
    </row>
    <row r="988" spans="2:17" s="307" customFormat="1" ht="12.75">
      <c r="B988" s="384"/>
      <c r="C988" s="379"/>
      <c r="P988" s="381" t="s">
        <v>267</v>
      </c>
      <c r="Q988" s="382" t="s">
        <v>978</v>
      </c>
    </row>
    <row r="989" spans="2:17" s="307" customFormat="1" ht="12.75">
      <c r="B989" s="384"/>
      <c r="C989" s="379"/>
      <c r="P989" s="381" t="s">
        <v>267</v>
      </c>
      <c r="Q989" s="382" t="s">
        <v>979</v>
      </c>
    </row>
    <row r="990" spans="2:17" s="307" customFormat="1" ht="12.75">
      <c r="B990" s="384"/>
      <c r="C990" s="379"/>
      <c r="P990" s="381" t="s">
        <v>267</v>
      </c>
      <c r="Q990" s="382" t="s">
        <v>980</v>
      </c>
    </row>
    <row r="991" spans="2:17" s="307" customFormat="1" ht="12.75">
      <c r="B991" s="384"/>
      <c r="C991" s="379"/>
      <c r="P991" s="381" t="s">
        <v>267</v>
      </c>
      <c r="Q991" s="382" t="s">
        <v>967</v>
      </c>
    </row>
    <row r="992" spans="2:17" s="307" customFormat="1" ht="12.75">
      <c r="B992" s="384"/>
      <c r="C992" s="379"/>
      <c r="P992" s="381" t="s">
        <v>268</v>
      </c>
      <c r="Q992" s="382" t="s">
        <v>992</v>
      </c>
    </row>
    <row r="993" spans="2:17" s="307" customFormat="1" ht="12.75">
      <c r="B993" s="384"/>
      <c r="C993" s="379"/>
      <c r="P993" s="381" t="s">
        <v>268</v>
      </c>
      <c r="Q993" s="382" t="s">
        <v>993</v>
      </c>
    </row>
    <row r="994" spans="2:17" s="307" customFormat="1" ht="12.75">
      <c r="B994" s="384"/>
      <c r="C994" s="379"/>
      <c r="P994" s="381" t="s">
        <v>268</v>
      </c>
      <c r="Q994" s="382" t="s">
        <v>994</v>
      </c>
    </row>
    <row r="995" spans="2:17" s="307" customFormat="1" ht="12.75">
      <c r="B995" s="384"/>
      <c r="C995" s="379"/>
      <c r="P995" s="381" t="s">
        <v>268</v>
      </c>
      <c r="Q995" s="382" t="s">
        <v>571</v>
      </c>
    </row>
    <row r="996" spans="2:17" s="307" customFormat="1" ht="12.75">
      <c r="B996" s="384"/>
      <c r="C996" s="379"/>
      <c r="P996" s="381" t="s">
        <v>268</v>
      </c>
      <c r="Q996" s="382" t="s">
        <v>572</v>
      </c>
    </row>
    <row r="997" spans="2:17" s="307" customFormat="1" ht="12.75">
      <c r="B997" s="384"/>
      <c r="C997" s="379"/>
      <c r="P997" s="381" t="s">
        <v>268</v>
      </c>
      <c r="Q997" s="382" t="s">
        <v>995</v>
      </c>
    </row>
    <row r="998" spans="2:17" s="307" customFormat="1" ht="12.75">
      <c r="B998" s="384"/>
      <c r="C998" s="379"/>
      <c r="P998" s="381" t="s">
        <v>268</v>
      </c>
      <c r="Q998" s="382" t="s">
        <v>996</v>
      </c>
    </row>
    <row r="999" spans="2:17" s="307" customFormat="1" ht="12.75">
      <c r="B999" s="384"/>
      <c r="C999" s="379"/>
      <c r="P999" s="381" t="s">
        <v>268</v>
      </c>
      <c r="Q999" s="382" t="s">
        <v>997</v>
      </c>
    </row>
    <row r="1000" spans="2:17" s="307" customFormat="1" ht="12.75">
      <c r="B1000" s="384"/>
      <c r="C1000" s="379"/>
      <c r="P1000" s="381" t="s">
        <v>268</v>
      </c>
      <c r="Q1000" s="382" t="s">
        <v>998</v>
      </c>
    </row>
    <row r="1001" spans="2:17" s="307" customFormat="1" ht="12.75">
      <c r="B1001" s="384"/>
      <c r="C1001" s="379"/>
      <c r="P1001" s="381" t="s">
        <v>268</v>
      </c>
      <c r="Q1001" s="382" t="s">
        <v>1150</v>
      </c>
    </row>
    <row r="1002" spans="2:17" s="307" customFormat="1" ht="12.75">
      <c r="B1002" s="384"/>
      <c r="C1002" s="379"/>
      <c r="P1002" s="381" t="s">
        <v>268</v>
      </c>
      <c r="Q1002" s="382" t="s">
        <v>999</v>
      </c>
    </row>
    <row r="1003" spans="2:17" s="307" customFormat="1" ht="12.75">
      <c r="B1003" s="384"/>
      <c r="C1003" s="379"/>
      <c r="P1003" s="381" t="s">
        <v>268</v>
      </c>
      <c r="Q1003" s="382" t="s">
        <v>1000</v>
      </c>
    </row>
    <row r="1004" spans="2:17" s="307" customFormat="1" ht="12.75">
      <c r="B1004" s="384"/>
      <c r="C1004" s="379"/>
      <c r="P1004" s="381" t="s">
        <v>268</v>
      </c>
      <c r="Q1004" s="382" t="s">
        <v>1001</v>
      </c>
    </row>
    <row r="1005" spans="2:17" s="307" customFormat="1" ht="12.75">
      <c r="B1005" s="384"/>
      <c r="C1005" s="379"/>
      <c r="P1005" s="381" t="s">
        <v>268</v>
      </c>
      <c r="Q1005" s="382" t="s">
        <v>1002</v>
      </c>
    </row>
    <row r="1006" spans="2:17" s="307" customFormat="1" ht="12.75">
      <c r="B1006" s="384"/>
      <c r="C1006" s="379"/>
      <c r="P1006" s="381" t="s">
        <v>268</v>
      </c>
      <c r="Q1006" s="382" t="s">
        <v>1003</v>
      </c>
    </row>
    <row r="1007" spans="2:17" s="307" customFormat="1" ht="12.75">
      <c r="B1007" s="384"/>
      <c r="C1007" s="379"/>
      <c r="P1007" s="381" t="s">
        <v>268</v>
      </c>
      <c r="Q1007" s="382" t="s">
        <v>573</v>
      </c>
    </row>
    <row r="1008" spans="2:17" s="307" customFormat="1" ht="12.75">
      <c r="B1008" s="384"/>
      <c r="C1008" s="379"/>
      <c r="P1008" s="381" t="s">
        <v>268</v>
      </c>
      <c r="Q1008" s="382" t="s">
        <v>1004</v>
      </c>
    </row>
    <row r="1009" spans="2:17" s="307" customFormat="1" ht="12.75">
      <c r="B1009" s="384"/>
      <c r="C1009" s="379"/>
      <c r="P1009" s="381" t="s">
        <v>268</v>
      </c>
      <c r="Q1009" s="382" t="s">
        <v>1005</v>
      </c>
    </row>
    <row r="1010" spans="2:17" s="307" customFormat="1" ht="12.75">
      <c r="B1010" s="384"/>
      <c r="C1010" s="379"/>
      <c r="P1010" s="381" t="s">
        <v>268</v>
      </c>
      <c r="Q1010" s="382" t="s">
        <v>1006</v>
      </c>
    </row>
    <row r="1011" spans="2:17" s="307" customFormat="1" ht="12.75">
      <c r="B1011" s="384"/>
      <c r="C1011" s="379"/>
      <c r="P1011" s="381" t="s">
        <v>268</v>
      </c>
      <c r="Q1011" s="382" t="s">
        <v>1007</v>
      </c>
    </row>
    <row r="1012" spans="2:17" s="307" customFormat="1" ht="12.75">
      <c r="B1012" s="384"/>
      <c r="C1012" s="379"/>
      <c r="P1012" s="381" t="s">
        <v>268</v>
      </c>
      <c r="Q1012" s="382" t="s">
        <v>574</v>
      </c>
    </row>
    <row r="1013" spans="2:17" s="307" customFormat="1" ht="12.75">
      <c r="B1013" s="384"/>
      <c r="C1013" s="379"/>
      <c r="P1013" s="381" t="s">
        <v>268</v>
      </c>
      <c r="Q1013" s="382" t="s">
        <v>1008</v>
      </c>
    </row>
    <row r="1014" spans="2:17" s="307" customFormat="1" ht="12.75">
      <c r="B1014" s="384"/>
      <c r="C1014" s="379"/>
      <c r="P1014" s="381" t="s">
        <v>268</v>
      </c>
      <c r="Q1014" s="382" t="s">
        <v>1009</v>
      </c>
    </row>
    <row r="1015" spans="2:17" s="307" customFormat="1" ht="12.75">
      <c r="B1015" s="384"/>
      <c r="C1015" s="379"/>
      <c r="P1015" s="381" t="s">
        <v>268</v>
      </c>
      <c r="Q1015" s="382" t="s">
        <v>1151</v>
      </c>
    </row>
    <row r="1016" spans="2:17" s="307" customFormat="1" ht="12.75">
      <c r="B1016" s="384"/>
      <c r="C1016" s="379"/>
      <c r="P1016" s="381" t="s">
        <v>268</v>
      </c>
      <c r="Q1016" s="382" t="s">
        <v>1010</v>
      </c>
    </row>
    <row r="1017" spans="2:17" s="307" customFormat="1" ht="12.75">
      <c r="B1017" s="384"/>
      <c r="C1017" s="379"/>
      <c r="P1017" s="381" t="s">
        <v>268</v>
      </c>
      <c r="Q1017" s="382" t="s">
        <v>1011</v>
      </c>
    </row>
    <row r="1018" spans="2:17" s="307" customFormat="1" ht="12.75">
      <c r="B1018" s="384"/>
      <c r="C1018" s="379"/>
      <c r="P1018" s="381" t="s">
        <v>268</v>
      </c>
      <c r="Q1018" s="382" t="s">
        <v>1152</v>
      </c>
    </row>
    <row r="1019" spans="2:17" s="307" customFormat="1" ht="12.75">
      <c r="B1019" s="384"/>
      <c r="C1019" s="379"/>
      <c r="P1019" s="381" t="s">
        <v>268</v>
      </c>
      <c r="Q1019" s="382" t="s">
        <v>1012</v>
      </c>
    </row>
    <row r="1020" spans="2:17" s="307" customFormat="1" ht="12.75">
      <c r="B1020" s="384"/>
      <c r="C1020" s="379"/>
      <c r="P1020" s="381" t="s">
        <v>268</v>
      </c>
      <c r="Q1020" s="382" t="s">
        <v>1013</v>
      </c>
    </row>
    <row r="1021" spans="2:17" s="307" customFormat="1" ht="12.75">
      <c r="B1021" s="384"/>
      <c r="C1021" s="379"/>
      <c r="P1021" s="381" t="s">
        <v>268</v>
      </c>
      <c r="Q1021" s="382" t="s">
        <v>1014</v>
      </c>
    </row>
    <row r="1022" spans="2:17" s="307" customFormat="1" ht="12.75">
      <c r="B1022" s="384"/>
      <c r="C1022" s="379"/>
      <c r="P1022" s="381" t="s">
        <v>268</v>
      </c>
      <c r="Q1022" s="382" t="s">
        <v>1015</v>
      </c>
    </row>
    <row r="1023" spans="2:17" s="307" customFormat="1" ht="12.75">
      <c r="B1023" s="384"/>
      <c r="C1023" s="379"/>
      <c r="P1023" s="381" t="s">
        <v>268</v>
      </c>
      <c r="Q1023" s="382" t="s">
        <v>1016</v>
      </c>
    </row>
    <row r="1024" spans="2:17" s="307" customFormat="1" ht="12.75">
      <c r="B1024" s="384"/>
      <c r="C1024" s="379"/>
      <c r="P1024" s="381" t="s">
        <v>268</v>
      </c>
      <c r="Q1024" s="382" t="s">
        <v>1017</v>
      </c>
    </row>
    <row r="1025" spans="2:17" s="307" customFormat="1" ht="12.75">
      <c r="B1025" s="384"/>
      <c r="C1025" s="379"/>
      <c r="P1025" s="381" t="s">
        <v>268</v>
      </c>
      <c r="Q1025" s="382" t="s">
        <v>1153</v>
      </c>
    </row>
    <row r="1026" spans="2:17" s="307" customFormat="1" ht="12.75">
      <c r="B1026" s="384"/>
      <c r="C1026" s="379"/>
      <c r="P1026" s="381" t="s">
        <v>268</v>
      </c>
      <c r="Q1026" s="382" t="s">
        <v>1154</v>
      </c>
    </row>
    <row r="1027" spans="2:17" s="307" customFormat="1" ht="12.75">
      <c r="B1027" s="384"/>
      <c r="C1027" s="379"/>
      <c r="P1027" s="381" t="s">
        <v>268</v>
      </c>
      <c r="Q1027" s="382" t="s">
        <v>966</v>
      </c>
    </row>
    <row r="1028" spans="2:17" s="307" customFormat="1" ht="12.75">
      <c r="B1028" s="384"/>
      <c r="C1028" s="379"/>
      <c r="P1028" s="381" t="s">
        <v>268</v>
      </c>
      <c r="Q1028" s="382" t="s">
        <v>695</v>
      </c>
    </row>
    <row r="1029" spans="2:17" s="307" customFormat="1" ht="12.75">
      <c r="B1029" s="384"/>
      <c r="C1029" s="379"/>
      <c r="P1029" s="381" t="s">
        <v>268</v>
      </c>
      <c r="Q1029" s="382" t="s">
        <v>1155</v>
      </c>
    </row>
    <row r="1030" spans="2:17" s="307" customFormat="1" ht="12.75">
      <c r="B1030" s="384"/>
      <c r="C1030" s="379"/>
      <c r="P1030" s="381" t="s">
        <v>268</v>
      </c>
      <c r="Q1030" s="382" t="s">
        <v>968</v>
      </c>
    </row>
    <row r="1031" spans="2:17" s="307" customFormat="1" ht="12.75">
      <c r="B1031" s="384"/>
      <c r="C1031" s="379"/>
      <c r="P1031" s="381" t="s">
        <v>268</v>
      </c>
      <c r="Q1031" s="382" t="s">
        <v>1156</v>
      </c>
    </row>
    <row r="1032" spans="2:17" s="307" customFormat="1" ht="12.75">
      <c r="B1032" s="384"/>
      <c r="C1032" s="379"/>
      <c r="P1032" s="381" t="s">
        <v>268</v>
      </c>
      <c r="Q1032" s="382" t="s">
        <v>969</v>
      </c>
    </row>
    <row r="1033" spans="2:17" s="307" customFormat="1" ht="12.75">
      <c r="B1033" s="384"/>
      <c r="C1033" s="379"/>
      <c r="P1033" s="381" t="s">
        <v>268</v>
      </c>
      <c r="Q1033" s="382" t="s">
        <v>970</v>
      </c>
    </row>
    <row r="1034" spans="2:17" s="307" customFormat="1" ht="12.75">
      <c r="B1034" s="384"/>
      <c r="C1034" s="379"/>
      <c r="P1034" s="381" t="s">
        <v>268</v>
      </c>
      <c r="Q1034" s="382" t="s">
        <v>971</v>
      </c>
    </row>
    <row r="1035" spans="2:17" s="307" customFormat="1" ht="12.75">
      <c r="B1035" s="384"/>
      <c r="C1035" s="379"/>
      <c r="P1035" s="381" t="s">
        <v>268</v>
      </c>
      <c r="Q1035" s="382" t="s">
        <v>972</v>
      </c>
    </row>
    <row r="1036" spans="2:17" s="307" customFormat="1" ht="12.75">
      <c r="B1036" s="384"/>
      <c r="C1036" s="379"/>
      <c r="P1036" s="381" t="s">
        <v>268</v>
      </c>
      <c r="Q1036" s="382" t="s">
        <v>698</v>
      </c>
    </row>
    <row r="1037" spans="2:17" s="307" customFormat="1" ht="12.75">
      <c r="B1037" s="384"/>
      <c r="C1037" s="379"/>
      <c r="P1037" s="381" t="s">
        <v>268</v>
      </c>
      <c r="Q1037" s="382" t="s">
        <v>699</v>
      </c>
    </row>
    <row r="1038" spans="2:17" s="307" customFormat="1" ht="12.75">
      <c r="B1038" s="384"/>
      <c r="C1038" s="379"/>
      <c r="P1038" s="381" t="s">
        <v>268</v>
      </c>
      <c r="Q1038" s="382" t="s">
        <v>973</v>
      </c>
    </row>
    <row r="1039" spans="2:17" s="307" customFormat="1" ht="12.75">
      <c r="B1039" s="384"/>
      <c r="C1039" s="379"/>
      <c r="P1039" s="381" t="s">
        <v>268</v>
      </c>
      <c r="Q1039" s="382" t="s">
        <v>974</v>
      </c>
    </row>
    <row r="1040" spans="2:17" s="307" customFormat="1" ht="12.75">
      <c r="B1040" s="384"/>
      <c r="C1040" s="379"/>
      <c r="P1040" s="381" t="s">
        <v>268</v>
      </c>
      <c r="Q1040" s="382" t="s">
        <v>701</v>
      </c>
    </row>
    <row r="1041" spans="2:17" s="307" customFormat="1" ht="12.75">
      <c r="B1041" s="384"/>
      <c r="C1041" s="379"/>
      <c r="P1041" s="381" t="s">
        <v>268</v>
      </c>
      <c r="Q1041" s="382" t="s">
        <v>975</v>
      </c>
    </row>
    <row r="1042" spans="2:17" s="307" customFormat="1" ht="12.75">
      <c r="B1042" s="384"/>
      <c r="C1042" s="379"/>
      <c r="P1042" s="381" t="s">
        <v>268</v>
      </c>
      <c r="Q1042" s="382" t="s">
        <v>1157</v>
      </c>
    </row>
    <row r="1043" spans="2:17" s="307" customFormat="1" ht="12.75">
      <c r="B1043" s="384"/>
      <c r="C1043" s="379"/>
      <c r="P1043" s="381" t="s">
        <v>268</v>
      </c>
      <c r="Q1043" s="382" t="s">
        <v>702</v>
      </c>
    </row>
    <row r="1044" spans="2:17" s="307" customFormat="1" ht="12.75">
      <c r="B1044" s="384"/>
      <c r="C1044" s="379"/>
      <c r="P1044" s="381" t="s">
        <v>268</v>
      </c>
      <c r="Q1044" s="382" t="s">
        <v>703</v>
      </c>
    </row>
    <row r="1045" spans="2:17" s="307" customFormat="1" ht="12.75">
      <c r="B1045" s="384"/>
      <c r="C1045" s="379"/>
      <c r="P1045" s="381" t="s">
        <v>268</v>
      </c>
      <c r="Q1045" s="382" t="s">
        <v>1158</v>
      </c>
    </row>
    <row r="1046" spans="2:17" s="307" customFormat="1" ht="12.75">
      <c r="B1046" s="384"/>
      <c r="C1046" s="379"/>
      <c r="P1046" s="381" t="s">
        <v>268</v>
      </c>
      <c r="Q1046" s="382" t="s">
        <v>705</v>
      </c>
    </row>
    <row r="1047" spans="2:17" s="307" customFormat="1" ht="12.75">
      <c r="B1047" s="384"/>
      <c r="C1047" s="379"/>
      <c r="P1047" s="381" t="s">
        <v>268</v>
      </c>
      <c r="Q1047" s="382" t="s">
        <v>976</v>
      </c>
    </row>
    <row r="1048" spans="2:17" s="307" customFormat="1" ht="12.75">
      <c r="B1048" s="384"/>
      <c r="C1048" s="379"/>
      <c r="P1048" s="381" t="s">
        <v>268</v>
      </c>
      <c r="Q1048" s="382" t="s">
        <v>1159</v>
      </c>
    </row>
    <row r="1049" spans="2:17" s="307" customFormat="1" ht="12.75">
      <c r="B1049" s="384"/>
      <c r="C1049" s="379"/>
      <c r="P1049" s="381" t="s">
        <v>268</v>
      </c>
      <c r="Q1049" s="382" t="s">
        <v>1160</v>
      </c>
    </row>
    <row r="1050" spans="2:17" s="307" customFormat="1" ht="12.75">
      <c r="B1050" s="384"/>
      <c r="C1050" s="379"/>
      <c r="P1050" s="381" t="s">
        <v>268</v>
      </c>
      <c r="Q1050" s="382" t="s">
        <v>706</v>
      </c>
    </row>
    <row r="1051" spans="2:17" s="307" customFormat="1" ht="12.75">
      <c r="B1051" s="384"/>
      <c r="C1051" s="379"/>
      <c r="P1051" s="381" t="s">
        <v>268</v>
      </c>
      <c r="Q1051" s="382" t="s">
        <v>977</v>
      </c>
    </row>
    <row r="1052" spans="2:17" s="307" customFormat="1" ht="12.75">
      <c r="B1052" s="384"/>
      <c r="C1052" s="379"/>
      <c r="P1052" s="381" t="s">
        <v>268</v>
      </c>
      <c r="Q1052" s="382" t="s">
        <v>978</v>
      </c>
    </row>
    <row r="1053" spans="2:17" s="307" customFormat="1" ht="12.75">
      <c r="B1053" s="384"/>
      <c r="C1053" s="379"/>
      <c r="P1053" s="381" t="s">
        <v>268</v>
      </c>
      <c r="Q1053" s="382" t="s">
        <v>979</v>
      </c>
    </row>
    <row r="1054" spans="2:17" s="307" customFormat="1" ht="12.75">
      <c r="B1054" s="384"/>
      <c r="C1054" s="379"/>
      <c r="P1054" s="381" t="s">
        <v>268</v>
      </c>
      <c r="Q1054" s="382" t="s">
        <v>980</v>
      </c>
    </row>
    <row r="1055" spans="2:17" s="307" customFormat="1" ht="12.75">
      <c r="B1055" s="384"/>
      <c r="C1055" s="379"/>
      <c r="P1055" s="381" t="s">
        <v>268</v>
      </c>
      <c r="Q1055" s="382" t="s">
        <v>967</v>
      </c>
    </row>
    <row r="1056" spans="2:17" s="307" customFormat="1" ht="12.75">
      <c r="B1056" s="384"/>
      <c r="C1056" s="379"/>
      <c r="P1056" s="381" t="s">
        <v>268</v>
      </c>
      <c r="Q1056" s="382" t="s">
        <v>762</v>
      </c>
    </row>
    <row r="1057" spans="2:17" s="307" customFormat="1" ht="12.75">
      <c r="B1057" s="384"/>
      <c r="C1057" s="379"/>
      <c r="P1057" s="381" t="s">
        <v>268</v>
      </c>
      <c r="Q1057" s="382" t="s">
        <v>1161</v>
      </c>
    </row>
    <row r="1058" spans="2:17" s="307" customFormat="1" ht="12.75">
      <c r="B1058" s="384"/>
      <c r="C1058" s="379"/>
      <c r="P1058" s="381" t="s">
        <v>268</v>
      </c>
      <c r="Q1058" s="382" t="s">
        <v>1162</v>
      </c>
    </row>
    <row r="1059" spans="2:17" s="307" customFormat="1" ht="12.75">
      <c r="B1059" s="384"/>
      <c r="C1059" s="379"/>
      <c r="P1059" s="381" t="s">
        <v>268</v>
      </c>
      <c r="Q1059" s="382" t="s">
        <v>771</v>
      </c>
    </row>
    <row r="1060" spans="2:17" s="307" customFormat="1" ht="12.75">
      <c r="B1060" s="384"/>
      <c r="C1060" s="379"/>
      <c r="P1060" s="381" t="s">
        <v>268</v>
      </c>
      <c r="Q1060" s="382" t="s">
        <v>1163</v>
      </c>
    </row>
    <row r="1061" spans="2:17" s="307" customFormat="1" ht="12.75">
      <c r="B1061" s="384"/>
      <c r="C1061" s="379"/>
      <c r="P1061" s="381" t="s">
        <v>268</v>
      </c>
      <c r="Q1061" s="382" t="s">
        <v>1164</v>
      </c>
    </row>
    <row r="1062" spans="2:17" s="307" customFormat="1" ht="12.75">
      <c r="B1062" s="384"/>
      <c r="C1062" s="379"/>
      <c r="P1062" s="381" t="s">
        <v>268</v>
      </c>
      <c r="Q1062" s="382" t="s">
        <v>1165</v>
      </c>
    </row>
    <row r="1063" spans="2:17" s="307" customFormat="1" ht="12.75">
      <c r="B1063" s="384"/>
      <c r="C1063" s="379"/>
      <c r="P1063" s="381" t="s">
        <v>268</v>
      </c>
      <c r="Q1063" s="382" t="s">
        <v>1166</v>
      </c>
    </row>
    <row r="1064" spans="2:17" s="307" customFormat="1" ht="12.75">
      <c r="B1064" s="384"/>
      <c r="C1064" s="379"/>
      <c r="P1064" s="381" t="s">
        <v>268</v>
      </c>
      <c r="Q1064" s="382" t="s">
        <v>1167</v>
      </c>
    </row>
    <row r="1065" spans="2:17" s="307" customFormat="1" ht="12.75">
      <c r="B1065" s="384"/>
      <c r="C1065" s="379"/>
      <c r="P1065" s="381" t="s">
        <v>268</v>
      </c>
      <c r="Q1065" s="382" t="s">
        <v>1168</v>
      </c>
    </row>
    <row r="1066" spans="2:17" s="307" customFormat="1" ht="12.75">
      <c r="B1066" s="384"/>
      <c r="C1066" s="379"/>
      <c r="P1066" s="381" t="s">
        <v>268</v>
      </c>
      <c r="Q1066" s="382" t="s">
        <v>189</v>
      </c>
    </row>
    <row r="1067" spans="2:17" s="307" customFormat="1" ht="12.75">
      <c r="B1067" s="384"/>
      <c r="C1067" s="379"/>
      <c r="P1067" s="381" t="s">
        <v>268</v>
      </c>
      <c r="Q1067" s="382" t="s">
        <v>937</v>
      </c>
    </row>
    <row r="1068" spans="2:17" s="307" customFormat="1" ht="12.75">
      <c r="B1068" s="384"/>
      <c r="C1068" s="379"/>
      <c r="P1068" s="381" t="s">
        <v>268</v>
      </c>
      <c r="Q1068" s="382" t="s">
        <v>773</v>
      </c>
    </row>
    <row r="1069" spans="2:17" s="307" customFormat="1" ht="12.75">
      <c r="B1069" s="384"/>
      <c r="C1069" s="379"/>
      <c r="P1069" s="381" t="s">
        <v>268</v>
      </c>
      <c r="Q1069" s="382" t="s">
        <v>938</v>
      </c>
    </row>
    <row r="1070" spans="2:17" s="307" customFormat="1" ht="12.75">
      <c r="B1070" s="384"/>
      <c r="C1070" s="379"/>
      <c r="P1070" s="381" t="s">
        <v>268</v>
      </c>
      <c r="Q1070" s="382" t="s">
        <v>1169</v>
      </c>
    </row>
    <row r="1071" spans="2:17" s="307" customFormat="1" ht="12.75">
      <c r="B1071" s="384"/>
      <c r="C1071" s="379"/>
      <c r="P1071" s="381" t="s">
        <v>268</v>
      </c>
      <c r="Q1071" s="382" t="s">
        <v>1170</v>
      </c>
    </row>
    <row r="1072" spans="2:17" s="307" customFormat="1" ht="12.75">
      <c r="B1072" s="384"/>
      <c r="C1072" s="379"/>
      <c r="P1072" s="381" t="s">
        <v>268</v>
      </c>
      <c r="Q1072" s="382" t="s">
        <v>939</v>
      </c>
    </row>
    <row r="1073" spans="2:17" s="307" customFormat="1" ht="12.75">
      <c r="B1073" s="384"/>
      <c r="C1073" s="379"/>
      <c r="P1073" s="381" t="s">
        <v>268</v>
      </c>
      <c r="Q1073" s="382" t="s">
        <v>1171</v>
      </c>
    </row>
    <row r="1074" spans="2:17" s="307" customFormat="1" ht="12.75">
      <c r="B1074" s="384"/>
      <c r="C1074" s="379"/>
      <c r="P1074" s="381" t="s">
        <v>268</v>
      </c>
      <c r="Q1074" s="382" t="s">
        <v>940</v>
      </c>
    </row>
    <row r="1075" spans="2:17" s="307" customFormat="1" ht="12.75">
      <c r="B1075" s="384"/>
      <c r="C1075" s="379"/>
      <c r="P1075" s="381" t="s">
        <v>268</v>
      </c>
      <c r="Q1075" s="382" t="s">
        <v>1172</v>
      </c>
    </row>
    <row r="1076" spans="2:17" s="307" customFormat="1" ht="12.75">
      <c r="B1076" s="384"/>
      <c r="C1076" s="379"/>
      <c r="P1076" s="381" t="s">
        <v>268</v>
      </c>
      <c r="Q1076" s="382" t="s">
        <v>941</v>
      </c>
    </row>
    <row r="1077" spans="2:17" s="307" customFormat="1" ht="12.75">
      <c r="B1077" s="384"/>
      <c r="C1077" s="379"/>
      <c r="P1077" s="381" t="s">
        <v>268</v>
      </c>
      <c r="Q1077" s="382" t="s">
        <v>1173</v>
      </c>
    </row>
    <row r="1078" spans="2:17" s="307" customFormat="1" ht="12.75">
      <c r="B1078" s="384"/>
      <c r="C1078" s="379"/>
      <c r="P1078" s="381" t="s">
        <v>268</v>
      </c>
      <c r="Q1078" s="382" t="s">
        <v>923</v>
      </c>
    </row>
    <row r="1079" spans="2:17" s="307" customFormat="1" ht="12.75">
      <c r="B1079" s="384"/>
      <c r="C1079" s="379"/>
      <c r="P1079" s="381" t="s">
        <v>268</v>
      </c>
      <c r="Q1079" s="382" t="s">
        <v>924</v>
      </c>
    </row>
    <row r="1080" spans="2:17" s="307" customFormat="1" ht="12.75">
      <c r="B1080" s="384"/>
      <c r="C1080" s="379"/>
      <c r="P1080" s="381" t="s">
        <v>790</v>
      </c>
      <c r="Q1080" s="382" t="s">
        <v>942</v>
      </c>
    </row>
    <row r="1081" spans="2:17" s="307" customFormat="1" ht="12.75">
      <c r="B1081" s="384"/>
      <c r="C1081" s="379"/>
      <c r="P1081" s="381" t="s">
        <v>790</v>
      </c>
      <c r="Q1081" s="382" t="s">
        <v>692</v>
      </c>
    </row>
    <row r="1082" spans="2:17" s="307" customFormat="1" ht="12.75">
      <c r="B1082" s="384"/>
      <c r="C1082" s="379"/>
      <c r="P1082" s="381" t="s">
        <v>791</v>
      </c>
      <c r="Q1082" s="382" t="s">
        <v>942</v>
      </c>
    </row>
    <row r="1083" spans="2:17" s="307" customFormat="1" ht="12.75">
      <c r="B1083" s="384"/>
      <c r="C1083" s="379"/>
      <c r="P1083" s="381" t="s">
        <v>474</v>
      </c>
      <c r="Q1083" s="382" t="s">
        <v>620</v>
      </c>
    </row>
    <row r="1084" spans="2:17" s="307" customFormat="1" ht="12.75">
      <c r="B1084" s="384"/>
      <c r="C1084" s="379"/>
      <c r="P1084" s="381" t="s">
        <v>474</v>
      </c>
      <c r="Q1084" s="382" t="s">
        <v>629</v>
      </c>
    </row>
    <row r="1085" spans="2:17" s="307" customFormat="1" ht="12.75">
      <c r="B1085" s="384"/>
      <c r="C1085" s="379"/>
      <c r="P1085" s="381" t="s">
        <v>474</v>
      </c>
      <c r="Q1085" s="382" t="s">
        <v>631</v>
      </c>
    </row>
    <row r="1086" spans="2:17" s="307" customFormat="1" ht="12.75">
      <c r="B1086" s="384"/>
      <c r="C1086" s="379"/>
      <c r="P1086" s="381" t="s">
        <v>474</v>
      </c>
      <c r="Q1086" s="382" t="s">
        <v>632</v>
      </c>
    </row>
    <row r="1087" spans="2:17" s="307" customFormat="1" ht="12.75">
      <c r="B1087" s="384"/>
      <c r="C1087" s="379"/>
      <c r="P1087" s="381" t="s">
        <v>475</v>
      </c>
      <c r="Q1087" s="382" t="s">
        <v>629</v>
      </c>
    </row>
    <row r="1088" spans="2:17" s="307" customFormat="1" ht="12.75">
      <c r="B1088" s="384"/>
      <c r="C1088" s="379"/>
      <c r="P1088" s="381" t="s">
        <v>475</v>
      </c>
      <c r="Q1088" s="382" t="s">
        <v>631</v>
      </c>
    </row>
    <row r="1089" spans="2:17" s="307" customFormat="1" ht="12.75">
      <c r="B1089" s="384"/>
      <c r="C1089" s="379"/>
      <c r="P1089" s="381" t="s">
        <v>277</v>
      </c>
      <c r="Q1089" s="382" t="s">
        <v>655</v>
      </c>
    </row>
    <row r="1090" spans="2:17" s="307" customFormat="1" ht="12.75">
      <c r="B1090" s="384"/>
      <c r="C1090" s="379"/>
      <c r="P1090" s="381" t="s">
        <v>277</v>
      </c>
      <c r="Q1090" s="382" t="s">
        <v>669</v>
      </c>
    </row>
    <row r="1091" spans="2:17" s="307" customFormat="1" ht="12.75">
      <c r="B1091" s="384"/>
      <c r="C1091" s="379"/>
      <c r="P1091" s="381" t="s">
        <v>277</v>
      </c>
      <c r="Q1091" s="382" t="s">
        <v>670</v>
      </c>
    </row>
    <row r="1092" spans="2:17" s="307" customFormat="1" ht="12.75">
      <c r="B1092" s="384"/>
      <c r="C1092" s="379"/>
      <c r="P1092" s="381" t="s">
        <v>277</v>
      </c>
      <c r="Q1092" s="382" t="s">
        <v>677</v>
      </c>
    </row>
    <row r="1093" spans="2:17" s="307" customFormat="1" ht="12.75">
      <c r="B1093" s="384"/>
      <c r="C1093" s="379"/>
      <c r="P1093" s="381" t="s">
        <v>277</v>
      </c>
      <c r="Q1093" s="382" t="s">
        <v>682</v>
      </c>
    </row>
    <row r="1094" spans="2:17" s="307" customFormat="1" ht="12.75">
      <c r="B1094" s="384"/>
      <c r="C1094" s="379"/>
      <c r="P1094" s="381" t="s">
        <v>278</v>
      </c>
      <c r="Q1094" s="382" t="s">
        <v>651</v>
      </c>
    </row>
    <row r="1095" spans="2:17" s="307" customFormat="1" ht="12.75">
      <c r="B1095" s="384"/>
      <c r="C1095" s="379"/>
      <c r="P1095" s="381" t="s">
        <v>278</v>
      </c>
      <c r="Q1095" s="382" t="s">
        <v>666</v>
      </c>
    </row>
    <row r="1096" spans="2:17" s="307" customFormat="1" ht="12.75">
      <c r="B1096" s="384"/>
      <c r="C1096" s="379"/>
      <c r="P1096" s="381" t="s">
        <v>278</v>
      </c>
      <c r="Q1096" s="382" t="s">
        <v>671</v>
      </c>
    </row>
    <row r="1097" spans="2:17" s="307" customFormat="1" ht="12.75">
      <c r="B1097" s="384"/>
      <c r="C1097" s="379"/>
      <c r="P1097" s="381" t="s">
        <v>278</v>
      </c>
      <c r="Q1097" s="382" t="s">
        <v>674</v>
      </c>
    </row>
    <row r="1098" spans="2:17" s="307" customFormat="1" ht="12.75">
      <c r="B1098" s="384"/>
      <c r="C1098" s="379"/>
      <c r="P1098" s="381" t="s">
        <v>279</v>
      </c>
      <c r="Q1098" s="382" t="s">
        <v>746</v>
      </c>
    </row>
    <row r="1099" spans="2:17" s="307" customFormat="1" ht="12.75">
      <c r="B1099" s="384"/>
      <c r="C1099" s="379"/>
      <c r="P1099" s="381" t="s">
        <v>557</v>
      </c>
      <c r="Q1099" s="382" t="s">
        <v>893</v>
      </c>
    </row>
    <row r="1100" spans="2:17" s="307" customFormat="1" ht="12.75">
      <c r="B1100" s="384"/>
      <c r="C1100" s="379"/>
      <c r="P1100" s="381" t="s">
        <v>557</v>
      </c>
      <c r="Q1100" s="382" t="s">
        <v>894</v>
      </c>
    </row>
    <row r="1101" spans="2:17" s="307" customFormat="1" ht="12.75">
      <c r="B1101" s="384"/>
      <c r="C1101" s="379"/>
      <c r="P1101" s="381" t="s">
        <v>557</v>
      </c>
      <c r="Q1101" s="382" t="s">
        <v>895</v>
      </c>
    </row>
    <row r="1102" spans="2:17" s="307" customFormat="1" ht="12.75">
      <c r="B1102" s="384"/>
      <c r="C1102" s="379"/>
      <c r="P1102" s="381" t="s">
        <v>557</v>
      </c>
      <c r="Q1102" s="382" t="s">
        <v>896</v>
      </c>
    </row>
    <row r="1103" spans="2:17" s="307" customFormat="1" ht="12.75">
      <c r="B1103" s="384"/>
      <c r="C1103" s="379"/>
      <c r="P1103" s="381" t="s">
        <v>557</v>
      </c>
      <c r="Q1103" s="382" t="s">
        <v>897</v>
      </c>
    </row>
    <row r="1104" spans="2:17" s="307" customFormat="1" ht="12.75">
      <c r="B1104" s="384"/>
      <c r="C1104" s="379"/>
      <c r="P1104" s="381" t="s">
        <v>557</v>
      </c>
      <c r="Q1104" s="382" t="s">
        <v>1329</v>
      </c>
    </row>
    <row r="1105" spans="2:17" s="307" customFormat="1" ht="12.75">
      <c r="B1105" s="384"/>
      <c r="C1105" s="379"/>
      <c r="P1105" s="381" t="s">
        <v>557</v>
      </c>
      <c r="Q1105" s="382" t="s">
        <v>1330</v>
      </c>
    </row>
    <row r="1106" spans="2:17" s="307" customFormat="1" ht="12.75">
      <c r="B1106" s="384"/>
      <c r="C1106" s="379"/>
      <c r="P1106" s="381" t="s">
        <v>557</v>
      </c>
      <c r="Q1106" s="382" t="s">
        <v>1331</v>
      </c>
    </row>
    <row r="1107" spans="2:17" s="307" customFormat="1" ht="12.75">
      <c r="B1107" s="384"/>
      <c r="C1107" s="379"/>
      <c r="P1107" s="381" t="s">
        <v>557</v>
      </c>
      <c r="Q1107" s="382" t="s">
        <v>1332</v>
      </c>
    </row>
    <row r="1108" spans="2:17" s="307" customFormat="1" ht="12.75">
      <c r="B1108" s="384"/>
      <c r="C1108" s="379"/>
      <c r="P1108" s="381" t="s">
        <v>557</v>
      </c>
      <c r="Q1108" s="382" t="s">
        <v>1333</v>
      </c>
    </row>
    <row r="1109" spans="2:17" s="307" customFormat="1" ht="12.75">
      <c r="B1109" s="384"/>
      <c r="C1109" s="379"/>
      <c r="P1109" s="381" t="s">
        <v>557</v>
      </c>
      <c r="Q1109" s="382" t="s">
        <v>1334</v>
      </c>
    </row>
    <row r="1110" spans="2:17" s="307" customFormat="1" ht="12.75">
      <c r="B1110" s="384"/>
      <c r="C1110" s="379"/>
      <c r="P1110" s="381" t="s">
        <v>557</v>
      </c>
      <c r="Q1110" s="382" t="s">
        <v>1335</v>
      </c>
    </row>
    <row r="1111" spans="2:17" s="307" customFormat="1" ht="12.75">
      <c r="B1111" s="384"/>
      <c r="C1111" s="379"/>
      <c r="P1111" s="381" t="s">
        <v>557</v>
      </c>
      <c r="Q1111" s="382" t="s">
        <v>1336</v>
      </c>
    </row>
    <row r="1112" spans="2:17" s="307" customFormat="1" ht="12.75">
      <c r="B1112" s="384"/>
      <c r="C1112" s="379"/>
      <c r="P1112" s="381" t="s">
        <v>557</v>
      </c>
      <c r="Q1112" s="382" t="s">
        <v>1337</v>
      </c>
    </row>
    <row r="1113" spans="2:17" s="307" customFormat="1" ht="12.75">
      <c r="B1113" s="384"/>
      <c r="C1113" s="379"/>
      <c r="P1113" s="381" t="s">
        <v>557</v>
      </c>
      <c r="Q1113" s="382" t="s">
        <v>1338</v>
      </c>
    </row>
    <row r="1114" spans="2:17" s="307" customFormat="1" ht="12.75">
      <c r="B1114" s="384"/>
      <c r="C1114" s="379"/>
      <c r="P1114" s="381" t="s">
        <v>558</v>
      </c>
      <c r="Q1114" s="382" t="s">
        <v>893</v>
      </c>
    </row>
    <row r="1115" spans="2:17" s="307" customFormat="1" ht="12.75">
      <c r="B1115" s="384"/>
      <c r="C1115" s="379"/>
      <c r="P1115" s="381" t="s">
        <v>558</v>
      </c>
      <c r="Q1115" s="382" t="s">
        <v>894</v>
      </c>
    </row>
    <row r="1116" spans="2:17" s="307" customFormat="1" ht="12.75">
      <c r="B1116" s="384"/>
      <c r="C1116" s="379"/>
      <c r="P1116" s="381" t="s">
        <v>558</v>
      </c>
      <c r="Q1116" s="382" t="s">
        <v>895</v>
      </c>
    </row>
    <row r="1117" spans="2:17" s="307" customFormat="1" ht="12.75">
      <c r="B1117" s="384"/>
      <c r="C1117" s="379"/>
      <c r="P1117" s="381" t="s">
        <v>558</v>
      </c>
      <c r="Q1117" s="382" t="s">
        <v>896</v>
      </c>
    </row>
    <row r="1118" spans="2:17" s="307" customFormat="1" ht="12.75">
      <c r="B1118" s="384"/>
      <c r="C1118" s="379"/>
      <c r="P1118" s="381" t="s">
        <v>558</v>
      </c>
      <c r="Q1118" s="382" t="s">
        <v>897</v>
      </c>
    </row>
    <row r="1119" spans="2:17" s="307" customFormat="1" ht="12.75">
      <c r="B1119" s="384"/>
      <c r="C1119" s="379"/>
      <c r="P1119" s="381" t="s">
        <v>558</v>
      </c>
      <c r="Q1119" s="382" t="s">
        <v>923</v>
      </c>
    </row>
    <row r="1120" spans="2:17" s="307" customFormat="1" ht="12.75">
      <c r="B1120" s="384"/>
      <c r="C1120" s="379"/>
      <c r="P1120" s="381" t="s">
        <v>558</v>
      </c>
      <c r="Q1120" s="382" t="s">
        <v>1339</v>
      </c>
    </row>
    <row r="1121" spans="2:17" s="307" customFormat="1" ht="12.75">
      <c r="B1121" s="384"/>
      <c r="C1121" s="379"/>
      <c r="P1121" s="381" t="s">
        <v>558</v>
      </c>
      <c r="Q1121" s="382" t="s">
        <v>1340</v>
      </c>
    </row>
    <row r="1122" spans="2:17" s="307" customFormat="1" ht="12.75">
      <c r="B1122" s="384"/>
      <c r="C1122" s="379"/>
      <c r="P1122" s="381" t="s">
        <v>558</v>
      </c>
      <c r="Q1122" s="382" t="s">
        <v>1341</v>
      </c>
    </row>
    <row r="1123" spans="2:17" s="307" customFormat="1" ht="12.75">
      <c r="B1123" s="384"/>
      <c r="C1123" s="379"/>
      <c r="P1123" s="381" t="s">
        <v>558</v>
      </c>
      <c r="Q1123" s="382" t="s">
        <v>924</v>
      </c>
    </row>
    <row r="1124" spans="2:17" s="307" customFormat="1" ht="12.75">
      <c r="B1124" s="384"/>
      <c r="C1124" s="379"/>
      <c r="P1124" s="381" t="s">
        <v>558</v>
      </c>
      <c r="Q1124" s="382" t="s">
        <v>1342</v>
      </c>
    </row>
    <row r="1125" spans="2:17" s="307" customFormat="1" ht="12.75">
      <c r="B1125" s="384"/>
      <c r="C1125" s="379"/>
      <c r="P1125" s="381" t="s">
        <v>558</v>
      </c>
      <c r="Q1125" s="382" t="s">
        <v>1343</v>
      </c>
    </row>
    <row r="1126" spans="2:17" s="307" customFormat="1" ht="12.75">
      <c r="B1126" s="384"/>
      <c r="C1126" s="379"/>
      <c r="P1126" s="381" t="s">
        <v>558</v>
      </c>
      <c r="Q1126" s="382" t="s">
        <v>1344</v>
      </c>
    </row>
    <row r="1127" spans="2:17" s="307" customFormat="1" ht="12.75">
      <c r="B1127" s="384"/>
      <c r="C1127" s="379"/>
      <c r="P1127" s="381" t="s">
        <v>558</v>
      </c>
      <c r="Q1127" s="382" t="s">
        <v>1345</v>
      </c>
    </row>
    <row r="1128" spans="2:17" s="307" customFormat="1" ht="12.75">
      <c r="B1128" s="384"/>
      <c r="C1128" s="379"/>
      <c r="P1128" s="381" t="s">
        <v>558</v>
      </c>
      <c r="Q1128" s="382" t="s">
        <v>1346</v>
      </c>
    </row>
    <row r="1129" spans="2:17" s="307" customFormat="1" ht="12.75">
      <c r="B1129" s="384"/>
      <c r="C1129" s="379"/>
      <c r="P1129" s="381" t="s">
        <v>476</v>
      </c>
      <c r="Q1129" s="382" t="s">
        <v>1053</v>
      </c>
    </row>
    <row r="1130" spans="2:17" s="307" customFormat="1" ht="12.75">
      <c r="B1130" s="384"/>
      <c r="C1130" s="379"/>
      <c r="P1130" s="381" t="s">
        <v>283</v>
      </c>
      <c r="Q1130" s="382" t="s">
        <v>708</v>
      </c>
    </row>
    <row r="1131" spans="2:17" s="307" customFormat="1" ht="12.75">
      <c r="B1131" s="384"/>
      <c r="C1131" s="379"/>
      <c r="P1131" s="381" t="s">
        <v>283</v>
      </c>
      <c r="Q1131" s="382" t="s">
        <v>756</v>
      </c>
    </row>
    <row r="1132" spans="2:17" s="307" customFormat="1" ht="12.75">
      <c r="B1132" s="384"/>
      <c r="C1132" s="379"/>
      <c r="P1132" s="381" t="s">
        <v>282</v>
      </c>
      <c r="Q1132" s="382" t="s">
        <v>844</v>
      </c>
    </row>
    <row r="1133" spans="2:17" s="307" customFormat="1" ht="12.75">
      <c r="B1133" s="384"/>
      <c r="C1133" s="379"/>
      <c r="P1133" s="381" t="s">
        <v>282</v>
      </c>
      <c r="Q1133" s="382" t="s">
        <v>1055</v>
      </c>
    </row>
    <row r="1134" spans="2:17" s="307" customFormat="1" ht="12.75">
      <c r="B1134" s="384"/>
      <c r="C1134" s="379"/>
      <c r="P1134" s="381" t="s">
        <v>282</v>
      </c>
      <c r="Q1134" s="382" t="s">
        <v>1056</v>
      </c>
    </row>
    <row r="1135" spans="2:17" s="307" customFormat="1" ht="12.75">
      <c r="B1135" s="384"/>
      <c r="C1135" s="379"/>
      <c r="P1135" s="381" t="s">
        <v>282</v>
      </c>
      <c r="Q1135" s="382" t="s">
        <v>845</v>
      </c>
    </row>
    <row r="1136" spans="2:17" s="307" customFormat="1" ht="12.75">
      <c r="B1136" s="384"/>
      <c r="C1136" s="379"/>
      <c r="P1136" s="381" t="s">
        <v>282</v>
      </c>
      <c r="Q1136" s="382" t="s">
        <v>846</v>
      </c>
    </row>
    <row r="1137" spans="2:17" s="307" customFormat="1" ht="12.75">
      <c r="B1137" s="384"/>
      <c r="C1137" s="379"/>
      <c r="P1137" s="381" t="s">
        <v>282</v>
      </c>
      <c r="Q1137" s="382" t="s">
        <v>1057</v>
      </c>
    </row>
    <row r="1138" spans="2:17" s="307" customFormat="1" ht="12.75">
      <c r="B1138" s="384"/>
      <c r="C1138" s="379"/>
      <c r="P1138" s="381" t="s">
        <v>282</v>
      </c>
      <c r="Q1138" s="382" t="s">
        <v>1058</v>
      </c>
    </row>
    <row r="1139" spans="2:17" s="307" customFormat="1" ht="12.75">
      <c r="B1139" s="384"/>
      <c r="C1139" s="379"/>
      <c r="P1139" s="381" t="s">
        <v>282</v>
      </c>
      <c r="Q1139" s="382" t="s">
        <v>1059</v>
      </c>
    </row>
    <row r="1140" spans="2:17" s="307" customFormat="1" ht="12.75">
      <c r="B1140" s="384"/>
      <c r="C1140" s="379"/>
      <c r="P1140" s="381" t="s">
        <v>282</v>
      </c>
      <c r="Q1140" s="382" t="s">
        <v>1060</v>
      </c>
    </row>
    <row r="1141" spans="2:17" s="307" customFormat="1" ht="12.75">
      <c r="B1141" s="384"/>
      <c r="C1141" s="379"/>
      <c r="P1141" s="381" t="s">
        <v>282</v>
      </c>
      <c r="Q1141" s="382" t="s">
        <v>847</v>
      </c>
    </row>
    <row r="1142" spans="2:17" s="307" customFormat="1" ht="12.75">
      <c r="B1142" s="384"/>
      <c r="C1142" s="379"/>
      <c r="P1142" s="381" t="s">
        <v>282</v>
      </c>
      <c r="Q1142" s="382" t="s">
        <v>1061</v>
      </c>
    </row>
    <row r="1143" spans="2:17" s="307" customFormat="1" ht="12.75">
      <c r="B1143" s="384"/>
      <c r="C1143" s="379"/>
      <c r="P1143" s="381" t="s">
        <v>282</v>
      </c>
      <c r="Q1143" s="382" t="s">
        <v>848</v>
      </c>
    </row>
    <row r="1144" spans="2:17" s="307" customFormat="1" ht="12.75">
      <c r="B1144" s="384"/>
      <c r="C1144" s="379"/>
      <c r="P1144" s="381" t="s">
        <v>282</v>
      </c>
      <c r="Q1144" s="382" t="s">
        <v>849</v>
      </c>
    </row>
    <row r="1145" spans="2:17" s="307" customFormat="1" ht="12.75">
      <c r="B1145" s="384"/>
      <c r="C1145" s="379"/>
      <c r="P1145" s="381" t="s">
        <v>282</v>
      </c>
      <c r="Q1145" s="382" t="s">
        <v>1062</v>
      </c>
    </row>
    <row r="1146" spans="2:17" s="307" customFormat="1" ht="12.75">
      <c r="B1146" s="384"/>
      <c r="C1146" s="379"/>
      <c r="P1146" s="381" t="s">
        <v>282</v>
      </c>
      <c r="Q1146" s="382" t="s">
        <v>1063</v>
      </c>
    </row>
    <row r="1147" spans="2:17" s="307" customFormat="1" ht="12.75">
      <c r="B1147" s="384"/>
      <c r="C1147" s="379"/>
      <c r="P1147" s="381" t="s">
        <v>282</v>
      </c>
      <c r="Q1147" s="382" t="s">
        <v>850</v>
      </c>
    </row>
    <row r="1148" spans="2:17" s="307" customFormat="1" ht="12.75">
      <c r="B1148" s="384"/>
      <c r="C1148" s="379"/>
      <c r="P1148" s="381" t="s">
        <v>282</v>
      </c>
      <c r="Q1148" s="382" t="s">
        <v>1064</v>
      </c>
    </row>
    <row r="1149" spans="2:17" s="307" customFormat="1" ht="12.75">
      <c r="B1149" s="384"/>
      <c r="C1149" s="379"/>
      <c r="P1149" s="381" t="s">
        <v>282</v>
      </c>
      <c r="Q1149" s="382" t="s">
        <v>1065</v>
      </c>
    </row>
    <row r="1150" spans="2:17" s="307" customFormat="1" ht="12.75">
      <c r="B1150" s="384"/>
      <c r="C1150" s="379"/>
      <c r="P1150" s="381" t="s">
        <v>282</v>
      </c>
      <c r="Q1150" s="382" t="s">
        <v>1066</v>
      </c>
    </row>
    <row r="1151" spans="2:17" s="307" customFormat="1" ht="12.75">
      <c r="B1151" s="384"/>
      <c r="C1151" s="379"/>
      <c r="P1151" s="381" t="s">
        <v>282</v>
      </c>
      <c r="Q1151" s="382" t="s">
        <v>1067</v>
      </c>
    </row>
    <row r="1152" spans="2:17" s="307" customFormat="1" ht="12.75">
      <c r="B1152" s="384"/>
      <c r="C1152" s="379"/>
      <c r="P1152" s="381" t="s">
        <v>282</v>
      </c>
      <c r="Q1152" s="382" t="s">
        <v>1068</v>
      </c>
    </row>
    <row r="1153" spans="2:17" s="307" customFormat="1" ht="12.75">
      <c r="B1153" s="384"/>
      <c r="C1153" s="379"/>
      <c r="P1153" s="381" t="s">
        <v>282</v>
      </c>
      <c r="Q1153" s="382" t="s">
        <v>851</v>
      </c>
    </row>
    <row r="1154" spans="2:17" s="307" customFormat="1" ht="12.75">
      <c r="B1154" s="384"/>
      <c r="C1154" s="379"/>
      <c r="P1154" s="381" t="s">
        <v>282</v>
      </c>
      <c r="Q1154" s="382" t="s">
        <v>1069</v>
      </c>
    </row>
    <row r="1155" spans="2:17" s="307" customFormat="1" ht="12.75">
      <c r="B1155" s="384"/>
      <c r="C1155" s="379"/>
      <c r="P1155" s="381" t="s">
        <v>282</v>
      </c>
      <c r="Q1155" s="382" t="s">
        <v>1070</v>
      </c>
    </row>
    <row r="1156" spans="2:17" s="307" customFormat="1" ht="12.75">
      <c r="B1156" s="384"/>
      <c r="C1156" s="379"/>
      <c r="P1156" s="381" t="s">
        <v>282</v>
      </c>
      <c r="Q1156" s="382" t="s">
        <v>852</v>
      </c>
    </row>
    <row r="1157" spans="2:17" s="307" customFormat="1" ht="12.75">
      <c r="B1157" s="384"/>
      <c r="C1157" s="379"/>
      <c r="P1157" s="381" t="s">
        <v>282</v>
      </c>
      <c r="Q1157" s="382" t="s">
        <v>1071</v>
      </c>
    </row>
    <row r="1158" spans="2:17" s="307" customFormat="1" ht="12.75">
      <c r="B1158" s="384"/>
      <c r="C1158" s="379"/>
      <c r="P1158" s="381" t="s">
        <v>282</v>
      </c>
      <c r="Q1158" s="382" t="s">
        <v>1087</v>
      </c>
    </row>
    <row r="1159" spans="2:17" s="307" customFormat="1" ht="12.75">
      <c r="B1159" s="384"/>
      <c r="C1159" s="379"/>
      <c r="P1159" s="381" t="s">
        <v>282</v>
      </c>
      <c r="Q1159" s="382" t="s">
        <v>1088</v>
      </c>
    </row>
    <row r="1160" spans="2:17" s="307" customFormat="1" ht="12.75">
      <c r="B1160" s="384"/>
      <c r="C1160" s="379"/>
      <c r="P1160" s="381" t="s">
        <v>282</v>
      </c>
      <c r="Q1160" s="382" t="s">
        <v>1089</v>
      </c>
    </row>
    <row r="1161" spans="2:17" s="307" customFormat="1" ht="12.75">
      <c r="B1161" s="384"/>
      <c r="C1161" s="379"/>
      <c r="P1161" s="381" t="s">
        <v>282</v>
      </c>
      <c r="Q1161" s="382" t="s">
        <v>1090</v>
      </c>
    </row>
    <row r="1162" spans="2:17" s="307" customFormat="1" ht="12.75">
      <c r="B1162" s="384"/>
      <c r="C1162" s="379"/>
      <c r="P1162" s="381" t="s">
        <v>282</v>
      </c>
      <c r="Q1162" s="382" t="s">
        <v>1091</v>
      </c>
    </row>
    <row r="1163" spans="2:17" s="307" customFormat="1" ht="12.75">
      <c r="B1163" s="384"/>
      <c r="C1163" s="379"/>
      <c r="P1163" s="381" t="s">
        <v>282</v>
      </c>
      <c r="Q1163" s="382" t="s">
        <v>1092</v>
      </c>
    </row>
    <row r="1164" spans="2:17" s="307" customFormat="1" ht="12.75">
      <c r="B1164" s="384"/>
      <c r="C1164" s="379"/>
      <c r="P1164" s="381" t="s">
        <v>282</v>
      </c>
      <c r="Q1164" s="382" t="s">
        <v>1093</v>
      </c>
    </row>
    <row r="1165" spans="2:17" s="307" customFormat="1" ht="12.75">
      <c r="B1165" s="384"/>
      <c r="C1165" s="379"/>
      <c r="P1165" s="381" t="s">
        <v>282</v>
      </c>
      <c r="Q1165" s="382" t="s">
        <v>1094</v>
      </c>
    </row>
    <row r="1166" spans="2:17" s="307" customFormat="1" ht="12.75">
      <c r="B1166" s="384"/>
      <c r="C1166" s="379"/>
      <c r="P1166" s="381" t="s">
        <v>282</v>
      </c>
      <c r="Q1166" s="382" t="s">
        <v>1095</v>
      </c>
    </row>
    <row r="1167" spans="2:17" s="307" customFormat="1" ht="12.75">
      <c r="B1167" s="384"/>
      <c r="C1167" s="379"/>
      <c r="P1167" s="381" t="s">
        <v>282</v>
      </c>
      <c r="Q1167" s="382" t="s">
        <v>1096</v>
      </c>
    </row>
    <row r="1168" spans="2:17" s="307" customFormat="1" ht="12.75">
      <c r="B1168" s="384"/>
      <c r="C1168" s="379"/>
      <c r="P1168" s="381" t="s">
        <v>282</v>
      </c>
      <c r="Q1168" s="382" t="s">
        <v>1097</v>
      </c>
    </row>
    <row r="1169" spans="2:17" s="307" customFormat="1" ht="12.75">
      <c r="B1169" s="384"/>
      <c r="C1169" s="379"/>
      <c r="P1169" s="381" t="s">
        <v>282</v>
      </c>
      <c r="Q1169" s="382" t="s">
        <v>1098</v>
      </c>
    </row>
    <row r="1170" spans="2:17" s="307" customFormat="1" ht="12.75">
      <c r="B1170" s="384"/>
      <c r="C1170" s="379"/>
      <c r="P1170" s="381" t="s">
        <v>282</v>
      </c>
      <c r="Q1170" s="382" t="s">
        <v>1099</v>
      </c>
    </row>
    <row r="1171" spans="2:17" s="307" customFormat="1" ht="12.75">
      <c r="B1171" s="384"/>
      <c r="C1171" s="379"/>
      <c r="P1171" s="381" t="s">
        <v>282</v>
      </c>
      <c r="Q1171" s="382" t="s">
        <v>1100</v>
      </c>
    </row>
    <row r="1172" spans="2:17" s="307" customFormat="1" ht="12.75">
      <c r="B1172" s="384"/>
      <c r="C1172" s="379"/>
      <c r="P1172" s="381" t="s">
        <v>282</v>
      </c>
      <c r="Q1172" s="382" t="s">
        <v>1101</v>
      </c>
    </row>
    <row r="1173" spans="2:17" s="307" customFormat="1" ht="12.75">
      <c r="B1173" s="384"/>
      <c r="C1173" s="379"/>
      <c r="P1173" s="381" t="s">
        <v>282</v>
      </c>
      <c r="Q1173" s="382" t="s">
        <v>1102</v>
      </c>
    </row>
    <row r="1174" spans="2:17" s="307" customFormat="1" ht="12.75">
      <c r="B1174" s="384"/>
      <c r="C1174" s="379"/>
      <c r="P1174" s="381" t="s">
        <v>282</v>
      </c>
      <c r="Q1174" s="382" t="s">
        <v>1103</v>
      </c>
    </row>
    <row r="1175" spans="2:17" s="307" customFormat="1" ht="12.75">
      <c r="B1175" s="384"/>
      <c r="C1175" s="379"/>
      <c r="P1175" s="381" t="s">
        <v>282</v>
      </c>
      <c r="Q1175" s="382" t="s">
        <v>1104</v>
      </c>
    </row>
    <row r="1176" spans="2:17" s="307" customFormat="1" ht="12.75">
      <c r="B1176" s="384"/>
      <c r="C1176" s="379"/>
      <c r="P1176" s="381" t="s">
        <v>282</v>
      </c>
      <c r="Q1176" s="382" t="s">
        <v>1105</v>
      </c>
    </row>
    <row r="1177" spans="2:17" s="307" customFormat="1" ht="12.75">
      <c r="B1177" s="384"/>
      <c r="C1177" s="379"/>
      <c r="P1177" s="381" t="s">
        <v>282</v>
      </c>
      <c r="Q1177" s="382" t="s">
        <v>1106</v>
      </c>
    </row>
    <row r="1178" spans="2:17" s="307" customFormat="1" ht="12.75">
      <c r="B1178" s="384"/>
      <c r="C1178" s="379"/>
      <c r="P1178" s="381" t="s">
        <v>282</v>
      </c>
      <c r="Q1178" s="382" t="s">
        <v>1107</v>
      </c>
    </row>
    <row r="1179" spans="2:17" s="307" customFormat="1" ht="12.75">
      <c r="B1179" s="384"/>
      <c r="C1179" s="379"/>
      <c r="P1179" s="381" t="s">
        <v>282</v>
      </c>
      <c r="Q1179" s="382" t="s">
        <v>1108</v>
      </c>
    </row>
    <row r="1180" spans="2:17" s="307" customFormat="1" ht="12.75">
      <c r="B1180" s="384"/>
      <c r="C1180" s="379"/>
      <c r="P1180" s="381" t="s">
        <v>282</v>
      </c>
      <c r="Q1180" s="382" t="s">
        <v>1109</v>
      </c>
    </row>
    <row r="1181" spans="2:17" s="307" customFormat="1" ht="12.75">
      <c r="B1181" s="384"/>
      <c r="C1181" s="379"/>
      <c r="P1181" s="381" t="s">
        <v>282</v>
      </c>
      <c r="Q1181" s="382" t="s">
        <v>1110</v>
      </c>
    </row>
    <row r="1182" spans="2:17" s="307" customFormat="1" ht="12.75">
      <c r="B1182" s="384"/>
      <c r="C1182" s="379"/>
      <c r="P1182" s="381" t="s">
        <v>282</v>
      </c>
      <c r="Q1182" s="382" t="s">
        <v>1111</v>
      </c>
    </row>
    <row r="1183" spans="2:17" s="307" customFormat="1" ht="12.75">
      <c r="B1183" s="384"/>
      <c r="C1183" s="379"/>
      <c r="P1183" s="381" t="s">
        <v>282</v>
      </c>
      <c r="Q1183" s="382" t="s">
        <v>1112</v>
      </c>
    </row>
    <row r="1184" spans="2:17" s="307" customFormat="1" ht="12.75">
      <c r="B1184" s="384"/>
      <c r="C1184" s="379"/>
      <c r="P1184" s="381" t="s">
        <v>282</v>
      </c>
      <c r="Q1184" s="382" t="s">
        <v>1113</v>
      </c>
    </row>
    <row r="1185" spans="2:17" s="307" customFormat="1" ht="12.75">
      <c r="B1185" s="384"/>
      <c r="C1185" s="379"/>
      <c r="P1185" s="381" t="s">
        <v>477</v>
      </c>
      <c r="Q1185" s="382" t="s">
        <v>1083</v>
      </c>
    </row>
    <row r="1186" spans="2:17" s="307" customFormat="1" ht="12.75">
      <c r="B1186" s="384"/>
      <c r="C1186" s="379"/>
      <c r="P1186" s="381" t="s">
        <v>478</v>
      </c>
      <c r="Q1186" s="382" t="s">
        <v>613</v>
      </c>
    </row>
    <row r="1187" spans="2:17" s="307" customFormat="1" ht="12.75">
      <c r="B1187" s="384"/>
      <c r="C1187" s="379"/>
      <c r="P1187" s="381" t="s">
        <v>284</v>
      </c>
      <c r="Q1187" s="382" t="s">
        <v>140</v>
      </c>
    </row>
    <row r="1188" spans="2:17" s="307" customFormat="1" ht="12.75">
      <c r="B1188" s="384"/>
      <c r="C1188" s="379"/>
      <c r="P1188" s="381" t="s">
        <v>284</v>
      </c>
      <c r="Q1188" s="382" t="s">
        <v>900</v>
      </c>
    </row>
    <row r="1189" spans="2:17" s="307" customFormat="1" ht="12.75">
      <c r="B1189" s="384"/>
      <c r="C1189" s="379"/>
      <c r="P1189" s="381" t="s">
        <v>379</v>
      </c>
      <c r="Q1189" s="382" t="s">
        <v>637</v>
      </c>
    </row>
    <row r="1190" spans="2:17" s="307" customFormat="1" ht="12.75">
      <c r="B1190" s="384"/>
      <c r="C1190" s="379"/>
      <c r="P1190" s="381" t="s">
        <v>379</v>
      </c>
      <c r="Q1190" s="382" t="s">
        <v>646</v>
      </c>
    </row>
    <row r="1191" spans="2:17" s="307" customFormat="1" ht="12.75">
      <c r="B1191" s="384"/>
      <c r="C1191" s="379"/>
      <c r="P1191" s="381" t="s">
        <v>379</v>
      </c>
      <c r="Q1191" s="382" t="s">
        <v>730</v>
      </c>
    </row>
    <row r="1192" spans="2:17" s="307" customFormat="1" ht="12.75">
      <c r="B1192" s="384"/>
      <c r="C1192" s="379"/>
      <c r="P1192" s="381" t="s">
        <v>285</v>
      </c>
      <c r="Q1192" s="382" t="s">
        <v>854</v>
      </c>
    </row>
    <row r="1193" spans="2:17" s="307" customFormat="1" ht="12.75">
      <c r="B1193" s="384"/>
      <c r="C1193" s="379"/>
      <c r="P1193" s="381" t="s">
        <v>479</v>
      </c>
      <c r="Q1193" s="382" t="s">
        <v>1073</v>
      </c>
    </row>
    <row r="1194" spans="2:17" s="307" customFormat="1" ht="12.75">
      <c r="B1194" s="384"/>
      <c r="C1194" s="379"/>
      <c r="P1194" s="381" t="s">
        <v>480</v>
      </c>
      <c r="Q1194" s="382" t="s">
        <v>1074</v>
      </c>
    </row>
    <row r="1195" spans="2:17" s="307" customFormat="1" ht="12.75">
      <c r="B1195" s="384"/>
      <c r="C1195" s="379"/>
      <c r="P1195" s="381" t="s">
        <v>481</v>
      </c>
      <c r="Q1195" s="382" t="s">
        <v>1075</v>
      </c>
    </row>
    <row r="1196" spans="2:17" s="307" customFormat="1" ht="12.75">
      <c r="B1196" s="384"/>
      <c r="C1196" s="379"/>
      <c r="P1196" s="381" t="s">
        <v>482</v>
      </c>
      <c r="Q1196" s="382" t="s">
        <v>1076</v>
      </c>
    </row>
    <row r="1197" spans="2:17" s="307" customFormat="1" ht="12.75">
      <c r="B1197" s="384"/>
      <c r="C1197" s="379"/>
      <c r="P1197" s="381" t="s">
        <v>483</v>
      </c>
      <c r="Q1197" s="382" t="s">
        <v>1050</v>
      </c>
    </row>
    <row r="1198" spans="2:17" s="307" customFormat="1" ht="12.75">
      <c r="B1198" s="384"/>
      <c r="C1198" s="379"/>
      <c r="P1198" s="381" t="s">
        <v>815</v>
      </c>
      <c r="Q1198" s="382" t="s">
        <v>1050</v>
      </c>
    </row>
    <row r="1199" spans="2:17" s="307" customFormat="1" ht="12.75">
      <c r="B1199" s="384"/>
      <c r="C1199" s="379"/>
      <c r="P1199" s="381" t="e">
        <v>#N/A</v>
      </c>
      <c r="Q1199" s="382" t="s">
        <v>912</v>
      </c>
    </row>
    <row r="1200" spans="2:17" s="307" customFormat="1" ht="12.75">
      <c r="B1200" s="384"/>
      <c r="C1200" s="379"/>
      <c r="P1200" s="381" t="s">
        <v>380</v>
      </c>
      <c r="Q1200" s="382" t="s">
        <v>912</v>
      </c>
    </row>
    <row r="1201" spans="2:17" s="307" customFormat="1" ht="12.75">
      <c r="B1201" s="384"/>
      <c r="C1201" s="379"/>
      <c r="P1201" s="381" t="s">
        <v>484</v>
      </c>
      <c r="Q1201" s="382" t="s">
        <v>1075</v>
      </c>
    </row>
    <row r="1202" spans="2:17" s="307" customFormat="1" ht="12.75">
      <c r="B1202" s="384"/>
      <c r="C1202" s="379"/>
      <c r="P1202" s="381" t="s">
        <v>485</v>
      </c>
      <c r="Q1202" s="382" t="s">
        <v>1078</v>
      </c>
    </row>
    <row r="1203" spans="2:17" s="307" customFormat="1" ht="12.75">
      <c r="B1203" s="384"/>
      <c r="C1203" s="379"/>
      <c r="P1203" s="381" t="s">
        <v>381</v>
      </c>
      <c r="Q1203" s="382" t="s">
        <v>1147</v>
      </c>
    </row>
    <row r="1204" spans="2:17" s="307" customFormat="1" ht="12.75">
      <c r="B1204" s="384"/>
      <c r="C1204" s="379"/>
      <c r="P1204" s="381" t="s">
        <v>381</v>
      </c>
      <c r="Q1204" s="382" t="s">
        <v>913</v>
      </c>
    </row>
    <row r="1205" spans="2:17" s="307" customFormat="1" ht="12.75">
      <c r="B1205" s="384"/>
      <c r="C1205" s="379"/>
      <c r="P1205" s="381" t="s">
        <v>381</v>
      </c>
      <c r="Q1205" s="382" t="s">
        <v>914</v>
      </c>
    </row>
    <row r="1206" spans="2:17" s="307" customFormat="1" ht="12.75">
      <c r="B1206" s="384"/>
      <c r="C1206" s="379"/>
      <c r="P1206" s="381" t="s">
        <v>381</v>
      </c>
      <c r="Q1206" s="382" t="s">
        <v>915</v>
      </c>
    </row>
    <row r="1207" spans="2:17" s="307" customFormat="1" ht="12.75">
      <c r="B1207" s="384"/>
      <c r="C1207" s="379"/>
      <c r="P1207" s="381" t="s">
        <v>381</v>
      </c>
      <c r="Q1207" s="382" t="s">
        <v>916</v>
      </c>
    </row>
    <row r="1208" spans="2:17" s="307" customFormat="1" ht="12.75">
      <c r="B1208" s="384"/>
      <c r="C1208" s="379"/>
      <c r="P1208" s="381" t="s">
        <v>381</v>
      </c>
      <c r="Q1208" s="382" t="s">
        <v>917</v>
      </c>
    </row>
    <row r="1209" spans="2:17" s="307" customFormat="1" ht="12.75">
      <c r="B1209" s="384"/>
      <c r="C1209" s="379"/>
      <c r="P1209" s="381" t="s">
        <v>381</v>
      </c>
      <c r="Q1209" s="382" t="s">
        <v>918</v>
      </c>
    </row>
    <row r="1210" spans="2:17" s="307" customFormat="1" ht="12.75">
      <c r="B1210" s="384"/>
      <c r="C1210" s="379"/>
      <c r="P1210" s="381" t="s">
        <v>381</v>
      </c>
      <c r="Q1210" s="382" t="s">
        <v>919</v>
      </c>
    </row>
    <row r="1211" spans="2:17" s="307" customFormat="1" ht="12.75">
      <c r="B1211" s="384"/>
      <c r="C1211" s="379"/>
      <c r="P1211" s="381" t="s">
        <v>381</v>
      </c>
      <c r="Q1211" s="382" t="s">
        <v>920</v>
      </c>
    </row>
    <row r="1212" spans="2:17" s="307" customFormat="1" ht="12.75">
      <c r="B1212" s="384"/>
      <c r="C1212" s="379"/>
      <c r="P1212" s="381" t="s">
        <v>381</v>
      </c>
      <c r="Q1212" s="382" t="s">
        <v>921</v>
      </c>
    </row>
    <row r="1213" spans="2:17" s="307" customFormat="1" ht="12.75">
      <c r="B1213" s="384"/>
      <c r="C1213" s="379"/>
      <c r="P1213" s="381" t="s">
        <v>381</v>
      </c>
      <c r="Q1213" s="382" t="s">
        <v>922</v>
      </c>
    </row>
    <row r="1214" spans="2:17" s="307" customFormat="1" ht="12.75">
      <c r="B1214" s="384"/>
      <c r="C1214" s="379"/>
      <c r="P1214" s="381" t="s">
        <v>381</v>
      </c>
      <c r="Q1214" s="382" t="s">
        <v>641</v>
      </c>
    </row>
    <row r="1215" spans="2:17" s="307" customFormat="1" ht="12.75">
      <c r="B1215" s="384"/>
      <c r="C1215" s="379"/>
      <c r="P1215" s="381" t="s">
        <v>381</v>
      </c>
      <c r="Q1215" s="382" t="s">
        <v>1148</v>
      </c>
    </row>
    <row r="1216" spans="2:17" s="307" customFormat="1" ht="12.75">
      <c r="B1216" s="384"/>
      <c r="C1216" s="379"/>
      <c r="P1216" s="381" t="s">
        <v>486</v>
      </c>
      <c r="Q1216" s="382" t="s">
        <v>1079</v>
      </c>
    </row>
    <row r="1217" spans="2:17" s="307" customFormat="1" ht="12.75">
      <c r="B1217" s="384"/>
      <c r="C1217" s="379"/>
      <c r="P1217" s="381" t="s">
        <v>559</v>
      </c>
      <c r="Q1217" s="382" t="s">
        <v>923</v>
      </c>
    </row>
    <row r="1218" spans="2:17" s="307" customFormat="1" ht="12.75">
      <c r="B1218" s="384"/>
      <c r="C1218" s="379"/>
      <c r="P1218" s="381" t="s">
        <v>559</v>
      </c>
      <c r="Q1218" s="382" t="s">
        <v>924</v>
      </c>
    </row>
    <row r="1219" spans="2:17" s="307" customFormat="1" ht="12.75">
      <c r="B1219" s="384"/>
      <c r="C1219" s="379"/>
      <c r="P1219" s="381" t="s">
        <v>487</v>
      </c>
      <c r="Q1219" s="382" t="s">
        <v>1080</v>
      </c>
    </row>
    <row r="1220" spans="2:17" s="307" customFormat="1" ht="12.75">
      <c r="B1220" s="384"/>
      <c r="C1220" s="379"/>
      <c r="P1220" s="381" t="s">
        <v>792</v>
      </c>
      <c r="Q1220" s="382" t="s">
        <v>1084</v>
      </c>
    </row>
    <row r="1221" spans="2:17" s="307" customFormat="1" ht="12.75">
      <c r="B1221" s="384"/>
      <c r="C1221" s="379"/>
      <c r="P1221" s="381" t="s">
        <v>793</v>
      </c>
      <c r="Q1221" s="382" t="s">
        <v>621</v>
      </c>
    </row>
    <row r="1222" spans="2:17" s="307" customFormat="1" ht="12.75">
      <c r="B1222" s="384"/>
      <c r="C1222" s="379"/>
      <c r="P1222" s="381" t="s">
        <v>793</v>
      </c>
      <c r="Q1222" s="382" t="s">
        <v>633</v>
      </c>
    </row>
    <row r="1223" spans="2:17" s="307" customFormat="1" ht="12.75">
      <c r="B1223" s="384"/>
      <c r="C1223" s="379"/>
      <c r="P1223" s="381" t="s">
        <v>286</v>
      </c>
      <c r="Q1223" s="382" t="s">
        <v>619</v>
      </c>
    </row>
    <row r="1224" spans="2:17" s="307" customFormat="1" ht="12.75">
      <c r="B1224" s="384"/>
      <c r="C1224" s="379"/>
      <c r="P1224" s="381" t="s">
        <v>489</v>
      </c>
      <c r="Q1224" s="382" t="s">
        <v>1075</v>
      </c>
    </row>
    <row r="1225" spans="2:17" s="307" customFormat="1" ht="12.75">
      <c r="B1225" s="384"/>
      <c r="C1225" s="379"/>
      <c r="P1225" s="381" t="s">
        <v>490</v>
      </c>
      <c r="Q1225" s="382" t="s">
        <v>1075</v>
      </c>
    </row>
    <row r="1226" spans="2:17" s="307" customFormat="1" ht="12.75">
      <c r="B1226" s="384"/>
      <c r="C1226" s="379"/>
      <c r="P1226" s="381" t="e">
        <v>#N/A</v>
      </c>
      <c r="Q1226" s="382" t="s">
        <v>1075</v>
      </c>
    </row>
    <row r="1227" spans="2:17" s="307" customFormat="1" ht="12.75">
      <c r="B1227" s="384"/>
      <c r="C1227" s="379"/>
      <c r="P1227" s="381" t="s">
        <v>488</v>
      </c>
      <c r="Q1227" s="382" t="s">
        <v>1075</v>
      </c>
    </row>
    <row r="1228" spans="2:17" s="307" customFormat="1" ht="12.75">
      <c r="B1228" s="384"/>
      <c r="C1228" s="379"/>
      <c r="P1228" s="381" t="s">
        <v>382</v>
      </c>
      <c r="Q1228" s="382" t="s">
        <v>709</v>
      </c>
    </row>
    <row r="1229" spans="2:17" s="307" customFormat="1" ht="12.75">
      <c r="B1229" s="384"/>
      <c r="C1229" s="379"/>
      <c r="P1229" s="381" t="s">
        <v>383</v>
      </c>
      <c r="Q1229" s="382" t="s">
        <v>925</v>
      </c>
    </row>
    <row r="1230" spans="2:17" s="307" customFormat="1" ht="12.75">
      <c r="B1230" s="384"/>
      <c r="C1230" s="379"/>
      <c r="P1230" s="381" t="s">
        <v>383</v>
      </c>
      <c r="Q1230" s="382" t="s">
        <v>926</v>
      </c>
    </row>
    <row r="1231" spans="2:17" s="307" customFormat="1" ht="12.75">
      <c r="B1231" s="384"/>
      <c r="C1231" s="379"/>
      <c r="P1231" s="381" t="s">
        <v>383</v>
      </c>
      <c r="Q1231" s="382" t="s">
        <v>640</v>
      </c>
    </row>
    <row r="1232" spans="2:17" s="307" customFormat="1" ht="12.75">
      <c r="B1232" s="384"/>
      <c r="C1232" s="379"/>
      <c r="P1232" s="381" t="s">
        <v>287</v>
      </c>
      <c r="Q1232" s="382" t="s">
        <v>981</v>
      </c>
    </row>
    <row r="1233" spans="2:17" s="307" customFormat="1" ht="12.75">
      <c r="B1233" s="384"/>
      <c r="C1233" s="379"/>
      <c r="P1233" s="381" t="s">
        <v>287</v>
      </c>
      <c r="Q1233" s="382" t="s">
        <v>982</v>
      </c>
    </row>
    <row r="1234" spans="2:17" s="307" customFormat="1" ht="12.75">
      <c r="B1234" s="384"/>
      <c r="C1234" s="379"/>
      <c r="P1234" s="381" t="s">
        <v>287</v>
      </c>
      <c r="Q1234" s="382" t="s">
        <v>983</v>
      </c>
    </row>
    <row r="1235" spans="2:17" s="307" customFormat="1" ht="12.75">
      <c r="B1235" s="384"/>
      <c r="C1235" s="379"/>
      <c r="P1235" s="381" t="s">
        <v>287</v>
      </c>
      <c r="Q1235" s="382" t="s">
        <v>984</v>
      </c>
    </row>
    <row r="1236" spans="2:17" s="307" customFormat="1" ht="12.75">
      <c r="B1236" s="384"/>
      <c r="C1236" s="379"/>
      <c r="P1236" s="381" t="s">
        <v>287</v>
      </c>
      <c r="Q1236" s="382" t="s">
        <v>17</v>
      </c>
    </row>
    <row r="1237" spans="2:17" s="307" customFormat="1" ht="12.75">
      <c r="B1237" s="384"/>
      <c r="C1237" s="379"/>
      <c r="P1237" s="381" t="s">
        <v>287</v>
      </c>
      <c r="Q1237" s="382" t="s">
        <v>167</v>
      </c>
    </row>
    <row r="1238" spans="2:17" s="307" customFormat="1" ht="12.75">
      <c r="B1238" s="384"/>
      <c r="C1238" s="379"/>
      <c r="P1238" s="381" t="s">
        <v>287</v>
      </c>
      <c r="Q1238" s="382" t="s">
        <v>169</v>
      </c>
    </row>
    <row r="1239" spans="2:17" s="307" customFormat="1" ht="12.75">
      <c r="B1239" s="384"/>
      <c r="C1239" s="379"/>
      <c r="P1239" s="381" t="s">
        <v>287</v>
      </c>
      <c r="Q1239" s="382" t="s">
        <v>985</v>
      </c>
    </row>
    <row r="1240" spans="2:17" s="307" customFormat="1" ht="12.75">
      <c r="B1240" s="384"/>
      <c r="C1240" s="379"/>
      <c r="P1240" s="381" t="s">
        <v>287</v>
      </c>
      <c r="Q1240" s="382" t="s">
        <v>986</v>
      </c>
    </row>
    <row r="1241" spans="2:17" s="307" customFormat="1" ht="12.75">
      <c r="B1241" s="384"/>
      <c r="C1241" s="379"/>
      <c r="P1241" s="381" t="s">
        <v>287</v>
      </c>
      <c r="Q1241" s="382" t="s">
        <v>987</v>
      </c>
    </row>
    <row r="1242" spans="2:17" s="307" customFormat="1" ht="12.75">
      <c r="B1242" s="384"/>
      <c r="C1242" s="379"/>
      <c r="P1242" s="381" t="s">
        <v>287</v>
      </c>
      <c r="Q1242" s="382" t="s">
        <v>1085</v>
      </c>
    </row>
    <row r="1243" spans="2:17" s="307" customFormat="1" ht="12.75">
      <c r="B1243" s="384"/>
      <c r="C1243" s="379"/>
      <c r="P1243" s="381" t="s">
        <v>287</v>
      </c>
      <c r="Q1243" s="382" t="s">
        <v>988</v>
      </c>
    </row>
    <row r="1244" spans="2:17" s="307" customFormat="1" ht="12.75">
      <c r="B1244" s="384"/>
      <c r="C1244" s="379"/>
      <c r="P1244" s="381" t="s">
        <v>287</v>
      </c>
      <c r="Q1244" s="382" t="s">
        <v>989</v>
      </c>
    </row>
    <row r="1245" spans="2:17" s="307" customFormat="1" ht="12.75">
      <c r="B1245" s="384"/>
      <c r="C1245" s="379"/>
      <c r="P1245" s="381" t="s">
        <v>287</v>
      </c>
      <c r="Q1245" s="382" t="s">
        <v>37</v>
      </c>
    </row>
    <row r="1246" spans="2:17" s="307" customFormat="1" ht="12.75">
      <c r="B1246" s="384"/>
      <c r="C1246" s="379"/>
      <c r="P1246" s="381" t="s">
        <v>287</v>
      </c>
      <c r="Q1246" s="382" t="s">
        <v>990</v>
      </c>
    </row>
    <row r="1247" spans="2:17" s="307" customFormat="1" ht="12.75">
      <c r="B1247" s="384"/>
      <c r="C1247" s="379"/>
      <c r="P1247" s="381" t="s">
        <v>288</v>
      </c>
      <c r="Q1247" s="382" t="s">
        <v>991</v>
      </c>
    </row>
    <row r="1248" spans="2:17" s="307" customFormat="1" ht="12.75">
      <c r="B1248" s="384"/>
      <c r="C1248" s="379"/>
      <c r="P1248" s="381" t="s">
        <v>288</v>
      </c>
      <c r="Q1248" s="382" t="s">
        <v>711</v>
      </c>
    </row>
    <row r="1249" spans="2:17" s="307" customFormat="1" ht="12.75">
      <c r="B1249" s="384"/>
      <c r="C1249" s="379"/>
      <c r="P1249" s="381" t="s">
        <v>288</v>
      </c>
      <c r="Q1249" s="382" t="s">
        <v>712</v>
      </c>
    </row>
    <row r="1250" spans="2:17" s="307" customFormat="1" ht="12.75">
      <c r="B1250" s="384"/>
      <c r="C1250" s="379"/>
      <c r="P1250" s="381" t="s">
        <v>288</v>
      </c>
      <c r="Q1250" s="382" t="s">
        <v>713</v>
      </c>
    </row>
    <row r="1251" spans="2:17" s="307" customFormat="1" ht="12.75">
      <c r="B1251" s="384"/>
      <c r="C1251" s="379"/>
      <c r="P1251" s="381" t="s">
        <v>288</v>
      </c>
      <c r="Q1251" s="382" t="s">
        <v>716</v>
      </c>
    </row>
    <row r="1252" spans="2:17" s="307" customFormat="1" ht="12.75">
      <c r="B1252" s="384"/>
      <c r="C1252" s="379"/>
      <c r="P1252" s="381" t="s">
        <v>794</v>
      </c>
      <c r="Q1252" s="382" t="s">
        <v>1086</v>
      </c>
    </row>
    <row r="1253" spans="2:17" s="307" customFormat="1" ht="12.75">
      <c r="B1253" s="384"/>
      <c r="C1253" s="379"/>
      <c r="P1253" s="381" t="s">
        <v>289</v>
      </c>
      <c r="Q1253" s="382" t="s">
        <v>672</v>
      </c>
    </row>
    <row r="1254" spans="2:17" s="307" customFormat="1" ht="12.75">
      <c r="B1254" s="384"/>
      <c r="C1254" s="379"/>
      <c r="P1254" s="381" t="s">
        <v>491</v>
      </c>
      <c r="Q1254" s="382" t="s">
        <v>1081</v>
      </c>
    </row>
    <row r="1255" spans="2:17" s="307" customFormat="1" ht="12.75">
      <c r="B1255" s="384"/>
      <c r="C1255" s="379"/>
      <c r="P1255" s="381" t="s">
        <v>291</v>
      </c>
      <c r="Q1255" s="382" t="s">
        <v>573</v>
      </c>
    </row>
    <row r="1256" spans="2:17" s="307" customFormat="1" ht="12.75">
      <c r="B1256" s="384"/>
      <c r="C1256" s="379"/>
      <c r="P1256" s="381" t="s">
        <v>291</v>
      </c>
      <c r="Q1256" s="382" t="s">
        <v>574</v>
      </c>
    </row>
    <row r="1257" spans="2:17" s="307" customFormat="1" ht="12.75">
      <c r="B1257" s="384"/>
      <c r="C1257" s="379"/>
      <c r="P1257" s="381" t="s">
        <v>290</v>
      </c>
      <c r="Q1257" s="382" t="s">
        <v>992</v>
      </c>
    </row>
    <row r="1258" spans="2:17" s="307" customFormat="1" ht="12.75">
      <c r="B1258" s="384"/>
      <c r="C1258" s="379"/>
      <c r="P1258" s="381" t="s">
        <v>290</v>
      </c>
      <c r="Q1258" s="382" t="s">
        <v>993</v>
      </c>
    </row>
    <row r="1259" spans="2:17" s="307" customFormat="1" ht="12.75">
      <c r="B1259" s="384"/>
      <c r="C1259" s="379"/>
      <c r="P1259" s="381" t="s">
        <v>290</v>
      </c>
      <c r="Q1259" s="382" t="s">
        <v>994</v>
      </c>
    </row>
    <row r="1260" spans="2:17" s="307" customFormat="1" ht="12.75">
      <c r="B1260" s="384"/>
      <c r="C1260" s="379"/>
      <c r="P1260" s="381" t="s">
        <v>290</v>
      </c>
      <c r="Q1260" s="382" t="s">
        <v>571</v>
      </c>
    </row>
    <row r="1261" spans="2:17" s="307" customFormat="1" ht="12.75">
      <c r="B1261" s="384"/>
      <c r="C1261" s="379"/>
      <c r="P1261" s="381" t="s">
        <v>290</v>
      </c>
      <c r="Q1261" s="382" t="s">
        <v>572</v>
      </c>
    </row>
    <row r="1262" spans="2:17" s="307" customFormat="1" ht="12.75">
      <c r="B1262" s="384"/>
      <c r="C1262" s="379"/>
      <c r="P1262" s="381" t="s">
        <v>290</v>
      </c>
      <c r="Q1262" s="382" t="s">
        <v>995</v>
      </c>
    </row>
    <row r="1263" spans="2:17" s="307" customFormat="1" ht="12.75">
      <c r="B1263" s="384"/>
      <c r="C1263" s="379"/>
      <c r="P1263" s="381" t="s">
        <v>290</v>
      </c>
      <c r="Q1263" s="382" t="s">
        <v>996</v>
      </c>
    </row>
    <row r="1264" spans="2:17" s="307" customFormat="1" ht="12.75">
      <c r="B1264" s="384"/>
      <c r="C1264" s="379"/>
      <c r="P1264" s="381" t="s">
        <v>290</v>
      </c>
      <c r="Q1264" s="382" t="s">
        <v>997</v>
      </c>
    </row>
    <row r="1265" spans="2:17" s="307" customFormat="1" ht="12.75">
      <c r="B1265" s="384"/>
      <c r="C1265" s="379"/>
      <c r="P1265" s="381" t="s">
        <v>290</v>
      </c>
      <c r="Q1265" s="382" t="s">
        <v>998</v>
      </c>
    </row>
    <row r="1266" spans="2:17" s="307" customFormat="1" ht="12.75">
      <c r="B1266" s="384"/>
      <c r="C1266" s="379"/>
      <c r="P1266" s="381" t="s">
        <v>290</v>
      </c>
      <c r="Q1266" s="382" t="s">
        <v>1150</v>
      </c>
    </row>
    <row r="1267" spans="2:17" s="307" customFormat="1" ht="12.75">
      <c r="B1267" s="384"/>
      <c r="C1267" s="379"/>
      <c r="P1267" s="381" t="s">
        <v>290</v>
      </c>
      <c r="Q1267" s="382" t="s">
        <v>999</v>
      </c>
    </row>
    <row r="1268" spans="2:17" s="307" customFormat="1" ht="12.75">
      <c r="B1268" s="384"/>
      <c r="C1268" s="379"/>
      <c r="P1268" s="381" t="s">
        <v>290</v>
      </c>
      <c r="Q1268" s="382" t="s">
        <v>1000</v>
      </c>
    </row>
    <row r="1269" spans="2:17" s="307" customFormat="1" ht="12.75">
      <c r="B1269" s="384"/>
      <c r="C1269" s="379"/>
      <c r="P1269" s="381" t="s">
        <v>290</v>
      </c>
      <c r="Q1269" s="382" t="s">
        <v>1001</v>
      </c>
    </row>
    <row r="1270" spans="2:17" s="307" customFormat="1" ht="12.75">
      <c r="B1270" s="384"/>
      <c r="C1270" s="379"/>
      <c r="P1270" s="381" t="s">
        <v>290</v>
      </c>
      <c r="Q1270" s="382" t="s">
        <v>1002</v>
      </c>
    </row>
    <row r="1271" spans="2:17" s="307" customFormat="1" ht="12.75">
      <c r="B1271" s="384"/>
      <c r="C1271" s="379"/>
      <c r="P1271" s="381" t="s">
        <v>290</v>
      </c>
      <c r="Q1271" s="382" t="s">
        <v>1003</v>
      </c>
    </row>
    <row r="1272" spans="2:17" s="307" customFormat="1" ht="12.75">
      <c r="B1272" s="384"/>
      <c r="C1272" s="379"/>
      <c r="P1272" s="381" t="s">
        <v>290</v>
      </c>
      <c r="Q1272" s="382" t="s">
        <v>573</v>
      </c>
    </row>
    <row r="1273" spans="2:17" s="307" customFormat="1" ht="12.75">
      <c r="B1273" s="384"/>
      <c r="C1273" s="379"/>
      <c r="P1273" s="381" t="s">
        <v>290</v>
      </c>
      <c r="Q1273" s="382" t="s">
        <v>1004</v>
      </c>
    </row>
    <row r="1274" spans="2:17" s="307" customFormat="1" ht="12.75">
      <c r="B1274" s="384"/>
      <c r="C1274" s="379"/>
      <c r="P1274" s="381" t="s">
        <v>290</v>
      </c>
      <c r="Q1274" s="382" t="s">
        <v>1005</v>
      </c>
    </row>
    <row r="1275" spans="2:17" s="307" customFormat="1" ht="12.75">
      <c r="B1275" s="384"/>
      <c r="C1275" s="379"/>
      <c r="P1275" s="381" t="s">
        <v>290</v>
      </c>
      <c r="Q1275" s="382" t="s">
        <v>1006</v>
      </c>
    </row>
    <row r="1276" spans="2:17" s="307" customFormat="1" ht="12.75">
      <c r="B1276" s="384"/>
      <c r="C1276" s="379"/>
      <c r="P1276" s="381" t="s">
        <v>290</v>
      </c>
      <c r="Q1276" s="382" t="s">
        <v>1007</v>
      </c>
    </row>
    <row r="1277" spans="2:17" s="307" customFormat="1" ht="12.75">
      <c r="B1277" s="384"/>
      <c r="C1277" s="379"/>
      <c r="P1277" s="381" t="s">
        <v>290</v>
      </c>
      <c r="Q1277" s="382" t="s">
        <v>574</v>
      </c>
    </row>
    <row r="1278" spans="2:17" s="307" customFormat="1" ht="12.75">
      <c r="B1278" s="384"/>
      <c r="C1278" s="379"/>
      <c r="P1278" s="381" t="s">
        <v>290</v>
      </c>
      <c r="Q1278" s="382" t="s">
        <v>1008</v>
      </c>
    </row>
    <row r="1279" spans="2:17" s="307" customFormat="1" ht="12.75">
      <c r="B1279" s="384"/>
      <c r="C1279" s="379"/>
      <c r="P1279" s="381" t="s">
        <v>290</v>
      </c>
      <c r="Q1279" s="382" t="s">
        <v>1009</v>
      </c>
    </row>
    <row r="1280" spans="2:17" s="307" customFormat="1" ht="12.75">
      <c r="B1280" s="384"/>
      <c r="C1280" s="379"/>
      <c r="P1280" s="381" t="s">
        <v>290</v>
      </c>
      <c r="Q1280" s="382" t="s">
        <v>1151</v>
      </c>
    </row>
    <row r="1281" spans="2:17" s="307" customFormat="1" ht="12.75">
      <c r="B1281" s="384"/>
      <c r="C1281" s="379"/>
      <c r="P1281" s="381" t="s">
        <v>290</v>
      </c>
      <c r="Q1281" s="382" t="s">
        <v>1010</v>
      </c>
    </row>
    <row r="1282" spans="2:17" s="307" customFormat="1" ht="12.75">
      <c r="B1282" s="384"/>
      <c r="C1282" s="379"/>
      <c r="P1282" s="381" t="s">
        <v>290</v>
      </c>
      <c r="Q1282" s="382" t="s">
        <v>1011</v>
      </c>
    </row>
    <row r="1283" spans="2:17" s="307" customFormat="1" ht="12.75">
      <c r="B1283" s="384"/>
      <c r="C1283" s="379"/>
      <c r="P1283" s="381" t="s">
        <v>290</v>
      </c>
      <c r="Q1283" s="382" t="s">
        <v>1152</v>
      </c>
    </row>
    <row r="1284" spans="2:17" s="307" customFormat="1" ht="12.75">
      <c r="B1284" s="384"/>
      <c r="C1284" s="379"/>
      <c r="P1284" s="381" t="s">
        <v>290</v>
      </c>
      <c r="Q1284" s="382" t="s">
        <v>1012</v>
      </c>
    </row>
    <row r="1285" spans="2:17" s="307" customFormat="1" ht="12.75">
      <c r="B1285" s="384"/>
      <c r="C1285" s="379"/>
      <c r="P1285" s="381" t="s">
        <v>290</v>
      </c>
      <c r="Q1285" s="382" t="s">
        <v>1013</v>
      </c>
    </row>
    <row r="1286" spans="2:17" s="307" customFormat="1" ht="12.75">
      <c r="B1286" s="384"/>
      <c r="C1286" s="379"/>
      <c r="P1286" s="381" t="s">
        <v>290</v>
      </c>
      <c r="Q1286" s="382" t="s">
        <v>1014</v>
      </c>
    </row>
    <row r="1287" spans="2:17" s="307" customFormat="1" ht="12.75">
      <c r="B1287" s="384"/>
      <c r="C1287" s="379"/>
      <c r="P1287" s="381" t="s">
        <v>290</v>
      </c>
      <c r="Q1287" s="382" t="s">
        <v>1015</v>
      </c>
    </row>
    <row r="1288" spans="2:17" s="307" customFormat="1" ht="12.75">
      <c r="B1288" s="384"/>
      <c r="C1288" s="379"/>
      <c r="P1288" s="381" t="s">
        <v>290</v>
      </c>
      <c r="Q1288" s="382" t="s">
        <v>1016</v>
      </c>
    </row>
    <row r="1289" spans="2:17" s="307" customFormat="1" ht="12.75">
      <c r="B1289" s="384"/>
      <c r="C1289" s="379"/>
      <c r="P1289" s="381" t="s">
        <v>290</v>
      </c>
      <c r="Q1289" s="382" t="s">
        <v>1017</v>
      </c>
    </row>
    <row r="1290" spans="2:17" s="307" customFormat="1" ht="12.75">
      <c r="B1290" s="384"/>
      <c r="C1290" s="379"/>
      <c r="P1290" s="381" t="s">
        <v>290</v>
      </c>
      <c r="Q1290" s="382" t="s">
        <v>714</v>
      </c>
    </row>
    <row r="1291" spans="2:17" s="307" customFormat="1" ht="12.75">
      <c r="B1291" s="384"/>
      <c r="C1291" s="379"/>
      <c r="P1291" s="381" t="s">
        <v>290</v>
      </c>
      <c r="Q1291" s="382" t="s">
        <v>1161</v>
      </c>
    </row>
    <row r="1292" spans="2:17" s="307" customFormat="1" ht="12.75">
      <c r="B1292" s="384"/>
      <c r="C1292" s="379"/>
      <c r="P1292" s="381" t="s">
        <v>290</v>
      </c>
      <c r="Q1292" s="382" t="s">
        <v>1162</v>
      </c>
    </row>
    <row r="1293" spans="2:17" s="307" customFormat="1" ht="12.75">
      <c r="B1293" s="384"/>
      <c r="C1293" s="379"/>
      <c r="P1293" s="381" t="s">
        <v>290</v>
      </c>
      <c r="Q1293" s="382" t="s">
        <v>771</v>
      </c>
    </row>
    <row r="1294" spans="2:17" s="307" customFormat="1" ht="12.75">
      <c r="B1294" s="384"/>
      <c r="C1294" s="379"/>
      <c r="P1294" s="381" t="s">
        <v>290</v>
      </c>
      <c r="Q1294" s="382" t="s">
        <v>1163</v>
      </c>
    </row>
    <row r="1295" spans="2:17" s="307" customFormat="1" ht="12.75">
      <c r="B1295" s="384"/>
      <c r="C1295" s="379"/>
      <c r="P1295" s="381" t="s">
        <v>290</v>
      </c>
      <c r="Q1295" s="382" t="s">
        <v>1164</v>
      </c>
    </row>
    <row r="1296" spans="2:17" s="307" customFormat="1" ht="12.75">
      <c r="B1296" s="384"/>
      <c r="C1296" s="379"/>
      <c r="P1296" s="381" t="s">
        <v>290</v>
      </c>
      <c r="Q1296" s="382" t="s">
        <v>1165</v>
      </c>
    </row>
    <row r="1297" spans="2:17" s="307" customFormat="1" ht="12.75">
      <c r="B1297" s="384"/>
      <c r="C1297" s="379"/>
      <c r="P1297" s="381" t="s">
        <v>290</v>
      </c>
      <c r="Q1297" s="382" t="s">
        <v>1166</v>
      </c>
    </row>
    <row r="1298" spans="2:17" s="307" customFormat="1" ht="12.75">
      <c r="B1298" s="384"/>
      <c r="C1298" s="379"/>
      <c r="P1298" s="381" t="s">
        <v>290</v>
      </c>
      <c r="Q1298" s="382" t="s">
        <v>1167</v>
      </c>
    </row>
    <row r="1299" spans="2:17" s="307" customFormat="1" ht="12.75">
      <c r="B1299" s="384"/>
      <c r="C1299" s="379"/>
      <c r="P1299" s="381" t="s">
        <v>290</v>
      </c>
      <c r="Q1299" s="382" t="s">
        <v>1168</v>
      </c>
    </row>
    <row r="1300" spans="2:17" s="307" customFormat="1" ht="12.75">
      <c r="B1300" s="384"/>
      <c r="C1300" s="379"/>
      <c r="P1300" s="381" t="s">
        <v>290</v>
      </c>
      <c r="Q1300" s="382" t="s">
        <v>189</v>
      </c>
    </row>
    <row r="1301" spans="2:17" s="307" customFormat="1" ht="12.75">
      <c r="B1301" s="384"/>
      <c r="C1301" s="379"/>
      <c r="P1301" s="381" t="s">
        <v>290</v>
      </c>
      <c r="Q1301" s="382" t="s">
        <v>937</v>
      </c>
    </row>
    <row r="1302" spans="2:17" s="307" customFormat="1" ht="12.75">
      <c r="B1302" s="384"/>
      <c r="C1302" s="379"/>
      <c r="P1302" s="381" t="s">
        <v>290</v>
      </c>
      <c r="Q1302" s="382" t="s">
        <v>773</v>
      </c>
    </row>
    <row r="1303" spans="2:17" s="307" customFormat="1" ht="12.75">
      <c r="B1303" s="384"/>
      <c r="C1303" s="379"/>
      <c r="P1303" s="381" t="s">
        <v>290</v>
      </c>
      <c r="Q1303" s="382" t="s">
        <v>938</v>
      </c>
    </row>
    <row r="1304" spans="2:17" s="307" customFormat="1" ht="12.75">
      <c r="B1304" s="384"/>
      <c r="C1304" s="379"/>
      <c r="P1304" s="381" t="s">
        <v>290</v>
      </c>
      <c r="Q1304" s="382" t="s">
        <v>1169</v>
      </c>
    </row>
    <row r="1305" spans="2:17" s="307" customFormat="1" ht="12.75">
      <c r="B1305" s="384"/>
      <c r="C1305" s="379"/>
      <c r="P1305" s="381" t="s">
        <v>290</v>
      </c>
      <c r="Q1305" s="382" t="s">
        <v>1170</v>
      </c>
    </row>
    <row r="1306" spans="2:17" s="307" customFormat="1" ht="12.75">
      <c r="B1306" s="384"/>
      <c r="C1306" s="379"/>
      <c r="P1306" s="381" t="s">
        <v>290</v>
      </c>
      <c r="Q1306" s="382" t="s">
        <v>939</v>
      </c>
    </row>
    <row r="1307" spans="2:17" s="307" customFormat="1" ht="12.75">
      <c r="B1307" s="384"/>
      <c r="C1307" s="379"/>
      <c r="P1307" s="381" t="s">
        <v>290</v>
      </c>
      <c r="Q1307" s="382" t="s">
        <v>1171</v>
      </c>
    </row>
    <row r="1308" spans="2:17" s="307" customFormat="1" ht="12.75">
      <c r="B1308" s="384"/>
      <c r="C1308" s="379"/>
      <c r="P1308" s="381" t="s">
        <v>290</v>
      </c>
      <c r="Q1308" s="382" t="s">
        <v>940</v>
      </c>
    </row>
    <row r="1309" spans="2:17" s="307" customFormat="1" ht="12.75">
      <c r="B1309" s="384"/>
      <c r="C1309" s="379"/>
      <c r="P1309" s="381" t="s">
        <v>290</v>
      </c>
      <c r="Q1309" s="382" t="s">
        <v>1172</v>
      </c>
    </row>
    <row r="1310" spans="2:17" s="307" customFormat="1" ht="12.75">
      <c r="B1310" s="384"/>
      <c r="C1310" s="379"/>
      <c r="P1310" s="381" t="s">
        <v>290</v>
      </c>
      <c r="Q1310" s="382" t="s">
        <v>941</v>
      </c>
    </row>
    <row r="1311" spans="2:17" s="307" customFormat="1" ht="12.75">
      <c r="B1311" s="384"/>
      <c r="C1311" s="379"/>
      <c r="P1311" s="381" t="s">
        <v>290</v>
      </c>
      <c r="Q1311" s="382" t="s">
        <v>1173</v>
      </c>
    </row>
    <row r="1312" spans="2:17" s="307" customFormat="1" ht="12.75">
      <c r="B1312" s="384"/>
      <c r="C1312" s="379"/>
      <c r="P1312" s="381" t="s">
        <v>290</v>
      </c>
      <c r="Q1312" s="382" t="s">
        <v>923</v>
      </c>
    </row>
    <row r="1313" spans="2:17" s="307" customFormat="1" ht="12.75">
      <c r="B1313" s="384"/>
      <c r="C1313" s="379"/>
      <c r="P1313" s="381" t="s">
        <v>290</v>
      </c>
      <c r="Q1313" s="382" t="s">
        <v>924</v>
      </c>
    </row>
    <row r="1314" spans="2:17" s="307" customFormat="1" ht="12.75">
      <c r="B1314" s="384"/>
      <c r="C1314" s="379"/>
      <c r="P1314" s="381" t="s">
        <v>293</v>
      </c>
      <c r="Q1314" s="382" t="s">
        <v>746</v>
      </c>
    </row>
    <row r="1315" spans="2:17" s="307" customFormat="1" ht="12.75">
      <c r="B1315" s="384"/>
      <c r="C1315" s="379"/>
      <c r="P1315" s="381" t="s">
        <v>494</v>
      </c>
      <c r="Q1315" s="382" t="s">
        <v>942</v>
      </c>
    </row>
    <row r="1316" spans="2:17" s="307" customFormat="1" ht="12.75">
      <c r="B1316" s="384"/>
      <c r="C1316" s="379"/>
      <c r="P1316" s="381" t="s">
        <v>294</v>
      </c>
      <c r="Q1316" s="382" t="s">
        <v>902</v>
      </c>
    </row>
    <row r="1317" spans="2:17" s="307" customFormat="1" ht="12.75">
      <c r="B1317" s="384"/>
      <c r="C1317" s="379"/>
      <c r="P1317" s="381" t="s">
        <v>294</v>
      </c>
      <c r="Q1317" s="382" t="s">
        <v>726</v>
      </c>
    </row>
    <row r="1318" spans="2:17" s="307" customFormat="1" ht="12.75">
      <c r="B1318" s="384"/>
      <c r="C1318" s="379"/>
      <c r="P1318" s="381" t="s">
        <v>294</v>
      </c>
      <c r="Q1318" s="382" t="s">
        <v>179</v>
      </c>
    </row>
    <row r="1319" spans="2:17" s="307" customFormat="1" ht="12.75">
      <c r="B1319" s="384"/>
      <c r="C1319" s="379"/>
      <c r="P1319" s="381" t="s">
        <v>294</v>
      </c>
      <c r="Q1319" s="382" t="s">
        <v>180</v>
      </c>
    </row>
    <row r="1320" spans="2:17" s="307" customFormat="1" ht="12.75">
      <c r="B1320" s="384"/>
      <c r="C1320" s="379"/>
      <c r="P1320" s="381" t="s">
        <v>294</v>
      </c>
      <c r="Q1320" s="382" t="s">
        <v>181</v>
      </c>
    </row>
    <row r="1321" spans="2:17" s="307" customFormat="1" ht="12.75">
      <c r="B1321" s="384"/>
      <c r="C1321" s="379"/>
      <c r="P1321" s="381" t="s">
        <v>294</v>
      </c>
      <c r="Q1321" s="382" t="s">
        <v>182</v>
      </c>
    </row>
    <row r="1322" spans="2:17" s="307" customFormat="1" ht="12.75">
      <c r="B1322" s="384"/>
      <c r="C1322" s="379"/>
      <c r="P1322" s="381" t="s">
        <v>492</v>
      </c>
      <c r="Q1322" s="382" t="s">
        <v>1072</v>
      </c>
    </row>
    <row r="1323" spans="2:17" s="307" customFormat="1" ht="12.75">
      <c r="B1323" s="384"/>
      <c r="C1323" s="379"/>
      <c r="P1323" s="381" t="s">
        <v>493</v>
      </c>
      <c r="Q1323" s="382" t="s">
        <v>1050</v>
      </c>
    </row>
    <row r="1324" spans="2:17" s="307" customFormat="1" ht="12.75">
      <c r="B1324" s="384"/>
      <c r="C1324" s="379"/>
      <c r="P1324" s="381" t="s">
        <v>295</v>
      </c>
      <c r="Q1324" s="382" t="s">
        <v>903</v>
      </c>
    </row>
    <row r="1325" spans="2:17" s="307" customFormat="1" ht="12.75">
      <c r="B1325" s="384"/>
      <c r="C1325" s="379"/>
      <c r="P1325" s="381" t="s">
        <v>295</v>
      </c>
      <c r="Q1325" s="382" t="s">
        <v>178</v>
      </c>
    </row>
    <row r="1326" spans="2:17" s="307" customFormat="1" ht="12.75">
      <c r="B1326" s="384"/>
      <c r="C1326" s="379"/>
      <c r="P1326" s="381" t="s">
        <v>560</v>
      </c>
      <c r="Q1326" s="382" t="s">
        <v>1347</v>
      </c>
    </row>
    <row r="1327" spans="2:17" s="307" customFormat="1" ht="12.75">
      <c r="B1327" s="384"/>
      <c r="C1327" s="379"/>
      <c r="P1327" s="381" t="s">
        <v>560</v>
      </c>
      <c r="Q1327" s="382" t="s">
        <v>1348</v>
      </c>
    </row>
    <row r="1328" spans="2:17" s="307" customFormat="1" ht="12.75">
      <c r="B1328" s="384"/>
      <c r="C1328" s="379"/>
      <c r="P1328" s="381" t="s">
        <v>560</v>
      </c>
      <c r="Q1328" s="382" t="s">
        <v>1349</v>
      </c>
    </row>
    <row r="1329" spans="2:17" s="307" customFormat="1" ht="12.75">
      <c r="B1329" s="384"/>
      <c r="C1329" s="379"/>
      <c r="P1329" s="381" t="s">
        <v>560</v>
      </c>
      <c r="Q1329" s="382" t="s">
        <v>1350</v>
      </c>
    </row>
    <row r="1330" spans="2:17" s="307" customFormat="1" ht="12.75">
      <c r="B1330" s="384"/>
      <c r="C1330" s="379"/>
      <c r="P1330" s="381" t="s">
        <v>560</v>
      </c>
      <c r="Q1330" s="382" t="s">
        <v>1351</v>
      </c>
    </row>
    <row r="1331" spans="2:17" s="307" customFormat="1" ht="12.75">
      <c r="B1331" s="384"/>
      <c r="C1331" s="379"/>
      <c r="P1331" s="387" t="s">
        <v>560</v>
      </c>
      <c r="Q1331" s="388" t="s">
        <v>1352</v>
      </c>
    </row>
    <row r="1332" spans="2:17" s="307" customFormat="1" ht="12.75">
      <c r="B1332" s="384"/>
      <c r="C1332" s="379"/>
      <c r="P1332" s="381" t="s">
        <v>560</v>
      </c>
      <c r="Q1332" s="382" t="s">
        <v>1353</v>
      </c>
    </row>
    <row r="1333" spans="2:17" s="307" customFormat="1" ht="12.75">
      <c r="B1333" s="384"/>
      <c r="C1333" s="379"/>
      <c r="P1333" s="381" t="s">
        <v>560</v>
      </c>
      <c r="Q1333" s="382" t="s">
        <v>1354</v>
      </c>
    </row>
    <row r="1334" spans="2:17" s="307" customFormat="1" ht="12.75">
      <c r="B1334" s="384"/>
      <c r="C1334" s="379"/>
      <c r="P1334" s="381" t="s">
        <v>560</v>
      </c>
      <c r="Q1334" s="382" t="s">
        <v>1355</v>
      </c>
    </row>
    <row r="1335" spans="2:17" s="307" customFormat="1" ht="12.75">
      <c r="B1335" s="384"/>
      <c r="C1335" s="379"/>
      <c r="P1335" s="381" t="s">
        <v>560</v>
      </c>
      <c r="Q1335" s="382" t="s">
        <v>1356</v>
      </c>
    </row>
    <row r="1336" spans="2:17" s="307" customFormat="1" ht="12.75">
      <c r="B1336" s="384"/>
      <c r="C1336" s="379"/>
      <c r="P1336" s="381" t="s">
        <v>560</v>
      </c>
      <c r="Q1336" s="382" t="s">
        <v>1357</v>
      </c>
    </row>
    <row r="1337" spans="2:17" s="307" customFormat="1" ht="12.75">
      <c r="B1337" s="384"/>
      <c r="C1337" s="379"/>
      <c r="P1337" s="381" t="s">
        <v>560</v>
      </c>
      <c r="Q1337" s="382" t="s">
        <v>923</v>
      </c>
    </row>
    <row r="1338" spans="2:17" s="307" customFormat="1" ht="12.75">
      <c r="B1338" s="384"/>
      <c r="C1338" s="379"/>
      <c r="P1338" s="381" t="s">
        <v>560</v>
      </c>
      <c r="Q1338" s="382" t="s">
        <v>924</v>
      </c>
    </row>
    <row r="1339" spans="2:17" s="307" customFormat="1" ht="12.75">
      <c r="B1339" s="384"/>
      <c r="C1339" s="379"/>
      <c r="P1339" s="381" t="s">
        <v>495</v>
      </c>
      <c r="Q1339" s="382" t="s">
        <v>614</v>
      </c>
    </row>
    <row r="1340" spans="2:17" s="307" customFormat="1" ht="12.75">
      <c r="B1340" s="384"/>
      <c r="C1340" s="379"/>
      <c r="P1340" s="381" t="s">
        <v>495</v>
      </c>
      <c r="Q1340" s="382" t="s">
        <v>727</v>
      </c>
    </row>
    <row r="1341" spans="2:17" s="307" customFormat="1" ht="12.75">
      <c r="B1341" s="384"/>
      <c r="C1341" s="379"/>
      <c r="P1341" s="381" t="s">
        <v>297</v>
      </c>
      <c r="Q1341" s="382" t="s">
        <v>624</v>
      </c>
    </row>
    <row r="1342" spans="2:17" s="307" customFormat="1" ht="12.75">
      <c r="B1342" s="384"/>
      <c r="C1342" s="379"/>
      <c r="P1342" s="381" t="s">
        <v>297</v>
      </c>
      <c r="Q1342" s="382" t="s">
        <v>625</v>
      </c>
    </row>
    <row r="1343" spans="2:17" s="307" customFormat="1" ht="12.75">
      <c r="B1343" s="384"/>
      <c r="C1343" s="379"/>
      <c r="P1343" s="381" t="s">
        <v>297</v>
      </c>
      <c r="Q1343" s="382" t="s">
        <v>626</v>
      </c>
    </row>
    <row r="1344" spans="2:17" s="307" customFormat="1" ht="12.75">
      <c r="B1344" s="384"/>
      <c r="C1344" s="379"/>
      <c r="P1344" s="381" t="s">
        <v>298</v>
      </c>
      <c r="Q1344" s="382" t="s">
        <v>1018</v>
      </c>
    </row>
    <row r="1345" spans="2:17" s="307" customFormat="1" ht="12.75">
      <c r="B1345" s="384"/>
      <c r="C1345" s="379"/>
      <c r="P1345" s="381" t="s">
        <v>298</v>
      </c>
      <c r="Q1345" s="382" t="s">
        <v>1019</v>
      </c>
    </row>
    <row r="1346" spans="2:17" s="307" customFormat="1" ht="12.75">
      <c r="B1346" s="384"/>
      <c r="C1346" s="379"/>
      <c r="P1346" s="381" t="s">
        <v>298</v>
      </c>
      <c r="Q1346" s="382" t="s">
        <v>904</v>
      </c>
    </row>
    <row r="1347" spans="2:17" s="307" customFormat="1" ht="12.75">
      <c r="B1347" s="384"/>
      <c r="C1347" s="379"/>
      <c r="P1347" s="381" t="s">
        <v>298</v>
      </c>
      <c r="Q1347" s="382" t="s">
        <v>718</v>
      </c>
    </row>
    <row r="1348" spans="2:17" s="307" customFormat="1" ht="12.75">
      <c r="B1348" s="384"/>
      <c r="C1348" s="379"/>
      <c r="P1348" s="381" t="s">
        <v>298</v>
      </c>
      <c r="Q1348" s="382" t="s">
        <v>719</v>
      </c>
    </row>
    <row r="1349" spans="2:17" s="307" customFormat="1" ht="12.75">
      <c r="B1349" s="384"/>
      <c r="C1349" s="379"/>
      <c r="P1349" s="381" t="s">
        <v>298</v>
      </c>
      <c r="Q1349" s="382" t="s">
        <v>178</v>
      </c>
    </row>
    <row r="1350" spans="2:17" s="307" customFormat="1" ht="12.75">
      <c r="B1350" s="384"/>
      <c r="C1350" s="379"/>
      <c r="P1350" s="381" t="s">
        <v>298</v>
      </c>
      <c r="Q1350" s="382" t="s">
        <v>720</v>
      </c>
    </row>
    <row r="1351" spans="2:17" s="307" customFormat="1" ht="12.75">
      <c r="B1351" s="384"/>
      <c r="C1351" s="379"/>
      <c r="P1351" s="381" t="s">
        <v>298</v>
      </c>
      <c r="Q1351" s="382" t="s">
        <v>721</v>
      </c>
    </row>
    <row r="1352" spans="2:17" s="307" customFormat="1" ht="12.75">
      <c r="B1352" s="384"/>
      <c r="C1352" s="379"/>
      <c r="P1352" s="381" t="s">
        <v>298</v>
      </c>
      <c r="Q1352" s="382" t="s">
        <v>722</v>
      </c>
    </row>
    <row r="1353" spans="2:17" s="307" customFormat="1" ht="12.75">
      <c r="B1353" s="384"/>
      <c r="C1353" s="379"/>
      <c r="P1353" s="381" t="s">
        <v>298</v>
      </c>
      <c r="Q1353" s="382" t="s">
        <v>723</v>
      </c>
    </row>
    <row r="1354" spans="2:17" s="307" customFormat="1" ht="12.75">
      <c r="B1354" s="384"/>
      <c r="C1354" s="379"/>
      <c r="P1354" s="381" t="s">
        <v>298</v>
      </c>
      <c r="Q1354" s="382" t="s">
        <v>724</v>
      </c>
    </row>
    <row r="1355" spans="2:17" s="307" customFormat="1" ht="12.75">
      <c r="B1355" s="384"/>
      <c r="C1355" s="379"/>
      <c r="P1355" s="381" t="s">
        <v>298</v>
      </c>
      <c r="Q1355" s="382" t="s">
        <v>725</v>
      </c>
    </row>
    <row r="1356" spans="2:17" s="307" customFormat="1" ht="12.75">
      <c r="B1356" s="384"/>
      <c r="C1356" s="379"/>
      <c r="P1356" s="381" t="s">
        <v>299</v>
      </c>
      <c r="Q1356" s="382" t="s">
        <v>665</v>
      </c>
    </row>
    <row r="1357" spans="2:17" s="307" customFormat="1" ht="12.75">
      <c r="B1357" s="384"/>
      <c r="C1357" s="379"/>
      <c r="P1357" s="381" t="s">
        <v>299</v>
      </c>
      <c r="Q1357" s="382" t="s">
        <v>667</v>
      </c>
    </row>
    <row r="1358" spans="2:17" s="307" customFormat="1" ht="12.75">
      <c r="B1358" s="384"/>
      <c r="C1358" s="379"/>
      <c r="P1358" s="381" t="s">
        <v>299</v>
      </c>
      <c r="Q1358" s="382" t="s">
        <v>684</v>
      </c>
    </row>
    <row r="1359" spans="2:17" s="307" customFormat="1" ht="12.75">
      <c r="B1359" s="384"/>
      <c r="C1359" s="379"/>
      <c r="P1359" s="381" t="s">
        <v>453</v>
      </c>
      <c r="Q1359" s="382" t="s">
        <v>1082</v>
      </c>
    </row>
    <row r="1360" spans="2:17" s="307" customFormat="1" ht="12.75">
      <c r="B1360" s="384"/>
      <c r="C1360" s="379"/>
      <c r="P1360" s="381" t="s">
        <v>1141</v>
      </c>
      <c r="Q1360" s="382" t="s">
        <v>132</v>
      </c>
    </row>
    <row r="1361" spans="2:17" s="307" customFormat="1" ht="12.75">
      <c r="B1361" s="384"/>
      <c r="C1361" s="379"/>
      <c r="P1361" s="381" t="s">
        <v>1142</v>
      </c>
      <c r="Q1361" s="382" t="s">
        <v>133</v>
      </c>
    </row>
    <row r="1362" spans="2:17" s="307" customFormat="1" ht="12.75">
      <c r="B1362" s="384"/>
      <c r="C1362" s="379"/>
      <c r="P1362" s="381" t="s">
        <v>1143</v>
      </c>
      <c r="Q1362" s="382" t="s">
        <v>133</v>
      </c>
    </row>
    <row r="1363" spans="2:17" s="307" customFormat="1" ht="12.75">
      <c r="B1363" s="384"/>
      <c r="C1363" s="379"/>
      <c r="P1363" s="381" t="s">
        <v>1143</v>
      </c>
      <c r="Q1363" s="382" t="s">
        <v>134</v>
      </c>
    </row>
    <row r="1364" spans="2:17" s="307" customFormat="1" ht="12.75">
      <c r="B1364" s="384"/>
      <c r="C1364" s="379"/>
      <c r="P1364" s="381" t="s">
        <v>374</v>
      </c>
      <c r="Q1364" s="382" t="s">
        <v>140</v>
      </c>
    </row>
    <row r="1365" spans="2:17" s="307" customFormat="1" ht="12.75">
      <c r="B1365" s="384"/>
      <c r="C1365" s="379"/>
      <c r="P1365" s="381" t="s">
        <v>280</v>
      </c>
      <c r="Q1365" s="382" t="s">
        <v>911</v>
      </c>
    </row>
    <row r="1366" spans="2:17" s="307" customFormat="1" ht="12.75">
      <c r="B1366" s="384"/>
      <c r="C1366" s="379"/>
      <c r="P1366" s="381" t="s">
        <v>281</v>
      </c>
      <c r="Q1366" s="382" t="s">
        <v>911</v>
      </c>
    </row>
    <row r="1367" spans="2:17" s="307" customFormat="1" ht="12.75">
      <c r="B1367" s="384"/>
      <c r="C1367" s="379"/>
      <c r="P1367" s="381" t="s">
        <v>1144</v>
      </c>
      <c r="Q1367" s="382" t="s">
        <v>160</v>
      </c>
    </row>
    <row r="1368" spans="2:17" s="307" customFormat="1" ht="12.75">
      <c r="B1368" s="384"/>
      <c r="C1368" s="379"/>
      <c r="P1368" s="381" t="s">
        <v>1144</v>
      </c>
      <c r="Q1368" s="382" t="s">
        <v>608</v>
      </c>
    </row>
    <row r="1369" spans="2:17" s="307" customFormat="1" ht="12.75">
      <c r="B1369" s="384"/>
      <c r="C1369" s="379"/>
      <c r="P1369" s="381" t="s">
        <v>1145</v>
      </c>
      <c r="Q1369" s="382" t="s">
        <v>160</v>
      </c>
    </row>
    <row r="1370" spans="2:17" s="307" customFormat="1" ht="12.75">
      <c r="B1370" s="384"/>
      <c r="C1370" s="379"/>
      <c r="P1370" s="381" t="s">
        <v>1145</v>
      </c>
      <c r="Q1370" s="382" t="s">
        <v>608</v>
      </c>
    </row>
    <row r="1371" spans="2:17" s="307" customFormat="1" ht="12.75">
      <c r="B1371" s="384"/>
      <c r="C1371" s="379"/>
      <c r="P1371" s="381" t="s">
        <v>375</v>
      </c>
      <c r="Q1371" s="382" t="s">
        <v>160</v>
      </c>
    </row>
    <row r="1372" spans="2:17" s="307" customFormat="1" ht="12.75">
      <c r="B1372" s="384"/>
      <c r="C1372" s="379"/>
      <c r="P1372" s="381" t="s">
        <v>375</v>
      </c>
      <c r="Q1372" s="382" t="s">
        <v>832</v>
      </c>
    </row>
    <row r="1373" spans="2:17" s="307" customFormat="1" ht="12.75">
      <c r="B1373" s="384"/>
      <c r="C1373" s="379"/>
      <c r="P1373" s="381" t="s">
        <v>376</v>
      </c>
      <c r="Q1373" s="382" t="s">
        <v>160</v>
      </c>
    </row>
    <row r="1374" spans="2:17" s="307" customFormat="1" ht="12.75">
      <c r="B1374" s="384"/>
      <c r="C1374" s="379"/>
      <c r="P1374" s="381" t="s">
        <v>376</v>
      </c>
      <c r="Q1374" s="382" t="s">
        <v>832</v>
      </c>
    </row>
    <row r="1375" spans="2:17" s="307" customFormat="1" ht="12.75">
      <c r="B1375" s="384"/>
      <c r="C1375" s="379"/>
      <c r="P1375" s="381" t="s">
        <v>1020</v>
      </c>
      <c r="Q1375" s="382" t="s">
        <v>911</v>
      </c>
    </row>
    <row r="1376" spans="2:17" s="307" customFormat="1" ht="12.75">
      <c r="B1376" s="384"/>
      <c r="C1376" s="379"/>
      <c r="P1376" s="381" t="s">
        <v>1021</v>
      </c>
      <c r="Q1376" s="382" t="s">
        <v>911</v>
      </c>
    </row>
    <row r="1377" spans="2:17" s="307" customFormat="1" ht="12.75">
      <c r="B1377" s="384"/>
      <c r="C1377" s="379"/>
      <c r="P1377" s="381" t="s">
        <v>377</v>
      </c>
      <c r="Q1377" s="382" t="s">
        <v>835</v>
      </c>
    </row>
    <row r="1378" spans="2:17" s="307" customFormat="1" ht="12.75">
      <c r="B1378" s="384"/>
      <c r="C1378" s="379"/>
      <c r="P1378" s="381" t="s">
        <v>377</v>
      </c>
      <c r="Q1378" s="382" t="s">
        <v>836</v>
      </c>
    </row>
    <row r="1379" spans="2:17" s="307" customFormat="1" ht="12.75">
      <c r="B1379" s="384"/>
      <c r="C1379" s="379"/>
      <c r="P1379" s="381" t="s">
        <v>377</v>
      </c>
      <c r="Q1379" s="382" t="s">
        <v>837</v>
      </c>
    </row>
    <row r="1380" spans="2:17" s="307" customFormat="1" ht="12.75">
      <c r="B1380" s="384"/>
      <c r="C1380" s="379"/>
      <c r="P1380" s="381" t="s">
        <v>377</v>
      </c>
      <c r="Q1380" s="382" t="s">
        <v>838</v>
      </c>
    </row>
    <row r="1381" spans="2:17" s="307" customFormat="1" ht="12.75">
      <c r="B1381" s="384"/>
      <c r="C1381" s="379"/>
      <c r="P1381" s="381" t="s">
        <v>377</v>
      </c>
      <c r="Q1381" s="382" t="s">
        <v>839</v>
      </c>
    </row>
    <row r="1382" spans="2:17" s="307" customFormat="1" ht="12.75">
      <c r="B1382" s="384"/>
      <c r="C1382" s="379"/>
      <c r="P1382" s="381" t="s">
        <v>377</v>
      </c>
      <c r="Q1382" s="382" t="s">
        <v>840</v>
      </c>
    </row>
    <row r="1383" spans="2:17" s="307" customFormat="1" ht="12.75">
      <c r="B1383" s="384"/>
      <c r="C1383" s="379"/>
      <c r="P1383" s="381" t="s">
        <v>377</v>
      </c>
      <c r="Q1383" s="382" t="s">
        <v>841</v>
      </c>
    </row>
    <row r="1384" spans="2:17" s="307" customFormat="1" ht="12.75">
      <c r="B1384" s="384"/>
      <c r="C1384" s="379"/>
      <c r="P1384" s="381" t="s">
        <v>377</v>
      </c>
      <c r="Q1384" s="382" t="s">
        <v>1023</v>
      </c>
    </row>
    <row r="1385" spans="2:17" s="307" customFormat="1" ht="12.75">
      <c r="B1385" s="384"/>
      <c r="C1385" s="379"/>
      <c r="P1385" s="381" t="s">
        <v>378</v>
      </c>
      <c r="Q1385" s="382" t="s">
        <v>835</v>
      </c>
    </row>
    <row r="1386" spans="2:17" s="307" customFormat="1" ht="12.75">
      <c r="B1386" s="384"/>
      <c r="C1386" s="379"/>
      <c r="P1386" s="381" t="s">
        <v>378</v>
      </c>
      <c r="Q1386" s="382" t="s">
        <v>836</v>
      </c>
    </row>
    <row r="1387" spans="2:17" s="307" customFormat="1" ht="12.75">
      <c r="B1387" s="384"/>
      <c r="C1387" s="379"/>
      <c r="P1387" s="381" t="s">
        <v>378</v>
      </c>
      <c r="Q1387" s="382" t="s">
        <v>837</v>
      </c>
    </row>
    <row r="1388" spans="2:17" s="307" customFormat="1" ht="12.75">
      <c r="B1388" s="384"/>
      <c r="C1388" s="379"/>
      <c r="P1388" s="381" t="s">
        <v>378</v>
      </c>
      <c r="Q1388" s="382" t="s">
        <v>838</v>
      </c>
    </row>
    <row r="1389" spans="2:17" s="307" customFormat="1" ht="12.75">
      <c r="B1389" s="384"/>
      <c r="C1389" s="379"/>
      <c r="P1389" s="381" t="s">
        <v>378</v>
      </c>
      <c r="Q1389" s="382" t="s">
        <v>839</v>
      </c>
    </row>
    <row r="1390" spans="2:17" s="307" customFormat="1" ht="12.75">
      <c r="B1390" s="384"/>
      <c r="C1390" s="379"/>
      <c r="P1390" s="381" t="s">
        <v>378</v>
      </c>
      <c r="Q1390" s="382" t="s">
        <v>840</v>
      </c>
    </row>
    <row r="1391" spans="2:17" s="307" customFormat="1" ht="12.75">
      <c r="B1391" s="384"/>
      <c r="C1391" s="379"/>
      <c r="P1391" s="381" t="s">
        <v>378</v>
      </c>
      <c r="Q1391" s="382" t="s">
        <v>841</v>
      </c>
    </row>
    <row r="1392" spans="2:17" s="307" customFormat="1" ht="12.75">
      <c r="B1392" s="384"/>
      <c r="C1392" s="379"/>
      <c r="P1392" s="381" t="s">
        <v>378</v>
      </c>
      <c r="Q1392" s="382" t="s">
        <v>1022</v>
      </c>
    </row>
    <row r="1393" spans="2:17" s="307" customFormat="1" ht="12.75">
      <c r="B1393" s="384"/>
      <c r="C1393" s="379"/>
      <c r="P1393" s="381" t="s">
        <v>378</v>
      </c>
      <c r="Q1393" s="382" t="s">
        <v>1023</v>
      </c>
    </row>
    <row r="1394" spans="2:17" s="307" customFormat="1" ht="12.75">
      <c r="B1394" s="384"/>
      <c r="C1394" s="379"/>
      <c r="P1394" s="381" t="s">
        <v>378</v>
      </c>
      <c r="Q1394" s="382" t="s">
        <v>912</v>
      </c>
    </row>
    <row r="1395" spans="2:17" s="307" customFormat="1" ht="12.75">
      <c r="B1395" s="384"/>
      <c r="C1395" s="379"/>
      <c r="P1395" s="381" t="s">
        <v>175</v>
      </c>
      <c r="Q1395" s="382" t="s">
        <v>175</v>
      </c>
    </row>
    <row r="1396" spans="2:17" s="307" customFormat="1" ht="12.75">
      <c r="B1396" s="384"/>
      <c r="C1396" s="379"/>
      <c r="P1396" s="381" t="s">
        <v>176</v>
      </c>
      <c r="Q1396" s="382" t="s">
        <v>176</v>
      </c>
    </row>
    <row r="1397" spans="2:17" s="307" customFormat="1" ht="12.75">
      <c r="B1397" s="384"/>
      <c r="C1397" s="379"/>
      <c r="P1397" s="381" t="s">
        <v>496</v>
      </c>
      <c r="Q1397" s="382" t="s">
        <v>727</v>
      </c>
    </row>
    <row r="1398" spans="2:17" s="307" customFormat="1" ht="12.75">
      <c r="B1398" s="384"/>
      <c r="C1398" s="379"/>
      <c r="P1398" s="381" t="s">
        <v>300</v>
      </c>
      <c r="Q1398" s="382" t="s">
        <v>902</v>
      </c>
    </row>
    <row r="1399" spans="2:17" s="307" customFormat="1" ht="12.75">
      <c r="B1399" s="384"/>
      <c r="C1399" s="379"/>
      <c r="P1399" s="381" t="s">
        <v>300</v>
      </c>
      <c r="Q1399" s="382" t="s">
        <v>726</v>
      </c>
    </row>
    <row r="1400" spans="2:17" s="307" customFormat="1" ht="12.75">
      <c r="B1400" s="384"/>
      <c r="C1400" s="379"/>
      <c r="P1400" s="381" t="s">
        <v>300</v>
      </c>
      <c r="Q1400" s="382" t="s">
        <v>179</v>
      </c>
    </row>
    <row r="1401" spans="2:17" s="307" customFormat="1" ht="12.75">
      <c r="B1401" s="384"/>
      <c r="C1401" s="379"/>
      <c r="P1401" s="381" t="s">
        <v>300</v>
      </c>
      <c r="Q1401" s="382" t="s">
        <v>180</v>
      </c>
    </row>
    <row r="1402" spans="2:17" s="307" customFormat="1" ht="12.75">
      <c r="B1402" s="384"/>
      <c r="C1402" s="379"/>
      <c r="P1402" s="381" t="s">
        <v>300</v>
      </c>
      <c r="Q1402" s="382" t="s">
        <v>181</v>
      </c>
    </row>
    <row r="1403" spans="2:17" s="307" customFormat="1" ht="12.75">
      <c r="B1403" s="384"/>
      <c r="C1403" s="379"/>
      <c r="P1403" s="381" t="s">
        <v>300</v>
      </c>
      <c r="Q1403" s="382" t="s">
        <v>182</v>
      </c>
    </row>
    <row r="1404" spans="2:17" s="307" customFormat="1" ht="12.75">
      <c r="B1404" s="384"/>
      <c r="C1404" s="379"/>
      <c r="P1404" s="381" t="s">
        <v>497</v>
      </c>
      <c r="Q1404" s="382" t="s">
        <v>1072</v>
      </c>
    </row>
    <row r="1405" spans="2:17" s="307" customFormat="1" ht="12.75">
      <c r="B1405" s="384"/>
      <c r="C1405" s="379"/>
      <c r="P1405" s="307" t="e">
        <v>#N/A</v>
      </c>
      <c r="Q1405" s="389" t="s">
        <v>1074</v>
      </c>
    </row>
    <row r="1406" spans="2:17" s="307" customFormat="1" ht="12.75">
      <c r="B1406" s="384"/>
      <c r="C1406" s="379"/>
      <c r="P1406" s="307" t="s">
        <v>498</v>
      </c>
      <c r="Q1406" s="389" t="s">
        <v>1050</v>
      </c>
    </row>
    <row r="1407" spans="2:17" s="307" customFormat="1" ht="12.75">
      <c r="B1407" s="384"/>
      <c r="C1407" s="379"/>
      <c r="P1407" s="307" t="s">
        <v>302</v>
      </c>
      <c r="Q1407" s="389" t="s">
        <v>683</v>
      </c>
    </row>
    <row r="1408" spans="2:17" s="307" customFormat="1" ht="12.75">
      <c r="B1408" s="384"/>
      <c r="C1408" s="379"/>
      <c r="P1408" s="307" t="s">
        <v>301</v>
      </c>
      <c r="Q1408" s="389" t="s">
        <v>903</v>
      </c>
    </row>
    <row r="1409" spans="2:17" s="307" customFormat="1" ht="12.75">
      <c r="B1409" s="384"/>
      <c r="C1409" s="379"/>
      <c r="P1409" s="307" t="s">
        <v>301</v>
      </c>
      <c r="Q1409" s="389" t="s">
        <v>1115</v>
      </c>
    </row>
    <row r="1410" spans="2:17" s="307" customFormat="1" ht="12.75">
      <c r="B1410" s="384"/>
      <c r="C1410" s="379"/>
      <c r="P1410" s="307" t="s">
        <v>301</v>
      </c>
      <c r="Q1410" s="389" t="s">
        <v>178</v>
      </c>
    </row>
    <row r="1411" spans="2:17" s="307" customFormat="1" ht="12.75">
      <c r="B1411" s="384"/>
      <c r="C1411" s="379"/>
      <c r="P1411" s="307" t="s">
        <v>1267</v>
      </c>
      <c r="Q1411" s="389" t="s">
        <v>1078</v>
      </c>
    </row>
    <row r="1412" spans="2:17" s="307" customFormat="1" ht="12.75">
      <c r="B1412" s="384"/>
      <c r="C1412" s="379"/>
      <c r="P1412" s="307" t="s">
        <v>561</v>
      </c>
      <c r="Q1412" s="389" t="s">
        <v>1024</v>
      </c>
    </row>
    <row r="1413" spans="2:17" s="307" customFormat="1" ht="12.75">
      <c r="B1413" s="384"/>
      <c r="C1413" s="379"/>
      <c r="P1413" s="307" t="s">
        <v>561</v>
      </c>
      <c r="Q1413" s="389" t="s">
        <v>1025</v>
      </c>
    </row>
    <row r="1414" spans="2:17" s="307" customFormat="1" ht="12.75">
      <c r="B1414" s="384"/>
      <c r="C1414" s="379"/>
      <c r="P1414" s="307" t="s">
        <v>499</v>
      </c>
      <c r="Q1414" s="389" t="s">
        <v>614</v>
      </c>
    </row>
    <row r="1415" spans="2:17" s="307" customFormat="1" ht="12.75">
      <c r="B1415" s="384"/>
      <c r="C1415" s="379"/>
      <c r="P1415" s="307" t="s">
        <v>303</v>
      </c>
      <c r="Q1415" s="389" t="s">
        <v>624</v>
      </c>
    </row>
    <row r="1416" spans="2:17" s="307" customFormat="1" ht="12.75">
      <c r="B1416" s="384"/>
      <c r="C1416" s="379"/>
      <c r="P1416" s="307" t="s">
        <v>303</v>
      </c>
      <c r="Q1416" s="389" t="s">
        <v>625</v>
      </c>
    </row>
    <row r="1417" spans="2:17" s="307" customFormat="1" ht="12.75">
      <c r="B1417" s="384"/>
      <c r="C1417" s="379"/>
      <c r="P1417" s="307" t="s">
        <v>303</v>
      </c>
      <c r="Q1417" s="389" t="s">
        <v>626</v>
      </c>
    </row>
    <row r="1418" spans="2:17" s="307" customFormat="1" ht="12.75">
      <c r="B1418" s="384"/>
      <c r="C1418" s="379"/>
      <c r="P1418" s="307" t="s">
        <v>304</v>
      </c>
      <c r="Q1418" s="389" t="s">
        <v>1024</v>
      </c>
    </row>
    <row r="1419" spans="2:17" s="307" customFormat="1" ht="12.75">
      <c r="B1419" s="384"/>
      <c r="C1419" s="379"/>
      <c r="P1419" s="307" t="s">
        <v>304</v>
      </c>
      <c r="Q1419" s="389" t="s">
        <v>1025</v>
      </c>
    </row>
    <row r="1420" spans="2:17" s="307" customFormat="1" ht="12.75">
      <c r="B1420" s="384"/>
      <c r="C1420" s="379"/>
      <c r="P1420" s="307" t="s">
        <v>304</v>
      </c>
      <c r="Q1420" s="389" t="s">
        <v>758</v>
      </c>
    </row>
    <row r="1421" spans="2:17" s="307" customFormat="1" ht="12.75">
      <c r="B1421" s="384"/>
      <c r="C1421" s="379"/>
      <c r="P1421" s="307" t="s">
        <v>304</v>
      </c>
      <c r="Q1421" s="389" t="s">
        <v>759</v>
      </c>
    </row>
    <row r="1422" spans="2:17" s="307" customFormat="1" ht="12.75">
      <c r="B1422" s="384"/>
      <c r="C1422" s="379"/>
      <c r="P1422" s="307" t="s">
        <v>304</v>
      </c>
      <c r="Q1422" s="389" t="s">
        <v>760</v>
      </c>
    </row>
    <row r="1423" spans="2:17" s="307" customFormat="1" ht="12.75">
      <c r="B1423" s="384"/>
      <c r="C1423" s="379"/>
      <c r="P1423" s="307" t="s">
        <v>304</v>
      </c>
      <c r="Q1423" s="389" t="s">
        <v>761</v>
      </c>
    </row>
    <row r="1424" spans="2:17" s="307" customFormat="1" ht="12.75">
      <c r="B1424" s="384"/>
      <c r="C1424" s="379"/>
      <c r="P1424" s="307" t="s">
        <v>305</v>
      </c>
      <c r="Q1424" s="389" t="s">
        <v>653</v>
      </c>
    </row>
    <row r="1425" spans="2:17" s="307" customFormat="1" ht="12.75">
      <c r="B1425" s="384"/>
      <c r="C1425" s="379"/>
      <c r="P1425" s="307" t="s">
        <v>305</v>
      </c>
      <c r="Q1425" s="389" t="s">
        <v>654</v>
      </c>
    </row>
    <row r="1426" spans="2:17" s="307" customFormat="1" ht="12.75">
      <c r="B1426" s="384"/>
      <c r="C1426" s="379"/>
      <c r="P1426" s="307" t="s">
        <v>305</v>
      </c>
      <c r="Q1426" s="389" t="s">
        <v>662</v>
      </c>
    </row>
    <row r="1427" spans="2:17" s="307" customFormat="1" ht="12.75">
      <c r="B1427" s="384"/>
      <c r="C1427" s="379"/>
      <c r="P1427" s="307" t="s">
        <v>305</v>
      </c>
      <c r="Q1427" s="389" t="s">
        <v>678</v>
      </c>
    </row>
    <row r="1428" spans="2:17" s="307" customFormat="1" ht="12.75">
      <c r="B1428" s="384"/>
      <c r="C1428" s="379"/>
      <c r="P1428" s="307" t="s">
        <v>305</v>
      </c>
      <c r="Q1428" s="389" t="s">
        <v>679</v>
      </c>
    </row>
    <row r="1429" spans="2:17" s="307" customFormat="1" ht="12.75">
      <c r="B1429" s="384"/>
      <c r="C1429" s="379"/>
      <c r="P1429" s="307" t="s">
        <v>305</v>
      </c>
      <c r="Q1429" s="389" t="s">
        <v>680</v>
      </c>
    </row>
    <row r="1430" spans="2:17" s="307" customFormat="1" ht="12.75">
      <c r="B1430" s="384"/>
      <c r="C1430" s="379"/>
      <c r="P1430" s="307" t="s">
        <v>305</v>
      </c>
      <c r="Q1430" s="389" t="s">
        <v>681</v>
      </c>
    </row>
    <row r="1431" spans="2:17" s="307" customFormat="1" ht="12.75">
      <c r="B1431" s="384"/>
      <c r="C1431" s="379"/>
      <c r="P1431" s="307" t="s">
        <v>384</v>
      </c>
      <c r="Q1431" s="389" t="s">
        <v>859</v>
      </c>
    </row>
    <row r="1432" spans="2:17" s="307" customFormat="1" ht="12.75">
      <c r="B1432" s="384"/>
      <c r="C1432" s="379"/>
      <c r="P1432" s="307" t="s">
        <v>384</v>
      </c>
      <c r="Q1432" s="389" t="s">
        <v>601</v>
      </c>
    </row>
    <row r="1433" spans="2:17" s="307" customFormat="1" ht="12.75">
      <c r="B1433" s="384"/>
      <c r="C1433" s="379"/>
      <c r="P1433" s="307" t="s">
        <v>386</v>
      </c>
      <c r="Q1433" s="389" t="s">
        <v>600</v>
      </c>
    </row>
    <row r="1434" spans="2:17" s="307" customFormat="1" ht="12.75">
      <c r="B1434" s="384"/>
      <c r="C1434" s="379"/>
      <c r="P1434" s="307" t="s">
        <v>386</v>
      </c>
      <c r="Q1434" s="389" t="s">
        <v>1085</v>
      </c>
    </row>
    <row r="1435" spans="2:17" s="307" customFormat="1" ht="12.75">
      <c r="B1435" s="384"/>
      <c r="C1435" s="379"/>
      <c r="P1435" s="307" t="s">
        <v>385</v>
      </c>
      <c r="Q1435" s="389" t="s">
        <v>1026</v>
      </c>
    </row>
    <row r="1436" spans="2:17" s="307" customFormat="1" ht="12.75">
      <c r="B1436" s="384"/>
      <c r="C1436" s="379"/>
      <c r="P1436" s="307" t="s">
        <v>385</v>
      </c>
      <c r="Q1436" s="389" t="s">
        <v>1027</v>
      </c>
    </row>
    <row r="1437" spans="2:17" s="307" customFormat="1" ht="12.75">
      <c r="B1437" s="384"/>
      <c r="C1437" s="379"/>
      <c r="P1437" s="307" t="s">
        <v>385</v>
      </c>
      <c r="Q1437" s="389" t="s">
        <v>1028</v>
      </c>
    </row>
    <row r="1438" spans="2:17" s="307" customFormat="1" ht="12.75">
      <c r="B1438" s="384"/>
      <c r="C1438" s="379"/>
      <c r="P1438" s="307" t="s">
        <v>307</v>
      </c>
      <c r="Q1438" s="389" t="s">
        <v>746</v>
      </c>
    </row>
    <row r="1439" spans="2:17" s="307" customFormat="1" ht="12.75">
      <c r="B1439" s="384"/>
      <c r="C1439" s="379"/>
      <c r="P1439" s="307" t="s">
        <v>796</v>
      </c>
      <c r="Q1439" s="389" t="s">
        <v>1052</v>
      </c>
    </row>
    <row r="1440" spans="2:17" s="307" customFormat="1" ht="12.75">
      <c r="B1440" s="384"/>
      <c r="C1440" s="379"/>
      <c r="P1440" s="307" t="s">
        <v>795</v>
      </c>
      <c r="Q1440" s="389" t="s">
        <v>1052</v>
      </c>
    </row>
    <row r="1441" spans="2:17" s="307" customFormat="1" ht="12.75">
      <c r="B1441" s="384"/>
      <c r="C1441" s="379"/>
      <c r="P1441" s="307" t="s">
        <v>562</v>
      </c>
      <c r="Q1441" s="389" t="s">
        <v>893</v>
      </c>
    </row>
    <row r="1442" spans="2:17" s="307" customFormat="1" ht="12.75">
      <c r="B1442" s="384"/>
      <c r="C1442" s="379"/>
      <c r="P1442" s="307" t="s">
        <v>308</v>
      </c>
      <c r="Q1442" s="389" t="s">
        <v>188</v>
      </c>
    </row>
    <row r="1443" spans="2:17" s="307" customFormat="1" ht="12.75">
      <c r="B1443" s="384"/>
      <c r="C1443" s="379"/>
      <c r="P1443" s="307" t="s">
        <v>309</v>
      </c>
      <c r="Q1443" s="389" t="s">
        <v>856</v>
      </c>
    </row>
    <row r="1444" spans="2:17" s="307" customFormat="1" ht="12.75">
      <c r="B1444" s="384"/>
      <c r="C1444" s="379"/>
      <c r="P1444" s="307" t="s">
        <v>309</v>
      </c>
      <c r="Q1444" s="389" t="s">
        <v>582</v>
      </c>
    </row>
    <row r="1445" spans="2:17" s="307" customFormat="1" ht="12.75">
      <c r="B1445" s="384"/>
      <c r="C1445" s="379"/>
      <c r="P1445" s="307" t="s">
        <v>309</v>
      </c>
      <c r="Q1445" s="389" t="s">
        <v>142</v>
      </c>
    </row>
    <row r="1446" spans="2:17" s="307" customFormat="1" ht="12.75">
      <c r="B1446" s="384"/>
      <c r="C1446" s="379"/>
      <c r="P1446" s="307" t="s">
        <v>309</v>
      </c>
      <c r="Q1446" s="389" t="s">
        <v>143</v>
      </c>
    </row>
    <row r="1447" spans="2:17" s="307" customFormat="1" ht="12.75">
      <c r="B1447" s="384"/>
      <c r="C1447" s="379"/>
      <c r="P1447" s="307" t="s">
        <v>309</v>
      </c>
      <c r="Q1447" s="389" t="s">
        <v>144</v>
      </c>
    </row>
    <row r="1448" spans="2:17" s="307" customFormat="1" ht="12.75">
      <c r="B1448" s="384"/>
      <c r="C1448" s="379"/>
      <c r="P1448" s="307" t="s">
        <v>309</v>
      </c>
      <c r="Q1448" s="389" t="s">
        <v>145</v>
      </c>
    </row>
    <row r="1449" spans="2:17" s="307" customFormat="1" ht="12.75">
      <c r="B1449" s="384"/>
      <c r="C1449" s="379"/>
      <c r="P1449" s="307" t="s">
        <v>309</v>
      </c>
      <c r="Q1449" s="389" t="s">
        <v>893</v>
      </c>
    </row>
    <row r="1450" spans="2:17" s="307" customFormat="1" ht="12.75">
      <c r="B1450" s="384"/>
      <c r="C1450" s="379"/>
      <c r="P1450" s="307" t="s">
        <v>309</v>
      </c>
      <c r="Q1450" s="389" t="s">
        <v>894</v>
      </c>
    </row>
    <row r="1451" spans="2:17" s="307" customFormat="1" ht="12.75">
      <c r="B1451" s="384"/>
      <c r="C1451" s="379"/>
      <c r="P1451" s="307" t="s">
        <v>309</v>
      </c>
      <c r="Q1451" s="389" t="s">
        <v>895</v>
      </c>
    </row>
    <row r="1452" spans="2:17" s="307" customFormat="1" ht="12.75">
      <c r="B1452" s="384"/>
      <c r="C1452" s="379"/>
      <c r="P1452" s="307" t="s">
        <v>309</v>
      </c>
      <c r="Q1452" s="389" t="s">
        <v>896</v>
      </c>
    </row>
    <row r="1453" spans="2:17" s="307" customFormat="1" ht="12.75">
      <c r="B1453" s="384"/>
      <c r="C1453" s="379"/>
      <c r="P1453" s="307" t="s">
        <v>309</v>
      </c>
      <c r="Q1453" s="389" t="s">
        <v>897</v>
      </c>
    </row>
    <row r="1454" spans="2:17" s="307" customFormat="1" ht="12.75">
      <c r="B1454" s="384"/>
      <c r="C1454" s="379"/>
      <c r="P1454" s="307" t="s">
        <v>1146</v>
      </c>
      <c r="Q1454" s="389" t="s">
        <v>158</v>
      </c>
    </row>
    <row r="1455" spans="2:17" s="307" customFormat="1" ht="12.75">
      <c r="B1455" s="384"/>
      <c r="C1455" s="379"/>
      <c r="P1455" s="307" t="s">
        <v>317</v>
      </c>
      <c r="Q1455" s="389" t="s">
        <v>1029</v>
      </c>
    </row>
    <row r="1456" spans="2:17" s="307" customFormat="1" ht="12.75">
      <c r="B1456" s="384"/>
      <c r="C1456" s="379"/>
      <c r="P1456" s="307" t="s">
        <v>317</v>
      </c>
      <c r="Q1456" s="389" t="s">
        <v>1030</v>
      </c>
    </row>
    <row r="1457" spans="2:17" s="307" customFormat="1" ht="12.75">
      <c r="B1457" s="384"/>
      <c r="C1457" s="379"/>
      <c r="P1457" s="307" t="s">
        <v>388</v>
      </c>
      <c r="Q1457" s="389" t="s">
        <v>230</v>
      </c>
    </row>
    <row r="1458" spans="2:17" s="307" customFormat="1" ht="12.75">
      <c r="B1458" s="384"/>
      <c r="C1458" s="379"/>
      <c r="P1458" s="307" t="s">
        <v>388</v>
      </c>
      <c r="Q1458" s="389" t="s">
        <v>1031</v>
      </c>
    </row>
    <row r="1459" spans="2:17" s="307" customFormat="1" ht="12.75">
      <c r="B1459" s="384"/>
      <c r="C1459" s="379"/>
      <c r="P1459" s="307" t="s">
        <v>318</v>
      </c>
      <c r="Q1459" s="389" t="s">
        <v>1032</v>
      </c>
    </row>
    <row r="1460" spans="2:17" s="307" customFormat="1" ht="12.75">
      <c r="B1460" s="384"/>
      <c r="C1460" s="379"/>
      <c r="P1460" s="307" t="s">
        <v>319</v>
      </c>
      <c r="Q1460" s="389" t="s">
        <v>1033</v>
      </c>
    </row>
    <row r="1461" spans="2:17" s="307" customFormat="1" ht="12.75">
      <c r="B1461" s="384"/>
      <c r="C1461" s="379"/>
      <c r="P1461" s="307" t="s">
        <v>319</v>
      </c>
      <c r="Q1461" s="389" t="s">
        <v>1034</v>
      </c>
    </row>
    <row r="1462" spans="2:17" s="307" customFormat="1" ht="12.75">
      <c r="B1462" s="384"/>
      <c r="C1462" s="379"/>
      <c r="P1462" s="307" t="s">
        <v>387</v>
      </c>
      <c r="Q1462" s="389" t="s">
        <v>132</v>
      </c>
    </row>
    <row r="1463" spans="2:17" s="307" customFormat="1" ht="12.75">
      <c r="B1463" s="384"/>
      <c r="C1463" s="379"/>
      <c r="P1463" s="307" t="s">
        <v>320</v>
      </c>
      <c r="Q1463" s="389" t="s">
        <v>1035</v>
      </c>
    </row>
    <row r="1464" spans="2:17" s="307" customFormat="1" ht="12.75">
      <c r="B1464" s="384"/>
      <c r="C1464" s="379"/>
      <c r="P1464" s="307" t="s">
        <v>389</v>
      </c>
      <c r="Q1464" s="389" t="s">
        <v>1036</v>
      </c>
    </row>
    <row r="1465" spans="2:17" s="307" customFormat="1" ht="12.75">
      <c r="B1465" s="384"/>
      <c r="C1465" s="379"/>
      <c r="P1465" s="307" t="s">
        <v>390</v>
      </c>
      <c r="Q1465" s="389" t="s">
        <v>1037</v>
      </c>
    </row>
    <row r="1466" spans="2:17" s="307" customFormat="1" ht="12.75">
      <c r="B1466" s="384"/>
      <c r="C1466" s="379"/>
      <c r="P1466" s="307" t="s">
        <v>500</v>
      </c>
      <c r="Q1466" s="389" t="s">
        <v>1053</v>
      </c>
    </row>
    <row r="1467" spans="2:17" s="307" customFormat="1" ht="12.75">
      <c r="B1467" s="384"/>
      <c r="C1467" s="379"/>
      <c r="P1467" s="307" t="s">
        <v>310</v>
      </c>
      <c r="Q1467" s="389" t="s">
        <v>1038</v>
      </c>
    </row>
    <row r="1468" spans="2:17" s="307" customFormat="1" ht="12.75">
      <c r="B1468" s="384"/>
      <c r="C1468" s="379"/>
      <c r="P1468" s="307" t="s">
        <v>501</v>
      </c>
      <c r="Q1468" s="389" t="s">
        <v>1083</v>
      </c>
    </row>
    <row r="1469" spans="2:17" s="307" customFormat="1" ht="12.75">
      <c r="B1469" s="384"/>
      <c r="C1469" s="379"/>
      <c r="P1469" s="307" t="s">
        <v>502</v>
      </c>
      <c r="Q1469" s="389" t="s">
        <v>1074</v>
      </c>
    </row>
    <row r="1470" spans="2:17" s="307" customFormat="1" ht="12.75">
      <c r="B1470" s="384"/>
      <c r="C1470" s="379"/>
      <c r="P1470" s="307" t="s">
        <v>312</v>
      </c>
      <c r="Q1470" s="389" t="s">
        <v>1082</v>
      </c>
    </row>
    <row r="1471" spans="2:17" s="307" customFormat="1" ht="12.75">
      <c r="B1471" s="384"/>
      <c r="C1471" s="379"/>
      <c r="P1471" s="307" t="s">
        <v>797</v>
      </c>
      <c r="Q1471" s="389" t="s">
        <v>1076</v>
      </c>
    </row>
    <row r="1472" spans="2:17" s="307" customFormat="1" ht="12.75">
      <c r="B1472" s="384"/>
      <c r="C1472" s="379"/>
      <c r="P1472" s="307" t="s">
        <v>798</v>
      </c>
      <c r="Q1472" s="389" t="s">
        <v>1050</v>
      </c>
    </row>
    <row r="1473" spans="2:17" s="307" customFormat="1" ht="12.75">
      <c r="B1473" s="384"/>
      <c r="C1473" s="379"/>
      <c r="P1473" s="307" t="s">
        <v>503</v>
      </c>
      <c r="Q1473" s="389" t="s">
        <v>1075</v>
      </c>
    </row>
    <row r="1474" spans="2:17" s="307" customFormat="1" ht="12.75">
      <c r="B1474" s="384"/>
      <c r="C1474" s="379"/>
      <c r="P1474" s="307" t="s">
        <v>504</v>
      </c>
      <c r="Q1474" s="389" t="s">
        <v>1078</v>
      </c>
    </row>
    <row r="1475" spans="2:17" s="307" customFormat="1" ht="12.75">
      <c r="B1475" s="384"/>
      <c r="C1475" s="379"/>
      <c r="P1475" s="307" t="s">
        <v>505</v>
      </c>
      <c r="Q1475" s="389" t="s">
        <v>1082</v>
      </c>
    </row>
    <row r="1476" spans="2:17" s="307" customFormat="1" ht="12.75">
      <c r="B1476" s="384"/>
      <c r="C1476" s="379"/>
      <c r="P1476" s="307" t="s">
        <v>506</v>
      </c>
      <c r="Q1476" s="389" t="s">
        <v>1079</v>
      </c>
    </row>
    <row r="1477" spans="2:17" s="307" customFormat="1" ht="12.75">
      <c r="B1477" s="384"/>
      <c r="C1477" s="379"/>
      <c r="P1477" s="307" t="s">
        <v>799</v>
      </c>
      <c r="Q1477" s="389" t="s">
        <v>1084</v>
      </c>
    </row>
    <row r="1478" spans="2:17" s="307" customFormat="1" ht="12.75">
      <c r="B1478" s="384"/>
      <c r="C1478" s="379"/>
      <c r="P1478" s="307" t="s">
        <v>508</v>
      </c>
      <c r="Q1478" s="389" t="s">
        <v>1075</v>
      </c>
    </row>
    <row r="1479" spans="2:17" s="307" customFormat="1" ht="12.75">
      <c r="B1479" s="384"/>
      <c r="C1479" s="379"/>
      <c r="P1479" s="307" t="s">
        <v>507</v>
      </c>
      <c r="Q1479" s="389" t="s">
        <v>1075</v>
      </c>
    </row>
    <row r="1480" spans="2:17" s="307" customFormat="1" ht="12.75">
      <c r="B1480" s="384"/>
      <c r="C1480" s="379"/>
      <c r="P1480" s="307" t="s">
        <v>313</v>
      </c>
      <c r="Q1480" s="389" t="s">
        <v>139</v>
      </c>
    </row>
    <row r="1481" spans="2:17" s="307" customFormat="1" ht="12.75">
      <c r="B1481" s="384"/>
      <c r="C1481" s="379"/>
      <c r="P1481" s="307" t="s">
        <v>313</v>
      </c>
      <c r="Q1481" s="389" t="s">
        <v>1039</v>
      </c>
    </row>
    <row r="1482" spans="2:17" s="307" customFormat="1" ht="12.75">
      <c r="B1482" s="384"/>
      <c r="C1482" s="379"/>
      <c r="P1482" s="307" t="s">
        <v>509</v>
      </c>
      <c r="Q1482" s="389" t="s">
        <v>1086</v>
      </c>
    </row>
    <row r="1483" spans="2:17" s="307" customFormat="1" ht="12.75">
      <c r="B1483" s="384"/>
      <c r="C1483" s="379"/>
      <c r="P1483" s="307" t="s">
        <v>315</v>
      </c>
      <c r="Q1483" s="389" t="s">
        <v>1040</v>
      </c>
    </row>
  </sheetData>
  <sortState ref="O3:O243">
    <sortCondition ref="O243"/>
  </sortState>
  <dataConsolidate/>
  <pageMargins left="0.7" right="0.7" top="0.75" bottom="0.75" header="0.3" footer="0.3"/>
  <pageSetup orientation="portrait" horizontalDpi="4294967292" verticalDpi="429496729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H54"/>
  <sheetViews>
    <sheetView topLeftCell="A13" workbookViewId="0">
      <selection activeCell="C35" sqref="C35"/>
    </sheetView>
  </sheetViews>
  <sheetFormatPr defaultColWidth="8.875" defaultRowHeight="15.75"/>
  <cols>
    <col min="1" max="1" width="6.5" bestFit="1" customWidth="1"/>
    <col min="2" max="2" width="13.625" bestFit="1" customWidth="1"/>
    <col min="3" max="3" width="14.5" bestFit="1" customWidth="1"/>
    <col min="4" max="4" width="14.625" bestFit="1" customWidth="1"/>
    <col min="5" max="5" width="9" customWidth="1"/>
    <col min="6" max="6" width="6.5" bestFit="1" customWidth="1"/>
    <col min="7" max="7" width="7.125" bestFit="1" customWidth="1"/>
    <col min="8" max="8" width="31" bestFit="1" customWidth="1"/>
  </cols>
  <sheetData>
    <row r="1" spans="1:8" ht="31.5">
      <c r="A1" s="24" t="s">
        <v>535</v>
      </c>
      <c r="B1" s="24" t="s">
        <v>536</v>
      </c>
      <c r="C1" s="24" t="s">
        <v>537</v>
      </c>
      <c r="D1" s="24" t="s">
        <v>538</v>
      </c>
      <c r="F1" s="24" t="s">
        <v>535</v>
      </c>
      <c r="G1" s="24" t="s">
        <v>540</v>
      </c>
      <c r="H1" s="24" t="s">
        <v>543</v>
      </c>
    </row>
    <row r="2" spans="1:8">
      <c r="A2" s="26" t="s">
        <v>526</v>
      </c>
      <c r="B2" s="26">
        <v>1</v>
      </c>
      <c r="C2" s="26" t="s">
        <v>527</v>
      </c>
      <c r="D2" s="26" t="s">
        <v>57</v>
      </c>
      <c r="F2" s="28" t="s">
        <v>526</v>
      </c>
      <c r="G2" s="28" t="s">
        <v>541</v>
      </c>
      <c r="H2" s="29" t="str">
        <f ca="1">CONCATENATE(F2,"_STORIES_",TEXT(NOW(),"YYYYMMDD-HHMMSS"),".", LOWER(G2))</f>
        <v>RS2_STORIES_20160527-151611.csv</v>
      </c>
    </row>
    <row r="3" spans="1:8">
      <c r="A3" s="26" t="s">
        <v>526</v>
      </c>
      <c r="B3" s="26">
        <v>2</v>
      </c>
      <c r="C3" s="26" t="s">
        <v>29</v>
      </c>
      <c r="D3" s="26" t="s">
        <v>29</v>
      </c>
      <c r="F3" s="30" t="s">
        <v>528</v>
      </c>
      <c r="G3" s="30" t="s">
        <v>542</v>
      </c>
      <c r="H3" s="31" t="str">
        <f ca="1">CONCATENATE(F3,"_STORIES_",TEXT(NOW(),"YYYYMMDD-HHMMSS"),".", LOWER(G3))</f>
        <v>RS3_STORIES_20160527-151611.xls</v>
      </c>
    </row>
    <row r="4" spans="1:8">
      <c r="A4" s="26" t="s">
        <v>526</v>
      </c>
      <c r="B4" s="26">
        <v>3</v>
      </c>
      <c r="C4" s="26" t="s">
        <v>28</v>
      </c>
      <c r="D4" s="26" t="s">
        <v>28</v>
      </c>
      <c r="F4" s="33" t="s">
        <v>539</v>
      </c>
      <c r="G4" s="33" t="s">
        <v>541</v>
      </c>
      <c r="H4" s="34" t="str">
        <f ca="1">CONCATENATE(F4,"_STORIES_",TEXT(NOW(),"YYYYMMDD-HHMMSS"),".", LOWER(G4))</f>
        <v>JIRA_STORIES_20160527-151611.csv</v>
      </c>
    </row>
    <row r="5" spans="1:8">
      <c r="A5" s="26" t="s">
        <v>526</v>
      </c>
      <c r="B5" s="26">
        <v>4</v>
      </c>
      <c r="C5" s="26" t="s">
        <v>21</v>
      </c>
      <c r="D5" s="26" t="s">
        <v>21</v>
      </c>
      <c r="F5" s="35" t="s">
        <v>545</v>
      </c>
      <c r="G5" s="35" t="s">
        <v>541</v>
      </c>
      <c r="H5" s="36" t="str">
        <f ca="1">CONCATENATE(F5,"_STORIES_",TEXT(NOW(),"YYYYMMDD-HHMMSS"),".", LOWER(G5))</f>
        <v>TEST_STORIES_20160527-151611.csv</v>
      </c>
    </row>
    <row r="6" spans="1:8">
      <c r="A6" s="26" t="s">
        <v>526</v>
      </c>
      <c r="B6" s="26">
        <v>5</v>
      </c>
      <c r="C6" s="26" t="s">
        <v>22</v>
      </c>
      <c r="D6" s="26" t="s">
        <v>22</v>
      </c>
    </row>
    <row r="7" spans="1:8">
      <c r="A7" s="26" t="s">
        <v>526</v>
      </c>
      <c r="B7" s="26">
        <v>6</v>
      </c>
      <c r="C7" s="26" t="s">
        <v>58</v>
      </c>
      <c r="D7" s="26" t="s">
        <v>58</v>
      </c>
    </row>
    <row r="8" spans="1:8">
      <c r="A8" s="26" t="s">
        <v>526</v>
      </c>
      <c r="B8" s="26">
        <v>7</v>
      </c>
      <c r="C8" s="26" t="s">
        <v>34</v>
      </c>
      <c r="D8" s="26" t="s">
        <v>34</v>
      </c>
    </row>
    <row r="9" spans="1:8">
      <c r="A9" s="26" t="s">
        <v>526</v>
      </c>
      <c r="B9" s="26">
        <v>8</v>
      </c>
      <c r="C9" s="26" t="s">
        <v>61</v>
      </c>
      <c r="D9" s="26" t="s">
        <v>61</v>
      </c>
    </row>
    <row r="10" spans="1:8">
      <c r="A10" s="26" t="s">
        <v>526</v>
      </c>
      <c r="B10" s="26">
        <v>9</v>
      </c>
      <c r="C10" s="26" t="s">
        <v>529</v>
      </c>
      <c r="D10" s="26" t="s">
        <v>544</v>
      </c>
    </row>
    <row r="11" spans="1:8">
      <c r="A11" s="25" t="s">
        <v>528</v>
      </c>
      <c r="B11" s="25">
        <v>1</v>
      </c>
      <c r="C11" s="25" t="s">
        <v>1128</v>
      </c>
      <c r="D11" s="25" t="s">
        <v>1129</v>
      </c>
    </row>
    <row r="12" spans="1:8">
      <c r="A12" s="25" t="s">
        <v>528</v>
      </c>
      <c r="B12" s="25">
        <v>2</v>
      </c>
      <c r="C12" s="25" t="s">
        <v>529</v>
      </c>
      <c r="D12" s="25"/>
    </row>
    <row r="13" spans="1:8">
      <c r="A13" s="25" t="s">
        <v>528</v>
      </c>
      <c r="B13" s="25">
        <v>3</v>
      </c>
      <c r="C13" s="25" t="s">
        <v>530</v>
      </c>
      <c r="D13" s="25" t="s">
        <v>57</v>
      </c>
    </row>
    <row r="14" spans="1:8">
      <c r="A14" s="25" t="s">
        <v>528</v>
      </c>
      <c r="B14" s="25">
        <v>4</v>
      </c>
      <c r="C14" s="25" t="s">
        <v>29</v>
      </c>
      <c r="D14" s="25" t="s">
        <v>29</v>
      </c>
    </row>
    <row r="15" spans="1:8">
      <c r="A15" s="25" t="s">
        <v>528</v>
      </c>
      <c r="B15" s="25">
        <v>5</v>
      </c>
      <c r="C15" s="25" t="s">
        <v>531</v>
      </c>
      <c r="D15" s="25"/>
    </row>
    <row r="16" spans="1:8">
      <c r="A16" s="25" t="s">
        <v>528</v>
      </c>
      <c r="B16" s="25">
        <v>6</v>
      </c>
      <c r="C16" s="25" t="s">
        <v>532</v>
      </c>
      <c r="D16" s="25"/>
    </row>
    <row r="17" spans="1:4">
      <c r="A17" s="25" t="s">
        <v>528</v>
      </c>
      <c r="B17" s="25">
        <v>7</v>
      </c>
      <c r="C17" s="25" t="s">
        <v>533</v>
      </c>
      <c r="D17" s="25"/>
    </row>
    <row r="18" spans="1:4">
      <c r="A18" s="25" t="s">
        <v>528</v>
      </c>
      <c r="B18" s="25">
        <v>8</v>
      </c>
      <c r="C18" s="25" t="s">
        <v>1130</v>
      </c>
      <c r="D18" s="25"/>
    </row>
    <row r="19" spans="1:4">
      <c r="A19" s="25" t="s">
        <v>528</v>
      </c>
      <c r="B19" s="25">
        <v>9</v>
      </c>
      <c r="C19" s="25" t="s">
        <v>1131</v>
      </c>
      <c r="D19" s="25"/>
    </row>
    <row r="20" spans="1:4">
      <c r="A20" s="25" t="s">
        <v>528</v>
      </c>
      <c r="B20" s="25">
        <v>10</v>
      </c>
      <c r="C20" s="25" t="s">
        <v>21</v>
      </c>
      <c r="D20" s="25" t="s">
        <v>21</v>
      </c>
    </row>
    <row r="21" spans="1:4">
      <c r="A21" s="25" t="s">
        <v>528</v>
      </c>
      <c r="B21" s="25">
        <v>11</v>
      </c>
      <c r="C21" s="25" t="s">
        <v>22</v>
      </c>
      <c r="D21" s="25" t="s">
        <v>22</v>
      </c>
    </row>
    <row r="22" spans="1:4">
      <c r="A22" s="25" t="s">
        <v>528</v>
      </c>
      <c r="B22" s="25">
        <v>12</v>
      </c>
      <c r="C22" s="25" t="s">
        <v>1132</v>
      </c>
      <c r="D22" s="25"/>
    </row>
    <row r="23" spans="1:4">
      <c r="A23" s="25" t="s">
        <v>528</v>
      </c>
      <c r="B23" s="25">
        <v>13</v>
      </c>
      <c r="C23" s="25" t="s">
        <v>1133</v>
      </c>
      <c r="D23" s="25"/>
    </row>
    <row r="24" spans="1:4">
      <c r="A24" s="25" t="s">
        <v>528</v>
      </c>
      <c r="B24" s="25">
        <v>14</v>
      </c>
      <c r="C24" s="25" t="s">
        <v>34</v>
      </c>
      <c r="D24" s="25"/>
    </row>
    <row r="25" spans="1:4">
      <c r="A25" s="25" t="s">
        <v>528</v>
      </c>
      <c r="B25" s="25">
        <v>15</v>
      </c>
      <c r="C25" s="25" t="s">
        <v>534</v>
      </c>
      <c r="D25" s="25"/>
    </row>
    <row r="26" spans="1:4">
      <c r="A26" s="32" t="s">
        <v>539</v>
      </c>
      <c r="B26" s="32">
        <v>1</v>
      </c>
      <c r="C26" s="32" t="s">
        <v>1116</v>
      </c>
      <c r="D26" s="32" t="s">
        <v>1117</v>
      </c>
    </row>
    <row r="27" spans="1:4">
      <c r="A27" s="32" t="s">
        <v>539</v>
      </c>
      <c r="B27" s="32">
        <v>2</v>
      </c>
      <c r="C27" s="32" t="s">
        <v>1277</v>
      </c>
      <c r="D27" s="32" t="s">
        <v>1277</v>
      </c>
    </row>
    <row r="28" spans="1:4">
      <c r="A28" s="32" t="s">
        <v>539</v>
      </c>
      <c r="B28" s="32">
        <v>3</v>
      </c>
      <c r="C28" s="32" t="s">
        <v>1278</v>
      </c>
      <c r="D28" s="32" t="s">
        <v>1278</v>
      </c>
    </row>
    <row r="29" spans="1:4">
      <c r="A29" s="32" t="s">
        <v>539</v>
      </c>
      <c r="B29" s="32">
        <v>4</v>
      </c>
      <c r="C29" s="32" t="s">
        <v>1358</v>
      </c>
      <c r="D29" s="32" t="s">
        <v>28</v>
      </c>
    </row>
    <row r="30" spans="1:4">
      <c r="A30" s="32" t="s">
        <v>539</v>
      </c>
      <c r="B30" s="32">
        <v>5</v>
      </c>
      <c r="C30" s="32" t="s">
        <v>1118</v>
      </c>
      <c r="D30" s="32" t="s">
        <v>29</v>
      </c>
    </row>
    <row r="31" spans="1:4">
      <c r="A31" s="32" t="s">
        <v>539</v>
      </c>
      <c r="B31" s="32">
        <v>6</v>
      </c>
      <c r="C31" s="32" t="s">
        <v>1119</v>
      </c>
      <c r="D31" s="32" t="s">
        <v>57</v>
      </c>
    </row>
    <row r="32" spans="1:4">
      <c r="A32" s="32" t="s">
        <v>539</v>
      </c>
      <c r="B32" s="32">
        <v>7</v>
      </c>
      <c r="C32" s="32" t="s">
        <v>61</v>
      </c>
      <c r="D32" s="32" t="s">
        <v>61</v>
      </c>
    </row>
    <row r="33" spans="1:4">
      <c r="A33" s="32" t="s">
        <v>539</v>
      </c>
      <c r="B33" s="32">
        <v>8</v>
      </c>
      <c r="C33" s="32" t="s">
        <v>58</v>
      </c>
      <c r="D33" s="32" t="s">
        <v>58</v>
      </c>
    </row>
    <row r="34" spans="1:4">
      <c r="A34" s="32" t="s">
        <v>539</v>
      </c>
      <c r="B34" s="32">
        <v>9</v>
      </c>
      <c r="C34" s="32" t="s">
        <v>1359</v>
      </c>
      <c r="D34" s="32" t="s">
        <v>20</v>
      </c>
    </row>
    <row r="35" spans="1:4">
      <c r="A35" s="32" t="s">
        <v>539</v>
      </c>
      <c r="B35" s="32">
        <v>10</v>
      </c>
      <c r="C35" s="32" t="s">
        <v>1121</v>
      </c>
      <c r="D35" s="32" t="s">
        <v>21</v>
      </c>
    </row>
    <row r="36" spans="1:4">
      <c r="A36" s="32" t="s">
        <v>539</v>
      </c>
      <c r="B36" s="32">
        <v>11</v>
      </c>
      <c r="C36" s="32" t="s">
        <v>1122</v>
      </c>
      <c r="D36" s="32" t="s">
        <v>22</v>
      </c>
    </row>
    <row r="37" spans="1:4">
      <c r="A37" s="32" t="s">
        <v>539</v>
      </c>
      <c r="B37" s="32">
        <v>12</v>
      </c>
      <c r="C37" s="32" t="s">
        <v>1123</v>
      </c>
      <c r="D37" s="32" t="s">
        <v>552</v>
      </c>
    </row>
    <row r="38" spans="1:4">
      <c r="A38" s="32" t="s">
        <v>539</v>
      </c>
      <c r="B38" s="32">
        <v>13</v>
      </c>
      <c r="C38" s="32" t="s">
        <v>1124</v>
      </c>
      <c r="D38" s="32" t="s">
        <v>34</v>
      </c>
    </row>
    <row r="39" spans="1:4">
      <c r="A39" s="32" t="s">
        <v>539</v>
      </c>
      <c r="B39" s="32">
        <v>14</v>
      </c>
      <c r="C39" s="32" t="s">
        <v>1120</v>
      </c>
      <c r="D39" s="32" t="s">
        <v>1125</v>
      </c>
    </row>
    <row r="40" spans="1:4">
      <c r="A40" s="32" t="s">
        <v>539</v>
      </c>
      <c r="B40" s="32">
        <v>15</v>
      </c>
      <c r="C40" s="32" t="s">
        <v>1126</v>
      </c>
      <c r="D40" s="32"/>
    </row>
    <row r="41" spans="1:4">
      <c r="A41" s="32" t="s">
        <v>539</v>
      </c>
      <c r="B41" s="32">
        <v>16</v>
      </c>
      <c r="C41" s="32" t="s">
        <v>1287</v>
      </c>
      <c r="D41" s="32" t="s">
        <v>1287</v>
      </c>
    </row>
    <row r="42" spans="1:4">
      <c r="A42" s="37" t="s">
        <v>545</v>
      </c>
      <c r="B42" s="37">
        <v>9</v>
      </c>
      <c r="C42" s="37" t="str">
        <f t="shared" ref="C42:C54" si="0">CONCATENATE("Column ", B42)</f>
        <v>Column 9</v>
      </c>
      <c r="D42" s="37" t="s">
        <v>21</v>
      </c>
    </row>
    <row r="43" spans="1:4">
      <c r="A43" s="37" t="s">
        <v>545</v>
      </c>
      <c r="B43" s="37">
        <v>2</v>
      </c>
      <c r="C43" s="37" t="str">
        <f t="shared" si="0"/>
        <v>Column 2</v>
      </c>
      <c r="D43" s="37" t="s">
        <v>28</v>
      </c>
    </row>
    <row r="44" spans="1:4">
      <c r="A44" s="37" t="s">
        <v>545</v>
      </c>
      <c r="B44" s="37">
        <v>5</v>
      </c>
      <c r="C44" s="37" t="str">
        <f t="shared" si="0"/>
        <v>Column 5</v>
      </c>
      <c r="D44" s="37" t="s">
        <v>61</v>
      </c>
    </row>
    <row r="45" spans="1:4">
      <c r="A45" s="37" t="s">
        <v>545</v>
      </c>
      <c r="B45" s="37">
        <v>10</v>
      </c>
      <c r="C45" s="37" t="str">
        <f t="shared" si="0"/>
        <v>Column 10</v>
      </c>
      <c r="D45" s="37" t="s">
        <v>22</v>
      </c>
    </row>
    <row r="46" spans="1:4">
      <c r="A46" s="37" t="s">
        <v>545</v>
      </c>
      <c r="B46" s="37">
        <v>7</v>
      </c>
      <c r="C46" s="37" t="str">
        <f t="shared" si="0"/>
        <v>Column 7</v>
      </c>
      <c r="D46" s="37" t="s">
        <v>546</v>
      </c>
    </row>
    <row r="47" spans="1:4">
      <c r="A47" s="37" t="s">
        <v>545</v>
      </c>
      <c r="B47" s="37">
        <v>11</v>
      </c>
      <c r="C47" s="37" t="str">
        <f t="shared" si="0"/>
        <v>Column 11</v>
      </c>
      <c r="D47" s="37" t="s">
        <v>63</v>
      </c>
    </row>
    <row r="48" spans="1:4">
      <c r="A48" s="37" t="s">
        <v>545</v>
      </c>
      <c r="B48" s="37">
        <v>12</v>
      </c>
      <c r="C48" s="37" t="str">
        <f t="shared" si="0"/>
        <v>Column 12</v>
      </c>
      <c r="D48" s="37" t="s">
        <v>34</v>
      </c>
    </row>
    <row r="49" spans="1:4">
      <c r="A49" s="37" t="s">
        <v>545</v>
      </c>
      <c r="B49" s="37">
        <v>6</v>
      </c>
      <c r="C49" s="37" t="str">
        <f t="shared" si="0"/>
        <v>Column 6</v>
      </c>
      <c r="D49" s="37" t="s">
        <v>58</v>
      </c>
    </row>
    <row r="50" spans="1:4">
      <c r="A50" s="37" t="s">
        <v>545</v>
      </c>
      <c r="B50" s="37">
        <v>1</v>
      </c>
      <c r="C50" s="37" t="str">
        <f t="shared" si="0"/>
        <v>Column 1</v>
      </c>
      <c r="D50" s="37" t="s">
        <v>544</v>
      </c>
    </row>
    <row r="51" spans="1:4">
      <c r="A51" s="37" t="s">
        <v>545</v>
      </c>
      <c r="B51" s="37">
        <v>4</v>
      </c>
      <c r="C51" s="37" t="str">
        <f t="shared" si="0"/>
        <v>Column 4</v>
      </c>
      <c r="D51" s="37" t="s">
        <v>57</v>
      </c>
    </row>
    <row r="52" spans="1:4">
      <c r="A52" s="37" t="s">
        <v>545</v>
      </c>
      <c r="B52" s="37">
        <v>8</v>
      </c>
      <c r="C52" s="37" t="str">
        <f t="shared" si="0"/>
        <v>Column 8</v>
      </c>
      <c r="D52" s="37" t="s">
        <v>20</v>
      </c>
    </row>
    <row r="53" spans="1:4">
      <c r="A53" s="37" t="s">
        <v>545</v>
      </c>
      <c r="B53" s="37">
        <v>13</v>
      </c>
      <c r="C53" s="37" t="str">
        <f t="shared" si="0"/>
        <v>Column 13</v>
      </c>
      <c r="D53" s="37" t="s">
        <v>552</v>
      </c>
    </row>
    <row r="54" spans="1:4">
      <c r="A54" s="37" t="s">
        <v>545</v>
      </c>
      <c r="B54" s="37">
        <v>3</v>
      </c>
      <c r="C54" s="37" t="str">
        <f t="shared" si="0"/>
        <v>Column 3</v>
      </c>
      <c r="D54" s="37" t="s">
        <v>29</v>
      </c>
    </row>
  </sheetData>
  <sortState ref="A24:D35">
    <sortCondition ref="D24:D35"/>
  </sortState>
  <dataConsolidate/>
  <pageMargins left="0.7" right="0.7" top="0.75" bottom="0.75" header="0.3" footer="0.3"/>
  <pageSetup orientation="portrait"/>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65"/>
  <sheetViews>
    <sheetView workbookViewId="0">
      <selection activeCell="J1" sqref="J1"/>
    </sheetView>
  </sheetViews>
  <sheetFormatPr defaultColWidth="8.875" defaultRowHeight="15.75"/>
  <cols>
    <col min="10" max="10" width="45.125" customWidth="1"/>
    <col min="11" max="11" width="10.625" bestFit="1" customWidth="1"/>
  </cols>
  <sheetData>
    <row r="1" spans="1:12">
      <c r="J1" t="s">
        <v>1250</v>
      </c>
      <c r="K1" t="s">
        <v>1251</v>
      </c>
      <c r="L1" t="s">
        <v>1252</v>
      </c>
    </row>
    <row r="2" spans="1:12">
      <c r="J2" t="s">
        <v>1194</v>
      </c>
      <c r="K2">
        <v>7</v>
      </c>
      <c r="L2" t="s">
        <v>1248</v>
      </c>
    </row>
    <row r="3" spans="1:12">
      <c r="J3" t="s">
        <v>1195</v>
      </c>
      <c r="K3">
        <v>7</v>
      </c>
      <c r="L3" t="s">
        <v>1249</v>
      </c>
    </row>
    <row r="4" spans="1:12">
      <c r="J4" t="s">
        <v>1196</v>
      </c>
      <c r="K4">
        <v>8</v>
      </c>
      <c r="L4" t="s">
        <v>1248</v>
      </c>
    </row>
    <row r="5" spans="1:12">
      <c r="J5" t="s">
        <v>1197</v>
      </c>
      <c r="K5">
        <v>9</v>
      </c>
      <c r="L5" t="s">
        <v>1248</v>
      </c>
    </row>
    <row r="6" spans="1:12">
      <c r="J6" t="s">
        <v>1198</v>
      </c>
      <c r="K6">
        <v>10</v>
      </c>
      <c r="L6" t="s">
        <v>1248</v>
      </c>
    </row>
    <row r="7" spans="1:12">
      <c r="A7" t="s">
        <v>55</v>
      </c>
      <c r="B7" t="s">
        <v>28</v>
      </c>
      <c r="C7">
        <f>COLUMN(Stories!C6)</f>
        <v>3</v>
      </c>
      <c r="D7">
        <f>ROW(Stories!C6)</f>
        <v>6</v>
      </c>
      <c r="J7" t="s">
        <v>1199</v>
      </c>
      <c r="K7">
        <v>11</v>
      </c>
      <c r="L7" t="s">
        <v>1248</v>
      </c>
    </row>
    <row r="8" spans="1:12">
      <c r="A8" t="s">
        <v>55</v>
      </c>
      <c r="B8" t="s">
        <v>1180</v>
      </c>
      <c r="C8">
        <f>COLUMN(Stories!D6)</f>
        <v>4</v>
      </c>
      <c r="J8" t="s">
        <v>1200</v>
      </c>
      <c r="K8">
        <v>12</v>
      </c>
      <c r="L8" t="s">
        <v>1248</v>
      </c>
    </row>
    <row r="9" spans="1:12">
      <c r="A9" t="s">
        <v>55</v>
      </c>
      <c r="B9" t="s">
        <v>1177</v>
      </c>
      <c r="C9">
        <f>COLUMN(Stories!E6)</f>
        <v>5</v>
      </c>
      <c r="J9" t="s">
        <v>1201</v>
      </c>
      <c r="K9">
        <v>13</v>
      </c>
      <c r="L9" t="s">
        <v>1248</v>
      </c>
    </row>
    <row r="10" spans="1:12">
      <c r="A10" t="s">
        <v>55</v>
      </c>
      <c r="B10" t="s">
        <v>29</v>
      </c>
      <c r="C10">
        <f>COLUMN(Stories!F6)</f>
        <v>6</v>
      </c>
      <c r="J10" t="s">
        <v>1202</v>
      </c>
      <c r="K10">
        <v>14</v>
      </c>
      <c r="L10" t="s">
        <v>1248</v>
      </c>
    </row>
    <row r="11" spans="1:12">
      <c r="A11" t="s">
        <v>55</v>
      </c>
      <c r="B11" t="s">
        <v>57</v>
      </c>
      <c r="C11">
        <f>COLUMN(Stories!G6)</f>
        <v>7</v>
      </c>
      <c r="J11" t="s">
        <v>1203</v>
      </c>
      <c r="K11">
        <v>15</v>
      </c>
      <c r="L11" t="s">
        <v>1248</v>
      </c>
    </row>
    <row r="12" spans="1:12">
      <c r="A12" t="s">
        <v>55</v>
      </c>
      <c r="B12" t="s">
        <v>61</v>
      </c>
      <c r="C12">
        <f>COLUMN(Stories!H6)</f>
        <v>8</v>
      </c>
      <c r="J12" t="s">
        <v>1204</v>
      </c>
      <c r="K12">
        <v>16</v>
      </c>
      <c r="L12" t="s">
        <v>1248</v>
      </c>
    </row>
    <row r="13" spans="1:12">
      <c r="A13" t="s">
        <v>55</v>
      </c>
      <c r="B13" t="s">
        <v>58</v>
      </c>
      <c r="C13">
        <f>COLUMN(Stories!I6)</f>
        <v>9</v>
      </c>
      <c r="J13" t="s">
        <v>1205</v>
      </c>
      <c r="K13">
        <v>17</v>
      </c>
      <c r="L13" t="s">
        <v>1248</v>
      </c>
    </row>
    <row r="14" spans="1:12">
      <c r="A14" t="s">
        <v>55</v>
      </c>
      <c r="B14" t="s">
        <v>62</v>
      </c>
      <c r="C14">
        <f>COLUMN(Stories!J6)</f>
        <v>10</v>
      </c>
      <c r="J14" t="s">
        <v>1206</v>
      </c>
      <c r="K14">
        <v>18</v>
      </c>
      <c r="L14" t="s">
        <v>1248</v>
      </c>
    </row>
    <row r="15" spans="1:12">
      <c r="A15" t="s">
        <v>55</v>
      </c>
      <c r="B15" t="s">
        <v>532</v>
      </c>
      <c r="C15">
        <f>COLUMN(Stories!K6)</f>
        <v>11</v>
      </c>
      <c r="J15" t="s">
        <v>1207</v>
      </c>
      <c r="K15">
        <v>19</v>
      </c>
      <c r="L15" t="s">
        <v>1248</v>
      </c>
    </row>
    <row r="16" spans="1:12">
      <c r="A16" t="s">
        <v>55</v>
      </c>
      <c r="B16" t="s">
        <v>20</v>
      </c>
      <c r="C16">
        <f>COLUMN(Stories!L6)</f>
        <v>12</v>
      </c>
      <c r="J16" t="s">
        <v>1208</v>
      </c>
      <c r="K16">
        <v>20</v>
      </c>
      <c r="L16" t="s">
        <v>1248</v>
      </c>
    </row>
    <row r="17" spans="1:12">
      <c r="A17" t="s">
        <v>55</v>
      </c>
      <c r="B17" t="s">
        <v>21</v>
      </c>
      <c r="C17">
        <f>COLUMN(Stories!M6)</f>
        <v>13</v>
      </c>
      <c r="J17" t="s">
        <v>1209</v>
      </c>
      <c r="K17">
        <v>21</v>
      </c>
      <c r="L17" t="s">
        <v>1248</v>
      </c>
    </row>
    <row r="18" spans="1:12">
      <c r="A18" t="s">
        <v>55</v>
      </c>
      <c r="B18" t="s">
        <v>22</v>
      </c>
      <c r="C18">
        <f>COLUMN(Stories!N6)</f>
        <v>14</v>
      </c>
      <c r="J18" t="s">
        <v>1210</v>
      </c>
      <c r="K18">
        <v>22</v>
      </c>
      <c r="L18" t="s">
        <v>1248</v>
      </c>
    </row>
    <row r="19" spans="1:12">
      <c r="A19" t="s">
        <v>55</v>
      </c>
      <c r="B19" t="s">
        <v>63</v>
      </c>
      <c r="C19">
        <f>COLUMN(Stories!O6)</f>
        <v>15</v>
      </c>
      <c r="J19" t="s">
        <v>1211</v>
      </c>
      <c r="K19">
        <v>23</v>
      </c>
      <c r="L19" t="s">
        <v>1248</v>
      </c>
    </row>
    <row r="20" spans="1:12">
      <c r="A20" t="s">
        <v>55</v>
      </c>
      <c r="B20" t="s">
        <v>800</v>
      </c>
      <c r="C20">
        <f>COLUMN(Stories!P6)</f>
        <v>16</v>
      </c>
      <c r="J20" t="s">
        <v>1237</v>
      </c>
      <c r="K20">
        <v>24</v>
      </c>
      <c r="L20" t="s">
        <v>1248</v>
      </c>
    </row>
    <row r="21" spans="1:12">
      <c r="A21" t="s">
        <v>55</v>
      </c>
      <c r="B21" t="s">
        <v>801</v>
      </c>
      <c r="C21">
        <f>COLUMN(Stories!R6)</f>
        <v>18</v>
      </c>
      <c r="J21" t="s">
        <v>1238</v>
      </c>
      <c r="K21">
        <v>25</v>
      </c>
      <c r="L21" t="s">
        <v>1248</v>
      </c>
    </row>
    <row r="22" spans="1:12">
      <c r="A22" t="s">
        <v>55</v>
      </c>
      <c r="B22" t="s">
        <v>802</v>
      </c>
      <c r="C22">
        <f>COLUMN(Stories!T6)</f>
        <v>20</v>
      </c>
      <c r="J22" t="s">
        <v>1239</v>
      </c>
      <c r="K22">
        <v>26</v>
      </c>
      <c r="L22" t="s">
        <v>1248</v>
      </c>
    </row>
    <row r="23" spans="1:12">
      <c r="A23" t="s">
        <v>55</v>
      </c>
      <c r="B23" t="s">
        <v>34</v>
      </c>
      <c r="C23">
        <f>COLUMN(Stories!V6)</f>
        <v>22</v>
      </c>
      <c r="J23" t="s">
        <v>1240</v>
      </c>
      <c r="K23">
        <v>27</v>
      </c>
      <c r="L23" t="s">
        <v>1248</v>
      </c>
    </row>
    <row r="24" spans="1:12">
      <c r="A24" t="s">
        <v>1253</v>
      </c>
      <c r="B24" t="s">
        <v>28</v>
      </c>
      <c r="C24">
        <f>COLUMN('Add-ins'!B4)</f>
        <v>2</v>
      </c>
      <c r="J24" t="s">
        <v>1241</v>
      </c>
      <c r="K24">
        <v>28</v>
      </c>
      <c r="L24" t="s">
        <v>1248</v>
      </c>
    </row>
    <row r="25" spans="1:12">
      <c r="A25" t="s">
        <v>1253</v>
      </c>
      <c r="B25" t="s">
        <v>1177</v>
      </c>
      <c r="C25">
        <f>COLUMN('Add-ins'!C4)</f>
        <v>3</v>
      </c>
      <c r="J25" t="s">
        <v>1242</v>
      </c>
      <c r="K25">
        <v>29</v>
      </c>
      <c r="L25" t="s">
        <v>1248</v>
      </c>
    </row>
    <row r="26" spans="1:12">
      <c r="A26" t="s">
        <v>1253</v>
      </c>
      <c r="B26" t="s">
        <v>29</v>
      </c>
      <c r="C26">
        <f>COLUMN('Add-ins'!D4)</f>
        <v>4</v>
      </c>
      <c r="J26" t="s">
        <v>1243</v>
      </c>
      <c r="K26">
        <v>30</v>
      </c>
      <c r="L26" t="s">
        <v>1248</v>
      </c>
    </row>
    <row r="27" spans="1:12">
      <c r="A27" t="s">
        <v>1253</v>
      </c>
      <c r="B27" t="s">
        <v>532</v>
      </c>
      <c r="C27">
        <f>COLUMN('Add-ins'!E4)</f>
        <v>5</v>
      </c>
      <c r="J27" t="s">
        <v>1244</v>
      </c>
      <c r="K27">
        <v>31</v>
      </c>
      <c r="L27" t="s">
        <v>1248</v>
      </c>
    </row>
    <row r="28" spans="1:12">
      <c r="A28" t="s">
        <v>1253</v>
      </c>
      <c r="B28" t="s">
        <v>1254</v>
      </c>
      <c r="C28">
        <f>COLUMN('Add-ins'!F4)</f>
        <v>6</v>
      </c>
      <c r="J28" t="s">
        <v>1247</v>
      </c>
      <c r="K28">
        <v>32</v>
      </c>
      <c r="L28" t="s">
        <v>1248</v>
      </c>
    </row>
    <row r="29" spans="1:12">
      <c r="A29" t="s">
        <v>1253</v>
      </c>
      <c r="B29" t="s">
        <v>30</v>
      </c>
      <c r="C29">
        <f>COLUMN('Add-ins'!G4)</f>
        <v>7</v>
      </c>
      <c r="J29" t="s">
        <v>1227</v>
      </c>
      <c r="K29">
        <v>33</v>
      </c>
      <c r="L29" t="s">
        <v>1248</v>
      </c>
    </row>
    <row r="30" spans="1:12">
      <c r="A30" t="s">
        <v>1253</v>
      </c>
      <c r="B30" t="s">
        <v>32</v>
      </c>
      <c r="C30">
        <f>COLUMN('Add-ins'!H4)</f>
        <v>8</v>
      </c>
      <c r="J30" t="s">
        <v>1228</v>
      </c>
      <c r="K30">
        <v>34</v>
      </c>
      <c r="L30" t="s">
        <v>1248</v>
      </c>
    </row>
    <row r="31" spans="1:12">
      <c r="A31" t="s">
        <v>1253</v>
      </c>
      <c r="B31" t="s">
        <v>1255</v>
      </c>
      <c r="C31">
        <f>COLUMN('Add-ins'!I4)</f>
        <v>9</v>
      </c>
      <c r="J31" t="s">
        <v>1229</v>
      </c>
      <c r="K31">
        <v>35</v>
      </c>
      <c r="L31" t="s">
        <v>1248</v>
      </c>
    </row>
    <row r="32" spans="1:12">
      <c r="A32" t="s">
        <v>1253</v>
      </c>
      <c r="B32" t="s">
        <v>34</v>
      </c>
      <c r="C32">
        <f>COLUMN('Add-ins'!K4)</f>
        <v>11</v>
      </c>
      <c r="J32" t="s">
        <v>1230</v>
      </c>
      <c r="K32">
        <v>36</v>
      </c>
      <c r="L32" t="s">
        <v>1248</v>
      </c>
    </row>
    <row r="33" spans="1:12">
      <c r="A33" t="s">
        <v>39</v>
      </c>
      <c r="B33" t="s">
        <v>28</v>
      </c>
      <c r="C33">
        <f>COLUMN('Objective Risks'!B6)</f>
        <v>2</v>
      </c>
      <c r="J33" t="s">
        <v>1231</v>
      </c>
      <c r="K33">
        <v>37</v>
      </c>
      <c r="L33" t="s">
        <v>1248</v>
      </c>
    </row>
    <row r="34" spans="1:12">
      <c r="A34" t="s">
        <v>39</v>
      </c>
      <c r="B34" t="s">
        <v>1177</v>
      </c>
      <c r="C34">
        <f>COLUMN('Objective Risks'!C6)</f>
        <v>3</v>
      </c>
      <c r="J34" t="s">
        <v>1232</v>
      </c>
      <c r="K34">
        <v>38</v>
      </c>
      <c r="L34" t="s">
        <v>1248</v>
      </c>
    </row>
    <row r="35" spans="1:12">
      <c r="A35" t="s">
        <v>39</v>
      </c>
      <c r="B35" t="s">
        <v>29</v>
      </c>
      <c r="C35">
        <f>COLUMN('Objective Risks'!D6)</f>
        <v>4</v>
      </c>
      <c r="J35" t="s">
        <v>1233</v>
      </c>
      <c r="K35">
        <v>39</v>
      </c>
      <c r="L35" t="s">
        <v>1248</v>
      </c>
    </row>
    <row r="36" spans="1:12">
      <c r="A36" t="s">
        <v>39</v>
      </c>
      <c r="B36" t="s">
        <v>532</v>
      </c>
      <c r="C36">
        <f>COLUMN('Objective Risks'!E6)</f>
        <v>5</v>
      </c>
      <c r="J36" t="s">
        <v>1234</v>
      </c>
      <c r="K36">
        <v>40</v>
      </c>
      <c r="L36" t="s">
        <v>1248</v>
      </c>
    </row>
    <row r="37" spans="1:12">
      <c r="A37" t="s">
        <v>39</v>
      </c>
      <c r="B37" t="s">
        <v>1256</v>
      </c>
      <c r="C37">
        <f>COLUMN('Objective Risks'!F6)</f>
        <v>6</v>
      </c>
      <c r="J37" t="s">
        <v>1212</v>
      </c>
      <c r="K37">
        <v>42</v>
      </c>
      <c r="L37" t="s">
        <v>1248</v>
      </c>
    </row>
    <row r="38" spans="1:12">
      <c r="A38" t="s">
        <v>39</v>
      </c>
      <c r="B38" t="s">
        <v>30</v>
      </c>
      <c r="C38">
        <f>COLUMN('Objective Risks'!G6)</f>
        <v>7</v>
      </c>
      <c r="J38" t="s">
        <v>1226</v>
      </c>
      <c r="K38">
        <v>42</v>
      </c>
      <c r="L38" t="s">
        <v>1249</v>
      </c>
    </row>
    <row r="39" spans="1:12">
      <c r="A39" t="s">
        <v>39</v>
      </c>
      <c r="B39" t="s">
        <v>1257</v>
      </c>
      <c r="C39">
        <f>COLUMN('Objective Risks'!H6)</f>
        <v>8</v>
      </c>
      <c r="J39" t="s">
        <v>1226</v>
      </c>
      <c r="K39">
        <v>42</v>
      </c>
      <c r="L39" t="s">
        <v>1249</v>
      </c>
    </row>
    <row r="40" spans="1:12">
      <c r="A40" t="s">
        <v>39</v>
      </c>
      <c r="B40" t="s">
        <v>1258</v>
      </c>
      <c r="C40">
        <f>COLUMN('Objective Risks'!I6)</f>
        <v>9</v>
      </c>
      <c r="J40" t="s">
        <v>1213</v>
      </c>
      <c r="K40">
        <v>46</v>
      </c>
      <c r="L40" t="s">
        <v>1248</v>
      </c>
    </row>
    <row r="41" spans="1:12">
      <c r="A41" t="s">
        <v>72</v>
      </c>
      <c r="B41" t="s">
        <v>73</v>
      </c>
      <c r="C41">
        <f>COLUMN('Staffing Plan'!D2)</f>
        <v>4</v>
      </c>
      <c r="D41">
        <f>ROW('Staffing Plan'!D2)</f>
        <v>2</v>
      </c>
      <c r="J41" t="s">
        <v>1214</v>
      </c>
      <c r="K41">
        <v>46</v>
      </c>
      <c r="L41" t="s">
        <v>1249</v>
      </c>
    </row>
    <row r="42" spans="1:12">
      <c r="A42" t="s">
        <v>72</v>
      </c>
      <c r="B42" t="s">
        <v>74</v>
      </c>
      <c r="C42">
        <f>COLUMN('Staffing Plan'!D2)</f>
        <v>4</v>
      </c>
      <c r="D42">
        <f>ROW('Staffing Plan'!D4)</f>
        <v>4</v>
      </c>
      <c r="J42" t="s">
        <v>1215</v>
      </c>
      <c r="K42">
        <v>47</v>
      </c>
      <c r="L42" t="s">
        <v>1248</v>
      </c>
    </row>
    <row r="43" spans="1:12">
      <c r="A43" t="s">
        <v>72</v>
      </c>
      <c r="B43" t="s">
        <v>75</v>
      </c>
      <c r="C43">
        <f>COLUMN('Staffing Plan'!D2)</f>
        <v>4</v>
      </c>
      <c r="J43" t="s">
        <v>1216</v>
      </c>
      <c r="K43">
        <v>48</v>
      </c>
      <c r="L43" t="s">
        <v>1248</v>
      </c>
    </row>
    <row r="44" spans="1:12">
      <c r="A44" t="s">
        <v>72</v>
      </c>
      <c r="B44" t="s">
        <v>87</v>
      </c>
      <c r="C44">
        <f>COLUMN('Staffing Plan'!D2)</f>
        <v>4</v>
      </c>
      <c r="J44" t="s">
        <v>1217</v>
      </c>
      <c r="K44">
        <v>49</v>
      </c>
      <c r="L44" t="s">
        <v>1248</v>
      </c>
    </row>
    <row r="45" spans="1:12">
      <c r="A45" t="s">
        <v>72</v>
      </c>
      <c r="J45" t="s">
        <v>1218</v>
      </c>
      <c r="K45">
        <v>50</v>
      </c>
      <c r="L45" t="s">
        <v>1248</v>
      </c>
    </row>
    <row r="46" spans="1:12">
      <c r="A46" t="s">
        <v>72</v>
      </c>
      <c r="B46" t="s">
        <v>76</v>
      </c>
      <c r="C46">
        <f>COLUMN('Staffing Plan'!C12)</f>
        <v>3</v>
      </c>
      <c r="D46">
        <f>ROW('Staffing Plan'!C12)</f>
        <v>12</v>
      </c>
      <c r="J46" t="s">
        <v>1219</v>
      </c>
      <c r="K46">
        <v>51</v>
      </c>
      <c r="L46" t="s">
        <v>1248</v>
      </c>
    </row>
    <row r="47" spans="1:12">
      <c r="A47" t="s">
        <v>72</v>
      </c>
      <c r="B47" t="s">
        <v>78</v>
      </c>
      <c r="C47">
        <f>COLUMN('Staffing Plan'!D12)</f>
        <v>4</v>
      </c>
      <c r="J47" t="s">
        <v>1220</v>
      </c>
      <c r="K47">
        <v>52</v>
      </c>
      <c r="L47" t="s">
        <v>1248</v>
      </c>
    </row>
    <row r="48" spans="1:12">
      <c r="A48" t="s">
        <v>72</v>
      </c>
      <c r="B48" t="s">
        <v>79</v>
      </c>
      <c r="C48">
        <f>COLUMN('Staffing Plan'!E12)</f>
        <v>5</v>
      </c>
      <c r="J48" t="s">
        <v>1221</v>
      </c>
      <c r="K48">
        <v>53</v>
      </c>
      <c r="L48" t="s">
        <v>1248</v>
      </c>
    </row>
    <row r="49" spans="1:12">
      <c r="A49" t="s">
        <v>72</v>
      </c>
      <c r="B49" t="s">
        <v>80</v>
      </c>
      <c r="C49">
        <f>COLUMN('Staffing Plan'!F12)</f>
        <v>6</v>
      </c>
      <c r="J49" t="s">
        <v>1222</v>
      </c>
      <c r="K49">
        <v>54</v>
      </c>
      <c r="L49" t="s">
        <v>1248</v>
      </c>
    </row>
    <row r="50" spans="1:12">
      <c r="A50" t="s">
        <v>72</v>
      </c>
      <c r="B50" t="s">
        <v>1177</v>
      </c>
      <c r="C50">
        <f>COLUMN('Staffing Plan'!G12)</f>
        <v>7</v>
      </c>
      <c r="J50" t="s">
        <v>1223</v>
      </c>
      <c r="K50">
        <v>55</v>
      </c>
      <c r="L50" t="s">
        <v>1248</v>
      </c>
    </row>
    <row r="51" spans="1:12">
      <c r="A51" t="s">
        <v>72</v>
      </c>
      <c r="B51" t="s">
        <v>29</v>
      </c>
      <c r="C51">
        <f>COLUMN('Staffing Plan'!H12)</f>
        <v>8</v>
      </c>
      <c r="J51" t="s">
        <v>1224</v>
      </c>
      <c r="K51">
        <v>56</v>
      </c>
      <c r="L51" t="s">
        <v>1248</v>
      </c>
    </row>
    <row r="52" spans="1:12">
      <c r="A52" t="s">
        <v>72</v>
      </c>
      <c r="B52" t="s">
        <v>532</v>
      </c>
      <c r="C52">
        <f>COLUMN('Staffing Plan'!I12)</f>
        <v>9</v>
      </c>
      <c r="J52" t="s">
        <v>1225</v>
      </c>
      <c r="K52">
        <v>57</v>
      </c>
      <c r="L52" t="s">
        <v>1248</v>
      </c>
    </row>
    <row r="53" spans="1:12">
      <c r="A53" t="s">
        <v>72</v>
      </c>
      <c r="B53" t="s">
        <v>1260</v>
      </c>
      <c r="C53">
        <f>COLUMN('Staffing Plan'!J12)</f>
        <v>10</v>
      </c>
      <c r="J53" t="s">
        <v>1235</v>
      </c>
      <c r="K53">
        <v>58</v>
      </c>
      <c r="L53" t="s">
        <v>1248</v>
      </c>
    </row>
    <row r="54" spans="1:12">
      <c r="A54" t="s">
        <v>72</v>
      </c>
      <c r="B54" t="s">
        <v>817</v>
      </c>
      <c r="C54">
        <f>COLUMN('Staffing Plan'!AN12)</f>
        <v>40</v>
      </c>
      <c r="J54" t="s">
        <v>1236</v>
      </c>
      <c r="K54">
        <v>58</v>
      </c>
      <c r="L54" t="s">
        <v>1249</v>
      </c>
    </row>
    <row r="55" spans="1:12">
      <c r="A55" t="s">
        <v>72</v>
      </c>
      <c r="B55" t="s">
        <v>804</v>
      </c>
      <c r="C55">
        <f>COLUMN('Staffing Plan'!AO12)</f>
        <v>41</v>
      </c>
      <c r="J55" t="s">
        <v>1245</v>
      </c>
      <c r="K55">
        <v>59</v>
      </c>
      <c r="L55" t="s">
        <v>1248</v>
      </c>
    </row>
    <row r="56" spans="1:12">
      <c r="A56" t="s">
        <v>72</v>
      </c>
      <c r="B56" t="s">
        <v>818</v>
      </c>
      <c r="C56">
        <f>COLUMN('Staffing Plan'!AP12)</f>
        <v>42</v>
      </c>
      <c r="J56" t="s">
        <v>1246</v>
      </c>
      <c r="K56">
        <v>59</v>
      </c>
      <c r="L56" t="s">
        <v>1249</v>
      </c>
    </row>
    <row r="57" spans="1:12">
      <c r="A57" t="s">
        <v>72</v>
      </c>
      <c r="B57" t="s">
        <v>806</v>
      </c>
      <c r="C57">
        <f>COLUMN('Staffing Plan'!AR12)</f>
        <v>44</v>
      </c>
      <c r="J57" t="s">
        <v>1191</v>
      </c>
      <c r="K57">
        <v>61</v>
      </c>
      <c r="L57" t="s">
        <v>1248</v>
      </c>
    </row>
    <row r="58" spans="1:12">
      <c r="A58" t="s">
        <v>39</v>
      </c>
      <c r="B58" t="s">
        <v>1259</v>
      </c>
      <c r="C58">
        <f>COLUMN('Objective Risks'!K6)</f>
        <v>11</v>
      </c>
      <c r="D58">
        <f>ROW('Objective Risks'!K6)</f>
        <v>6</v>
      </c>
      <c r="J58" t="s">
        <v>1192</v>
      </c>
      <c r="K58">
        <v>62</v>
      </c>
      <c r="L58" t="s">
        <v>1248</v>
      </c>
    </row>
    <row r="59" spans="1:12">
      <c r="A59" t="s">
        <v>1253</v>
      </c>
      <c r="B59" t="s">
        <v>35</v>
      </c>
      <c r="C59">
        <f>COLUMN('Add-ins'!J4)</f>
        <v>10</v>
      </c>
      <c r="D59">
        <f>ROW('Add-ins'!J4)</f>
        <v>4</v>
      </c>
      <c r="J59" t="s">
        <v>1193</v>
      </c>
      <c r="K59">
        <v>63</v>
      </c>
      <c r="L59" t="s">
        <v>1248</v>
      </c>
    </row>
    <row r="60" spans="1:12">
      <c r="A60" t="s">
        <v>39</v>
      </c>
      <c r="B60" t="s">
        <v>1263</v>
      </c>
      <c r="C60">
        <f>COLUMN('Objective Risks'!J6)</f>
        <v>10</v>
      </c>
      <c r="D60">
        <f>ROW('Objective Risks'!J6)</f>
        <v>6</v>
      </c>
    </row>
    <row r="61" spans="1:12">
      <c r="A61" t="s">
        <v>1261</v>
      </c>
      <c r="B61" t="s">
        <v>21</v>
      </c>
      <c r="C61">
        <f>COLUMN('Story Types'!E3)</f>
        <v>5</v>
      </c>
    </row>
    <row r="62" spans="1:12">
      <c r="A62" t="s">
        <v>1261</v>
      </c>
      <c r="B62" t="s">
        <v>22</v>
      </c>
      <c r="C62">
        <f>COLUMN('Story Types'!F3)</f>
        <v>6</v>
      </c>
    </row>
    <row r="63" spans="1:12">
      <c r="A63" t="s">
        <v>1261</v>
      </c>
      <c r="B63" t="s">
        <v>1262</v>
      </c>
      <c r="C63">
        <f>COLUMN('Story Types'!G3)</f>
        <v>7</v>
      </c>
    </row>
    <row r="64" spans="1:12">
      <c r="A64" t="s">
        <v>1261</v>
      </c>
      <c r="B64" t="s">
        <v>19</v>
      </c>
      <c r="C64">
        <f>COLUMN('Story Types'!B4)</f>
        <v>2</v>
      </c>
    </row>
    <row r="65" spans="1:4">
      <c r="A65" t="s">
        <v>1276</v>
      </c>
      <c r="B65" t="s">
        <v>34</v>
      </c>
      <c r="C65">
        <f>COLUMN('LOE Summary'!M5)</f>
        <v>13</v>
      </c>
      <c r="D65">
        <f>ROW('LOE Summary'!M5)</f>
        <v>5</v>
      </c>
    </row>
  </sheetData>
  <sortState ref="J2:L59">
    <sortCondition ref="K2:K59"/>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6"/>
  <sheetViews>
    <sheetView tabSelected="1" zoomScale="90" zoomScaleNormal="90" zoomScalePageLayoutView="90" workbookViewId="0">
      <pane xSplit="1" ySplit="1" topLeftCell="B11" activePane="bottomRight" state="frozen"/>
      <selection pane="topRight" activeCell="B1" sqref="B1"/>
      <selection pane="bottomLeft" activeCell="A2" sqref="A2"/>
      <selection pane="bottomRight" activeCell="B19" sqref="B19"/>
    </sheetView>
  </sheetViews>
  <sheetFormatPr defaultColWidth="11" defaultRowHeight="30" customHeight="1"/>
  <cols>
    <col min="1" max="1" width="18.5" style="518" bestFit="1" customWidth="1"/>
    <col min="2" max="2" width="150.125" style="518" bestFit="1" customWidth="1"/>
    <col min="3" max="3" width="34.875" style="518" customWidth="1"/>
    <col min="4" max="16384" width="11" style="518"/>
  </cols>
  <sheetData>
    <row r="1" spans="1:3" s="531" customFormat="1" ht="30" customHeight="1">
      <c r="A1" s="530" t="s">
        <v>1861</v>
      </c>
      <c r="B1" s="530" t="s">
        <v>1262</v>
      </c>
      <c r="C1" s="530" t="s">
        <v>1860</v>
      </c>
    </row>
    <row r="2" spans="1:3" ht="30" customHeight="1">
      <c r="A2" s="524" t="s">
        <v>1912</v>
      </c>
      <c r="B2" s="524" t="s">
        <v>1903</v>
      </c>
      <c r="C2" s="524" t="s">
        <v>1935</v>
      </c>
    </row>
    <row r="3" spans="1:3" ht="30" customHeight="1">
      <c r="A3" s="524" t="s">
        <v>1912</v>
      </c>
      <c r="B3" s="525" t="s">
        <v>1917</v>
      </c>
      <c r="C3" s="524"/>
    </row>
    <row r="4" spans="1:3" ht="30" customHeight="1">
      <c r="A4" s="524" t="s">
        <v>1912</v>
      </c>
      <c r="B4" s="525" t="s">
        <v>1918</v>
      </c>
      <c r="C4" s="524"/>
    </row>
    <row r="5" spans="1:3" ht="30" customHeight="1">
      <c r="A5" s="524" t="s">
        <v>1912</v>
      </c>
      <c r="B5" s="600" t="s">
        <v>1978</v>
      </c>
      <c r="C5" s="524"/>
    </row>
    <row r="6" spans="1:3" ht="30" customHeight="1">
      <c r="A6" s="524" t="s">
        <v>1920</v>
      </c>
      <c r="B6" s="525" t="s">
        <v>1921</v>
      </c>
      <c r="C6" s="524"/>
    </row>
    <row r="7" spans="1:3" ht="30" customHeight="1">
      <c r="A7" s="460" t="s">
        <v>1937</v>
      </c>
      <c r="B7" s="529" t="s">
        <v>1938</v>
      </c>
      <c r="C7" s="524"/>
    </row>
    <row r="8" spans="1:3" ht="30" customHeight="1">
      <c r="A8" s="460" t="s">
        <v>1939</v>
      </c>
      <c r="B8" s="460" t="s">
        <v>1940</v>
      </c>
      <c r="C8" s="524"/>
    </row>
    <row r="9" spans="1:3" ht="30" customHeight="1">
      <c r="A9" s="460" t="s">
        <v>1941</v>
      </c>
      <c r="B9" s="460" t="s">
        <v>1942</v>
      </c>
      <c r="C9" s="524"/>
    </row>
    <row r="10" spans="1:3" ht="30" customHeight="1">
      <c r="A10" s="460" t="s">
        <v>1943</v>
      </c>
      <c r="B10" s="460" t="s">
        <v>1944</v>
      </c>
      <c r="C10" s="524" t="s">
        <v>1935</v>
      </c>
    </row>
    <row r="11" spans="1:3" ht="30" customHeight="1">
      <c r="A11" s="460" t="s">
        <v>1943</v>
      </c>
      <c r="B11" s="524" t="s">
        <v>1945</v>
      </c>
      <c r="C11" s="524" t="s">
        <v>1936</v>
      </c>
    </row>
    <row r="12" spans="1:3" ht="30" customHeight="1">
      <c r="A12" s="460" t="s">
        <v>1943</v>
      </c>
      <c r="B12" s="524" t="s">
        <v>1946</v>
      </c>
      <c r="C12" s="524"/>
    </row>
    <row r="13" spans="1:3" ht="30" customHeight="1">
      <c r="A13" s="460" t="s">
        <v>1943</v>
      </c>
      <c r="B13" s="525" t="s">
        <v>1948</v>
      </c>
      <c r="C13" s="524"/>
    </row>
    <row r="14" spans="1:3" ht="30" customHeight="1">
      <c r="A14" s="526" t="s">
        <v>1950</v>
      </c>
      <c r="B14" s="527" t="s">
        <v>1951</v>
      </c>
      <c r="C14" s="526" t="s">
        <v>1936</v>
      </c>
    </row>
    <row r="15" spans="1:3" ht="30" customHeight="1">
      <c r="A15" s="526" t="s">
        <v>1950</v>
      </c>
      <c r="B15" s="527" t="s">
        <v>1952</v>
      </c>
      <c r="C15" s="526" t="s">
        <v>1936</v>
      </c>
    </row>
    <row r="16" spans="1:3" ht="30" customHeight="1">
      <c r="A16" s="526" t="s">
        <v>1950</v>
      </c>
      <c r="B16" s="527" t="s">
        <v>1953</v>
      </c>
      <c r="C16" s="526" t="s">
        <v>1936</v>
      </c>
    </row>
    <row r="17" spans="1:3" ht="30" customHeight="1">
      <c r="A17" s="460" t="s">
        <v>1954</v>
      </c>
      <c r="B17" s="527" t="s">
        <v>1955</v>
      </c>
    </row>
    <row r="18" spans="1:3" ht="30" customHeight="1">
      <c r="A18" s="460" t="s">
        <v>1958</v>
      </c>
      <c r="B18" s="529" t="s">
        <v>1979</v>
      </c>
      <c r="C18" s="524"/>
    </row>
    <row r="19" spans="1:3" ht="30" customHeight="1">
      <c r="A19" s="460" t="s">
        <v>1959</v>
      </c>
      <c r="B19" s="529" t="s">
        <v>1960</v>
      </c>
      <c r="C19" s="524"/>
    </row>
    <row r="20" spans="1:3" ht="30" customHeight="1">
      <c r="A20" s="460" t="s">
        <v>1962</v>
      </c>
      <c r="B20" s="529" t="s">
        <v>1963</v>
      </c>
      <c r="C20" s="526" t="s">
        <v>1961</v>
      </c>
    </row>
    <row r="21" spans="1:3" ht="30" customHeight="1">
      <c r="A21" s="460" t="s">
        <v>1923</v>
      </c>
      <c r="B21" s="529" t="s">
        <v>1964</v>
      </c>
      <c r="C21" s="526" t="s">
        <v>1961</v>
      </c>
    </row>
    <row r="22" spans="1:3" ht="30" customHeight="1">
      <c r="A22" s="524" t="s">
        <v>1923</v>
      </c>
      <c r="B22" s="525" t="s">
        <v>1924</v>
      </c>
      <c r="C22" s="524"/>
    </row>
    <row r="23" spans="1:3" ht="30" customHeight="1">
      <c r="A23" s="526" t="s">
        <v>1920</v>
      </c>
      <c r="B23" s="526" t="s">
        <v>1965</v>
      </c>
      <c r="C23" s="526" t="s">
        <v>1849</v>
      </c>
    </row>
    <row r="24" spans="1:3" ht="30" customHeight="1">
      <c r="A24" s="526" t="s">
        <v>1920</v>
      </c>
      <c r="B24" s="598" t="s">
        <v>1973</v>
      </c>
      <c r="C24" s="526" t="s">
        <v>1849</v>
      </c>
    </row>
    <row r="25" spans="1:3" ht="30" customHeight="1">
      <c r="A25" s="526" t="s">
        <v>1920</v>
      </c>
      <c r="B25" s="526" t="s">
        <v>1966</v>
      </c>
      <c r="C25" s="526" t="s">
        <v>1967</v>
      </c>
    </row>
    <row r="26" spans="1:3" ht="30" customHeight="1">
      <c r="A26" s="526" t="s">
        <v>1920</v>
      </c>
      <c r="B26" s="525" t="s">
        <v>1922</v>
      </c>
      <c r="C26" s="524"/>
    </row>
  </sheetData>
  <pageMargins left="0.75" right="0.75" top="1" bottom="1" header="0.5" footer="0.5"/>
  <pageSetup orientation="portrait" horizontalDpi="4294967292" verticalDpi="4294967292"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zoomScale="90" zoomScaleNormal="90" workbookViewId="0">
      <pane xSplit="1" ySplit="1" topLeftCell="B2" activePane="bottomRight" state="frozen"/>
      <selection pane="topRight" activeCell="B1" sqref="B1"/>
      <selection pane="bottomLeft" activeCell="A2" sqref="A2"/>
      <selection pane="bottomRight" activeCell="B2" sqref="B2"/>
    </sheetView>
  </sheetViews>
  <sheetFormatPr defaultRowHeight="30" customHeight="1"/>
  <cols>
    <col min="1" max="1" width="26.75" style="533" bestFit="1" customWidth="1"/>
    <col min="2" max="2" width="125.125" style="533" customWidth="1"/>
    <col min="3" max="3" width="12.25" style="533" customWidth="1"/>
    <col min="4" max="4" width="18.125" style="533" customWidth="1"/>
    <col min="5" max="16384" width="9" style="533"/>
  </cols>
  <sheetData>
    <row r="1" spans="1:4" ht="30" customHeight="1">
      <c r="A1" s="532" t="s">
        <v>1861</v>
      </c>
      <c r="B1" s="532" t="s">
        <v>1862</v>
      </c>
      <c r="C1" s="532" t="s">
        <v>1863</v>
      </c>
      <c r="D1" s="532" t="s">
        <v>1864</v>
      </c>
    </row>
    <row r="2" spans="1:4" ht="30" customHeight="1">
      <c r="A2" s="533" t="s">
        <v>1971</v>
      </c>
      <c r="B2" s="533" t="s">
        <v>1972</v>
      </c>
      <c r="C2" s="533" t="s">
        <v>1968</v>
      </c>
      <c r="D2" s="533" t="s">
        <v>1969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89</vt:i4>
      </vt:variant>
    </vt:vector>
  </HeadingPairs>
  <TitlesOfParts>
    <vt:vector size="100" baseType="lpstr">
      <vt:lpstr>Help</vt:lpstr>
      <vt:lpstr>Project Overview</vt:lpstr>
      <vt:lpstr>Story Types</vt:lpstr>
      <vt:lpstr>Stories</vt:lpstr>
      <vt:lpstr>Staffing Plan</vt:lpstr>
      <vt:lpstr>Add-ins</vt:lpstr>
      <vt:lpstr>Objective Risks</vt:lpstr>
      <vt:lpstr>LOE Summary</vt:lpstr>
      <vt:lpstr>Total LOE</vt:lpstr>
      <vt:lpstr>Assumptions</vt:lpstr>
      <vt:lpstr>Dependencies</vt:lpstr>
      <vt:lpstr>add_ins_last_row</vt:lpstr>
      <vt:lpstr>addins_impact_loe_lookup</vt:lpstr>
      <vt:lpstr>addins_phase_list_lookup</vt:lpstr>
      <vt:lpstr>addins_release_list_lookup</vt:lpstr>
      <vt:lpstr>addins_total_loe</vt:lpstr>
      <vt:lpstr>addins_track_list_lookup</vt:lpstr>
      <vt:lpstr>data_blank_value</vt:lpstr>
      <vt:lpstr>data_role_doesnt_exist_msg</vt:lpstr>
      <vt:lpstr>data_rolename_title_location</vt:lpstr>
      <vt:lpstr>list_title_for_mapping</vt:lpstr>
      <vt:lpstr>loe_summ_last_row</vt:lpstr>
      <vt:lpstr>metrics_lookup_table</vt:lpstr>
      <vt:lpstr>obj_risks_last_row</vt:lpstr>
      <vt:lpstr>'Add-ins'!Print_Area</vt:lpstr>
      <vt:lpstr>Help!Print_Area</vt:lpstr>
      <vt:lpstr>'LOE Summary'!Print_Area</vt:lpstr>
      <vt:lpstr>'Objective Risks'!Print_Area</vt:lpstr>
      <vt:lpstr>'Project Overview'!Print_Area</vt:lpstr>
      <vt:lpstr>'Staffing Plan'!Print_Area</vt:lpstr>
      <vt:lpstr>Stories!Print_Area</vt:lpstr>
      <vt:lpstr>'Story Types'!Print_Area</vt:lpstr>
      <vt:lpstr>'Total LOE'!Print_Area</vt:lpstr>
      <vt:lpstr>project_delivery_select</vt:lpstr>
      <vt:lpstr>project_headline</vt:lpstr>
      <vt:lpstr>project_name</vt:lpstr>
      <vt:lpstr>project_phase</vt:lpstr>
      <vt:lpstr>project_Phase_list_column</vt:lpstr>
      <vt:lpstr>project_pid</vt:lpstr>
      <vt:lpstr>project_Rel_list_column</vt:lpstr>
      <vt:lpstr>project_tracks_list_column</vt:lpstr>
      <vt:lpstr>project_tracks_starting_row</vt:lpstr>
      <vt:lpstr>risks_phase_list_lookup</vt:lpstr>
      <vt:lpstr>risks_release_list_lookup</vt:lpstr>
      <vt:lpstr>risks_risk_buffer_lookup</vt:lpstr>
      <vt:lpstr>risks_total_loe</vt:lpstr>
      <vt:lpstr>risks_track_list_lookup</vt:lpstr>
      <vt:lpstr>staffing_column_after_weeks</vt:lpstr>
      <vt:lpstr>staffing_column_before_weeks</vt:lpstr>
      <vt:lpstr>staffing_column_HrsPerDay</vt:lpstr>
      <vt:lpstr>staffing_column_plan_start</vt:lpstr>
      <vt:lpstr>staffing_column_Rate</vt:lpstr>
      <vt:lpstr>staffing_column_title</vt:lpstr>
      <vt:lpstr>staffing_hidden_template_row</vt:lpstr>
      <vt:lpstr>staffing_planned_net_work_days</vt:lpstr>
      <vt:lpstr>staffing_row_after_oversight</vt:lpstr>
      <vt:lpstr>staffing_row_after_team</vt:lpstr>
      <vt:lpstr>staffing_row_before_oversight</vt:lpstr>
      <vt:lpstr>staffing_row_before_team</vt:lpstr>
      <vt:lpstr>staffing_total_loe_oversight</vt:lpstr>
      <vt:lpstr>staffing_total_loe_team</vt:lpstr>
      <vt:lpstr>staffing_total_person_days</vt:lpstr>
      <vt:lpstr>stories_buffered_loe_lookup</vt:lpstr>
      <vt:lpstr>stories_column_abp</vt:lpstr>
      <vt:lpstr>stories_column_category</vt:lpstr>
      <vt:lpstr>stories_column_description</vt:lpstr>
      <vt:lpstr>stories_column_error</vt:lpstr>
      <vt:lpstr>stories_column_hp</vt:lpstr>
      <vt:lpstr>stories_column_in_out</vt:lpstr>
      <vt:lpstr>stories_column_multiplier</vt:lpstr>
      <vt:lpstr>stories_column_notes</vt:lpstr>
      <vt:lpstr>stories_column_phase</vt:lpstr>
      <vt:lpstr>stories_column_release</vt:lpstr>
      <vt:lpstr>stories_column_scope_reference</vt:lpstr>
      <vt:lpstr>stories_column_story_name</vt:lpstr>
      <vt:lpstr>stories_column_story_type</vt:lpstr>
      <vt:lpstr>stories_column_sub_category</vt:lpstr>
      <vt:lpstr>stories_column_track</vt:lpstr>
      <vt:lpstr>stories_last_row</vt:lpstr>
      <vt:lpstr>Stories_phase_list_lookup</vt:lpstr>
      <vt:lpstr>stories_release_list_lookup</vt:lpstr>
      <vt:lpstr>stories_row_after_last_story</vt:lpstr>
      <vt:lpstr>stories_row_before_first_story</vt:lpstr>
      <vt:lpstr>stories_total_loe_abp</vt:lpstr>
      <vt:lpstr>stories_total_loe_buffered</vt:lpstr>
      <vt:lpstr>stories_total_loe_hp</vt:lpstr>
      <vt:lpstr>stories_track_list_lookup</vt:lpstr>
      <vt:lpstr>Story_Type_ABP</vt:lpstr>
      <vt:lpstr>Story_Type_error</vt:lpstr>
      <vt:lpstr>Story_Type_HP</vt:lpstr>
      <vt:lpstr>Story_Type_Name</vt:lpstr>
      <vt:lpstr>tasks_metrics_observation_area</vt:lpstr>
      <vt:lpstr>tasks_metrics_template</vt:lpstr>
      <vt:lpstr>tool_version</vt:lpstr>
      <vt:lpstr>tool_version_check</vt:lpstr>
      <vt:lpstr>tool_version_date</vt:lpstr>
      <vt:lpstr>tool_vox_address</vt:lpstr>
      <vt:lpstr>tool_vox_address_title</vt:lpstr>
      <vt:lpstr>total_loe</vt:lpstr>
      <vt:lpstr>track_loe_header_cell</vt:lpstr>
    </vt:vector>
  </TitlesOfParts>
  <Company>Sapient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Estimation Tool</dc:title>
  <dc:creator>Delivery Shared Services and Quality &amp; Methods</dc:creator>
  <cp:lastModifiedBy>WIN764BIT</cp:lastModifiedBy>
  <cp:lastPrinted>2013-11-22T05:12:52Z</cp:lastPrinted>
  <dcterms:created xsi:type="dcterms:W3CDTF">2011-10-20T15:30:42Z</dcterms:created>
  <dcterms:modified xsi:type="dcterms:W3CDTF">2016-05-27T09:46:13Z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Jive_LatestUserAccountName">
    <vt:lpwstr>jbond1</vt:lpwstr>
  </property>
  <property fmtid="{D5CDD505-2E9C-101B-9397-08002B2CF9AE}" pid="3" name="Offisync_ServerID">
    <vt:lpwstr>2a760b3e-54a5-418b-9dd9-555cd32dea45</vt:lpwstr>
  </property>
  <property fmtid="{D5CDD505-2E9C-101B-9397-08002B2CF9AE}" pid="4" name="Offisync_UniqueId">
    <vt:lpwstr>4272</vt:lpwstr>
  </property>
  <property fmtid="{D5CDD505-2E9C-101B-9397-08002B2CF9AE}" pid="5" name="Jive_VersionGuid">
    <vt:lpwstr>6061704f-ff31-45ad-a645-68dcdcc4c701</vt:lpwstr>
  </property>
  <property fmtid="{D5CDD505-2E9C-101B-9397-08002B2CF9AE}" pid="6" name="Offisync_ProviderInitializationData">
    <vt:lpwstr>https://vox.sapient.com</vt:lpwstr>
  </property>
  <property fmtid="{D5CDD505-2E9C-101B-9397-08002B2CF9AE}" pid="7" name="Offisync_UpdateToken">
    <vt:lpwstr>61</vt:lpwstr>
  </property>
  <property fmtid="{D5CDD505-2E9C-101B-9397-08002B2CF9AE}" pid="8" name="Jive_ModifiedButNotPublished">
    <vt:lpwstr>True</vt:lpwstr>
  </property>
</Properties>
</file>