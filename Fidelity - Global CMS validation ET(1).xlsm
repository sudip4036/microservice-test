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5.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4b285aa362b54526"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hidePivotFieldList="1" autoCompressPictures="0"/>
  <bookViews>
    <workbookView xWindow="0" yWindow="0" windowWidth="15360" windowHeight="7935" tabRatio="856" firstSheet="1" activeTab="3"/>
  </bookViews>
  <sheets>
    <sheet name="Help" sheetId="3" r:id="rId1"/>
    <sheet name="Project Overview" sheetId="6" r:id="rId2"/>
    <sheet name="Story Types" sheetId="7" r:id="rId3"/>
    <sheet name="Stories" sheetId="13" r:id="rId4"/>
    <sheet name="Add-ins" sheetId="11" r:id="rId5"/>
    <sheet name="Objective Risks" sheetId="12" r:id="rId6"/>
    <sheet name="Staffing Plan" sheetId="17" r:id="rId7"/>
    <sheet name="LOE Summary" sheetId="15" r:id="rId8"/>
    <sheet name="Total LOE" sheetId="18" r:id="rId9"/>
    <sheet name="Stories - Export" sheetId="22" state="veryHidden" r:id="rId10"/>
    <sheet name="Staffing Plan - Export" sheetId="19" state="veryHidden" r:id="rId11"/>
    <sheet name="Data" sheetId="4" state="veryHidden" r:id="rId12"/>
    <sheet name="Export Configuration" sheetId="20" state="veryHidden" r:id="rId13"/>
    <sheet name="Mapping" sheetId="23" state="hidden" r:id="rId14"/>
    <sheet name="Assumptions" sheetId="24" r:id="rId15"/>
    <sheet name="Dependency" sheetId="25" r:id="rId16"/>
  </sheets>
  <functionGroups builtInGroupCount="17"/>
  <definedNames>
    <definedName name="_xlnm._FilterDatabase" localSheetId="11" hidden="1">Data!$D$1:$Q$1595</definedName>
    <definedName name="_xlnm._FilterDatabase" localSheetId="12" hidden="1">'Export Configuration'!$A$1:$D$41</definedName>
    <definedName name="_xlnm._FilterDatabase" localSheetId="3" hidden="1">Stories!$A$6:$AE$116</definedName>
    <definedName name="add_ins_last_row">'Add-ins'!$18:$18</definedName>
    <definedName name="addins_impact_loe_lookup">'Add-ins'!$J$5:$J$19</definedName>
    <definedName name="addins_phase_list_lookup">'Add-ins'!$C$5:$C$19</definedName>
    <definedName name="addins_release_list_lookup">'Add-ins'!$E$5:$E$19</definedName>
    <definedName name="addins_total_loe">'Add-ins'!$J$2</definedName>
    <definedName name="addins_track_list_lookup">'Add-ins'!$D$5:$D$19</definedName>
    <definedName name="Allocation_format">Data!$B$8</definedName>
    <definedName name="data_blank_value">Data!$B$6</definedName>
    <definedName name="data_role_doesnt_exist_msg">Data!$B$7</definedName>
    <definedName name="data_rolename_title_location">Data!$Q$1</definedName>
    <definedName name="export_list_interfaces_output_columns">OFFSET('Export Configuration'!$A$1,,,COUNTA('Export Configuration'!$A:$A),4)</definedName>
    <definedName name="export_list_interfaces_output_formats">OFFSET('Export Configuration'!$F$1,,,COUNTA('Export Configuration'!$F:$F),3)</definedName>
    <definedName name="list_bill_rate_categories">OFFSET(Data!$L$2,,,COUNTA(Data!$L:$L)-1)</definedName>
    <definedName name="list_bill_rate_india">OFFSET(list_bill_rate_categories,MATCH("India Off-Shore", list_bill_rate_categories,0)-1,,COUNTA(list_bill_rate_categories) - MATCH("India Off-Shore", list_bill_rate_categories,0)+1)</definedName>
    <definedName name="list_bill_rate_local">OFFSET(list_bill_rate_categories,,,MATCH("India Off-shore", list_bill_rate_categories,0)-1)</definedName>
    <definedName name="list_delivery_types">OFFSET(Data!$D$2,,,COUNTA(Data!$D:$D)-1)</definedName>
    <definedName name="list_offices">OFFSET(Data!$M$2,,,COUNTA(Data!$M:$M)-1)</definedName>
    <definedName name="list_offices_india">OFFSET(list_offices,1,,MATCH("## Local Offices ##", list_offices,0) - 2)</definedName>
    <definedName name="list_offices_local">OFFSET(list_offices,MATCH("## Local Offices ##", list_offices,0),,COUNTA(list_offices) - MATCH("## Local Offices ##", list_offices,0))</definedName>
    <definedName name="list_Phase">OFFSET(Data!$G$2,,,COUNTA(Data!$G:$G)-1)</definedName>
    <definedName name="list_project_tracks">OFFSET(Data!$F$2,,,COUNTA(Data!$F:$F)-1)</definedName>
    <definedName name="list_Release">OFFSET(Data!$H$2,,,COUNTA(Data!$H:$H)-1)</definedName>
    <definedName name="list_risk_categories">OFFSET(Data!$J$2,,,COUNTA(Data!$J:$J)-1)</definedName>
    <definedName name="list_roles">OFFSET(Data!$N$2,,,COUNTA(Data!$N:$N)-1)</definedName>
    <definedName name="list_sa_phases">OFFSET(Data!$E$2,,,COUNTA(Data!$E:$E)-1)</definedName>
    <definedName name="list_scope_count">OFFSET(Data!$K$2,,,COUNTA(Data!$K:$K)-1)</definedName>
    <definedName name="list_story_types">OFFSET(Data!$I$2,,,COUNTA(Data!$I:$I)-1)</definedName>
    <definedName name="list_title_for_mapping">Data!$P:$P</definedName>
    <definedName name="list_titles">OFFSET(Data!$O$2,,,COUNTA(Data!$O:$O)-1)</definedName>
    <definedName name="list_titles_delivery">OFFSET(list_titles,1,,MATCH("## Sapient Internal ##", list_titles,0) - 2)</definedName>
    <definedName name="list_titles_non_delivery">list_titles</definedName>
    <definedName name="loe_summ_last_row">'LOE Summary'!$17:$17</definedName>
    <definedName name="metrics_lookup_table">'Story Types'!$I$4:$M$9</definedName>
    <definedName name="obj_risks_last_row">'Objective Risks'!$17:$17</definedName>
    <definedName name="_xlnm.Print_Area" localSheetId="4">'Add-ins'!$B$2:$K$18</definedName>
    <definedName name="_xlnm.Print_Area" localSheetId="0">Help!$B$2:$E$10</definedName>
    <definedName name="_xlnm.Print_Area" localSheetId="7">'LOE Summary'!$B$1:$M$15</definedName>
    <definedName name="_xlnm.Print_Area" localSheetId="5">'Objective Risks'!$B$2:$K$17</definedName>
    <definedName name="_xlnm.Print_Area" localSheetId="1">'Project Overview'!$A$1:$D$11</definedName>
    <definedName name="_xlnm.Print_Area" localSheetId="6">'Staffing Plan'!$B$1:$AJ$54</definedName>
    <definedName name="_xlnm.Print_Area" localSheetId="3">Stories!$A$2:$W$116</definedName>
    <definedName name="_xlnm.Print_Area" localSheetId="2">'Story Types'!$A$1:$M$20</definedName>
    <definedName name="_xlnm.Print_Area" localSheetId="8">'Total LOE'!$B$1:$P$24</definedName>
    <definedName name="project_delivery_select">'Project Overview'!$C$7</definedName>
    <definedName name="project_headline">'Project Overview'!$C$1</definedName>
    <definedName name="project_name">'Project Overview'!$C$3</definedName>
    <definedName name="project_phase">'Project Overview'!$C$5</definedName>
    <definedName name="project_Phase_list_column">'Project Overview'!$C:$C</definedName>
    <definedName name="project_pid">'Project Overview'!$C$4</definedName>
    <definedName name="project_Rel_list_column">'Project Overview'!$D:$D</definedName>
    <definedName name="project_tracks_list_column">'Project Overview'!$B:$B</definedName>
    <definedName name="project_tracks_starting_row">'Project Overview'!$9:$9</definedName>
    <definedName name="risks_phase_list_lookup">'Objective Risks'!$C$7:$C$22</definedName>
    <definedName name="risks_release_list_lookup">'Objective Risks'!$E$7:$E$22</definedName>
    <definedName name="risks_risk_buffer_lookup">'Objective Risks'!$J$7:$J$22</definedName>
    <definedName name="risks_total_loe">'Objective Risks'!$J$4</definedName>
    <definedName name="risks_track_list_lookup">'Objective Risks'!$D$7:$D$22</definedName>
    <definedName name="staffing_column_after_weeks">'Staffing Plan'!$AD:$AD</definedName>
    <definedName name="staffing_column_before_weeks">'Staffing Plan'!$I:$I</definedName>
    <definedName name="staffing_column_HrsPerDay">'Staffing Plan'!$AH:$AH</definedName>
    <definedName name="staffing_column_plan_start">'Staffing Plan'!$B:$B</definedName>
    <definedName name="staffing_column_Rate">'Staffing Plan'!$AG:$AG</definedName>
    <definedName name="staffing_column_title">'Staffing Plan'!$E:$E</definedName>
    <definedName name="staffing_hidden_template_row">'Staffing Plan'!$9:$9</definedName>
    <definedName name="staffing_phase_list_lookup">INDIRECT("'Staffing Plan'!"&amp;ADDRESS(CELL("row",staffing_row_before_team)+1,CELL("col",staffing_column_before_weeks)-2)&amp;":"&amp;ADDRESS(CELL("row",staffing_row_after_team)-1,CELL("col",staffing_column_before_weeks)-2))</definedName>
    <definedName name="staffing_planned_net_work_days">'Staffing Plan'!$D$5</definedName>
    <definedName name="staffing_release_list_lookup">INDIRECT("'Staffing Plan'!"&amp;ADDRESS(CELL("row",staffing_row_before_team)+1,CELL("col",staffing_column_before_weeks))&amp;":"&amp;ADDRESS(CELL("row",staffing_row_after_team)-1,CELL("col",staffing_column_before_weeks)))</definedName>
    <definedName name="staffing_row_after_oversight">'Staffing Plan'!$22:$22</definedName>
    <definedName name="staffing_row_after_team">'Staffing Plan'!$53:$53</definedName>
    <definedName name="staffing_row_before_oversight">'Staffing Plan'!$10:$10</definedName>
    <definedName name="staffing_row_before_team">'Staffing Plan'!$23:$23</definedName>
    <definedName name="staffing_total_loe_lookup">INDIRECT("'Staffing Plan'!"&amp;ADDRESS(CELL("row",staffing_row_before_team)+1,CELL("col",staffing_column_after_weeks))&amp;":"&amp;ADDRESS(CELL("row",staffing_row_after_team)-1,CELL("col",staffing_column_after_weeks)))</definedName>
    <definedName name="staffing_total_loe_oversight">'Staffing Plan'!$AD$22</definedName>
    <definedName name="staffing_total_loe_team">'Staffing Plan'!$AD$53</definedName>
    <definedName name="staffing_total_person_days">'Staffing Plan'!$AD$54</definedName>
    <definedName name="staffing_track_list_lookup">INDIRECT("'Staffing Plan'!"&amp;ADDRESS(CELL("row",staffing_row_before_team)+1,CELL("col",staffing_column_before_weeks)-1)&amp;":"&amp;ADDRESS(CELL("row",staffing_row_after_team)-1,CELL("col",staffing_column_before_weeks)-1))</definedName>
    <definedName name="stories_buffered_loe_lookup">Stories!$V$7:$V$117</definedName>
    <definedName name="stories_column_abp">Stories!$N:$N</definedName>
    <definedName name="stories_column_category">Stories!$C:$C</definedName>
    <definedName name="stories_column_description">Stories!$H:$H</definedName>
    <definedName name="stories_column_epic_link">Stories!$J:$J</definedName>
    <definedName name="stories_column_error">Stories!$B:$B</definedName>
    <definedName name="stories_column_hp">Stories!$O:$O</definedName>
    <definedName name="stories_column_in_out">Stories!$K:$K</definedName>
    <definedName name="stories_column_multiplier">Stories!$P:$P</definedName>
    <definedName name="stories_column_notes">Stories!$W:$W</definedName>
    <definedName name="stories_column_phase">Stories!$E:$E</definedName>
    <definedName name="stories_column_release">Stories!$L:$L</definedName>
    <definedName name="stories_column_scope_reference">Stories!$I:$I</definedName>
    <definedName name="stories_column_story_name">Stories!$G:$G</definedName>
    <definedName name="stories_column_story_type">Stories!$M:$M</definedName>
    <definedName name="stories_column_sub_category">Stories!$D:$D</definedName>
    <definedName name="stories_column_track">Stories!$F:$F</definedName>
    <definedName name="stories_entries_range">INDIRECT(ROW(stories_row_before_first_story)+1 &amp; ":" &amp; ROW(stories_row_after_last_story)-1)</definedName>
    <definedName name="stories_last_row">Stories!$116:$116</definedName>
    <definedName name="Stories_phase_list_lookup">Stories!$E$7:$E$117</definedName>
    <definedName name="stories_pivot_range">OFFSET(Stories!$C$6,0,0,COUNTA(Stories!$P$7:$P$349)-1,COLUMN(Stories!$W$6)-2)</definedName>
    <definedName name="stories_release_list_lookup">Stories!$L$7:$L$117</definedName>
    <definedName name="stories_row_after_last_story">Stories!$117:$117</definedName>
    <definedName name="stories_row_before_first_story">Stories!$6:$6</definedName>
    <definedName name="stories_total_loe_abp">Stories!$Q$4</definedName>
    <definedName name="stories_total_loe_buffered">Stories!$U$4</definedName>
    <definedName name="stories_total_loe_hp">Stories!$S$4</definedName>
    <definedName name="stories_track_list_lookup">Stories!$F$7:$F$117</definedName>
    <definedName name="story_export_comment_records">OFFSET('Stories - Export'!$K$1,,,COUNTA('Stories - Export'!$K:$K),1)</definedName>
    <definedName name="Story_Type_ABP">'Story Types'!$E:$E</definedName>
    <definedName name="Story_Type_error">'Story Types'!$A:$A</definedName>
    <definedName name="Story_Type_HP">'Story Types'!$F:$F</definedName>
    <definedName name="Story_Type_Name">'Story Types'!$C:$D</definedName>
    <definedName name="tasks_metrics_observation_area">'Story Types'!$C:$F</definedName>
    <definedName name="tasks_metrics_template">'Story Types'!$B$3:$G$19</definedName>
    <definedName name="tool_version">Help!$C$3</definedName>
    <definedName name="tool_version_check">Data!$B$1</definedName>
    <definedName name="tool_version_date">Data!$B$3</definedName>
    <definedName name="tool_vox_address">Data!$B$4</definedName>
    <definedName name="tool_vox_address_title">Data!$B$5</definedName>
    <definedName name="total_loe">Data!$B$2</definedName>
    <definedName name="track_loe_header_cell">'LOE Summary'!$B$5</definedName>
  </definedNames>
  <calcPr calcId="145621"/>
  <pivotCaches>
    <pivotCache cacheId="1957" r:id="rId17"/>
  </pivotCaches>
</workbook>
</file>

<file path=xl/calcChain.xml><?xml version="1.0" encoding="utf-8"?>
<calcChain xmlns="http://schemas.openxmlformats.org/spreadsheetml/2006/main">
  <c r="J4" i="12" l="1"/>
  <c r="J21" i="12"/>
  <c r="J20" i="12"/>
  <c r="J19" i="12"/>
  <c r="J18" i="12"/>
  <c r="J22" i="12"/>
  <c r="J16" i="12"/>
  <c r="AI32" i="17" l="1"/>
  <c r="AI31" i="17"/>
  <c r="AI30" i="17"/>
  <c r="AI29" i="17"/>
  <c r="AI28" i="17"/>
  <c r="T29" i="13"/>
  <c r="R29" i="13"/>
  <c r="T26" i="13"/>
  <c r="R26" i="13"/>
  <c r="T23" i="13"/>
  <c r="R23" i="13"/>
  <c r="T20" i="13"/>
  <c r="R20" i="13"/>
  <c r="T44" i="13"/>
  <c r="R44" i="13"/>
  <c r="O43" i="13"/>
  <c r="T43" i="13" s="1"/>
  <c r="N43" i="13"/>
  <c r="R43" i="13" s="1"/>
  <c r="T42" i="13"/>
  <c r="R42" i="13"/>
  <c r="O41" i="13"/>
  <c r="T41" i="13" s="1"/>
  <c r="N41" i="13"/>
  <c r="R41" i="13" s="1"/>
  <c r="T40" i="13"/>
  <c r="R40" i="13"/>
  <c r="O39" i="13"/>
  <c r="T39" i="13" s="1"/>
  <c r="N39" i="13"/>
  <c r="R39" i="13" s="1"/>
  <c r="T38" i="13"/>
  <c r="R38" i="13"/>
  <c r="O37" i="13"/>
  <c r="T37" i="13" s="1"/>
  <c r="N37" i="13"/>
  <c r="R37" i="13" s="1"/>
  <c r="T36" i="13"/>
  <c r="R36" i="13"/>
  <c r="O35" i="13"/>
  <c r="T35" i="13" s="1"/>
  <c r="N35" i="13"/>
  <c r="R35" i="13" s="1"/>
  <c r="O28" i="13"/>
  <c r="T28" i="13" s="1"/>
  <c r="N28" i="13"/>
  <c r="R28" i="13" s="1"/>
  <c r="O27" i="13"/>
  <c r="T27" i="13" s="1"/>
  <c r="N27" i="13"/>
  <c r="R27" i="13" s="1"/>
  <c r="O25" i="13"/>
  <c r="T25" i="13" s="1"/>
  <c r="N25" i="13"/>
  <c r="R25" i="13" s="1"/>
  <c r="O24" i="13"/>
  <c r="T24" i="13" s="1"/>
  <c r="N24" i="13"/>
  <c r="R24" i="13" s="1"/>
  <c r="O22" i="13"/>
  <c r="T22" i="13" s="1"/>
  <c r="N22" i="13"/>
  <c r="R22" i="13" s="1"/>
  <c r="O21" i="13"/>
  <c r="T21" i="13" s="1"/>
  <c r="N21" i="13"/>
  <c r="R21" i="13" s="1"/>
  <c r="O19" i="13"/>
  <c r="T19" i="13" s="1"/>
  <c r="N19" i="13"/>
  <c r="R19" i="13" s="1"/>
  <c r="O18" i="13"/>
  <c r="T18" i="13" s="1"/>
  <c r="N18" i="13"/>
  <c r="R18" i="13" s="1"/>
  <c r="AD32" i="17"/>
  <c r="AD28" i="17"/>
  <c r="AD30" i="17"/>
  <c r="AD31" i="17"/>
  <c r="AD29" i="17"/>
  <c r="V42" i="13" l="1"/>
  <c r="V44" i="13"/>
  <c r="V29" i="13"/>
  <c r="V35" i="13"/>
  <c r="V37" i="13"/>
  <c r="V39" i="13"/>
  <c r="V41" i="13"/>
  <c r="V43" i="13"/>
  <c r="V20" i="13"/>
  <c r="V26" i="13"/>
  <c r="V36" i="13"/>
  <c r="V38" i="13"/>
  <c r="V40" i="13"/>
  <c r="V23" i="13"/>
  <c r="V24" i="13"/>
  <c r="V19" i="13"/>
  <c r="V18" i="13"/>
  <c r="V25" i="13"/>
  <c r="V27" i="13"/>
  <c r="V28" i="13"/>
  <c r="V21" i="13"/>
  <c r="V22" i="13"/>
  <c r="A26" i="24"/>
  <c r="A27" i="24" s="1"/>
  <c r="A28" i="24" s="1"/>
  <c r="A29" i="24" s="1"/>
  <c r="A30" i="24" s="1"/>
  <c r="A31" i="24" s="1"/>
  <c r="A32" i="24" s="1"/>
  <c r="AI50" i="17" l="1"/>
  <c r="T106" i="13"/>
  <c r="R106" i="13"/>
  <c r="AD50" i="17"/>
  <c r="V106" i="13" l="1"/>
  <c r="T80" i="13" l="1"/>
  <c r="R80" i="13"/>
  <c r="V80" i="13" l="1"/>
  <c r="T92" i="13"/>
  <c r="R92" i="13"/>
  <c r="O14" i="13"/>
  <c r="T14" i="13" s="1"/>
  <c r="O31" i="13"/>
  <c r="T31" i="13" s="1"/>
  <c r="T48" i="13"/>
  <c r="R48" i="13"/>
  <c r="T49" i="13"/>
  <c r="R49" i="13"/>
  <c r="T33" i="13"/>
  <c r="R33" i="13"/>
  <c r="T17" i="13"/>
  <c r="R17" i="13"/>
  <c r="F77" i="7"/>
  <c r="M9" i="7" s="1"/>
  <c r="E77" i="7"/>
  <c r="L9" i="7" s="1"/>
  <c r="N14" i="13" s="1"/>
  <c r="R14" i="13" s="1"/>
  <c r="F59" i="7"/>
  <c r="M8" i="7" s="1"/>
  <c r="O11" i="13" s="1"/>
  <c r="E59" i="7"/>
  <c r="L8" i="7" s="1"/>
  <c r="N11" i="13" s="1"/>
  <c r="F41" i="7"/>
  <c r="M7" i="7" s="1"/>
  <c r="E41" i="7"/>
  <c r="L7" i="7" s="1"/>
  <c r="N31" i="13" s="1"/>
  <c r="R31" i="13" s="1"/>
  <c r="V48" i="13" l="1"/>
  <c r="V92" i="13"/>
  <c r="V49" i="13"/>
  <c r="N32" i="13"/>
  <c r="R32" i="13" s="1"/>
  <c r="N9" i="13"/>
  <c r="R9" i="13" s="1"/>
  <c r="N10" i="13"/>
  <c r="R10" i="13" s="1"/>
  <c r="N16" i="13"/>
  <c r="N15" i="13"/>
  <c r="R15" i="13" s="1"/>
  <c r="O9" i="13"/>
  <c r="T9" i="13" s="1"/>
  <c r="O10" i="13"/>
  <c r="T10" i="13" s="1"/>
  <c r="O16" i="13"/>
  <c r="O15" i="13"/>
  <c r="T15" i="13" s="1"/>
  <c r="O32" i="13"/>
  <c r="T32" i="13" s="1"/>
  <c r="V17" i="13"/>
  <c r="V31" i="13"/>
  <c r="V33" i="13"/>
  <c r="V14" i="13"/>
  <c r="V32" i="13" l="1"/>
  <c r="V15" i="13"/>
  <c r="V9" i="13"/>
  <c r="V10" i="13"/>
  <c r="T67" i="13"/>
  <c r="R67" i="13"/>
  <c r="T66" i="13"/>
  <c r="R66" i="13"/>
  <c r="T65" i="13"/>
  <c r="R65" i="13"/>
  <c r="T64" i="13"/>
  <c r="R64" i="13"/>
  <c r="T16" i="13"/>
  <c r="R16" i="13"/>
  <c r="T61" i="13"/>
  <c r="R61" i="13"/>
  <c r="AI26" i="17"/>
  <c r="R51" i="13"/>
  <c r="T51" i="13"/>
  <c r="T34" i="13"/>
  <c r="R34" i="13"/>
  <c r="T95" i="13"/>
  <c r="R95" i="13"/>
  <c r="AD26" i="17"/>
  <c r="V66" i="13" l="1"/>
  <c r="V34" i="13"/>
  <c r="V65" i="13"/>
  <c r="V67" i="13"/>
  <c r="V51" i="13"/>
  <c r="V64" i="13"/>
  <c r="V16" i="13"/>
  <c r="V61" i="13"/>
  <c r="V95" i="13"/>
  <c r="AI36" i="17" l="1"/>
  <c r="F22" i="7"/>
  <c r="M6" i="7" s="1"/>
  <c r="E22" i="7"/>
  <c r="L6" i="7" s="1"/>
  <c r="T54" i="13"/>
  <c r="R54" i="13"/>
  <c r="AI33" i="17"/>
  <c r="T104" i="13"/>
  <c r="R104" i="13"/>
  <c r="T103" i="13"/>
  <c r="R103" i="13"/>
  <c r="T102" i="13"/>
  <c r="R102" i="13"/>
  <c r="T100" i="13"/>
  <c r="R100" i="13"/>
  <c r="T99" i="13"/>
  <c r="R99" i="13"/>
  <c r="T98" i="13"/>
  <c r="R98" i="13"/>
  <c r="T69" i="13"/>
  <c r="R69" i="13"/>
  <c r="T68" i="13"/>
  <c r="R68" i="13"/>
  <c r="T94" i="13"/>
  <c r="R94" i="13"/>
  <c r="T96" i="13"/>
  <c r="R96" i="13"/>
  <c r="T93" i="13"/>
  <c r="R93" i="13"/>
  <c r="T90" i="13"/>
  <c r="R90" i="13"/>
  <c r="T89" i="13"/>
  <c r="R89" i="13"/>
  <c r="T88" i="13"/>
  <c r="R88" i="13"/>
  <c r="T82" i="13"/>
  <c r="R82" i="13"/>
  <c r="T81" i="13"/>
  <c r="R81" i="13"/>
  <c r="T79" i="13"/>
  <c r="R79" i="13"/>
  <c r="T78" i="13"/>
  <c r="R78" i="13"/>
  <c r="T86" i="13"/>
  <c r="R86" i="13"/>
  <c r="T85" i="13"/>
  <c r="R85" i="13"/>
  <c r="T84" i="13"/>
  <c r="R84" i="13"/>
  <c r="AD36" i="17"/>
  <c r="AD33" i="17"/>
  <c r="O76" i="13" l="1"/>
  <c r="O75" i="13"/>
  <c r="O74" i="13"/>
  <c r="N76" i="13"/>
  <c r="N75" i="13"/>
  <c r="N74" i="13"/>
  <c r="V104" i="13"/>
  <c r="V102" i="13"/>
  <c r="V103" i="13"/>
  <c r="V98" i="13"/>
  <c r="V100" i="13"/>
  <c r="V54" i="13"/>
  <c r="V99" i="13"/>
  <c r="V90" i="13"/>
  <c r="V96" i="13"/>
  <c r="V68" i="13"/>
  <c r="V89" i="13"/>
  <c r="V69" i="13"/>
  <c r="V85" i="13"/>
  <c r="V78" i="13"/>
  <c r="V88" i="13"/>
  <c r="V94" i="13"/>
  <c r="V93" i="13"/>
  <c r="V82" i="13"/>
  <c r="V81" i="13"/>
  <c r="V79" i="13"/>
  <c r="V86" i="13"/>
  <c r="V84" i="13"/>
  <c r="B3" i="4" l="1"/>
  <c r="C6" i="23" l="1"/>
  <c r="D6" i="23"/>
  <c r="R11" i="13"/>
  <c r="T11" i="13"/>
  <c r="R12" i="13"/>
  <c r="T12" i="13"/>
  <c r="R13" i="13"/>
  <c r="T13" i="13"/>
  <c r="R46" i="13"/>
  <c r="T46" i="13"/>
  <c r="R47" i="13"/>
  <c r="T47" i="13"/>
  <c r="R52" i="13"/>
  <c r="T52" i="13"/>
  <c r="R53" i="13"/>
  <c r="T53" i="13"/>
  <c r="R55" i="13"/>
  <c r="T55" i="13"/>
  <c r="R56" i="13"/>
  <c r="T56" i="13"/>
  <c r="R57" i="13"/>
  <c r="T57" i="13"/>
  <c r="R58" i="13"/>
  <c r="T58" i="13"/>
  <c r="R59" i="13"/>
  <c r="T59" i="13"/>
  <c r="R60" i="13"/>
  <c r="T60" i="13"/>
  <c r="R62" i="13"/>
  <c r="T62" i="13"/>
  <c r="R63" i="13"/>
  <c r="T63" i="13"/>
  <c r="R71" i="13"/>
  <c r="T71" i="13"/>
  <c r="R74" i="13"/>
  <c r="T74" i="13"/>
  <c r="R75" i="13"/>
  <c r="T75" i="13"/>
  <c r="R76" i="13"/>
  <c r="T76" i="13"/>
  <c r="R107" i="13"/>
  <c r="T107" i="13"/>
  <c r="R108" i="13"/>
  <c r="T108" i="13"/>
  <c r="R109" i="13"/>
  <c r="T109" i="13"/>
  <c r="R110" i="13"/>
  <c r="T110" i="13"/>
  <c r="R111" i="13"/>
  <c r="T111" i="13"/>
  <c r="R112" i="13"/>
  <c r="T112" i="13"/>
  <c r="R113" i="13"/>
  <c r="T113" i="13"/>
  <c r="R114" i="13"/>
  <c r="T114" i="13"/>
  <c r="R115" i="13"/>
  <c r="T115" i="13"/>
  <c r="R116" i="13"/>
  <c r="T116" i="13"/>
  <c r="J5" i="11"/>
  <c r="J6" i="11"/>
  <c r="J8" i="11"/>
  <c r="J9" i="11"/>
  <c r="J10" i="11"/>
  <c r="J11" i="11"/>
  <c r="J12" i="11"/>
  <c r="J13" i="11"/>
  <c r="J14" i="11"/>
  <c r="J15" i="11"/>
  <c r="J16" i="11"/>
  <c r="J17" i="11"/>
  <c r="J18" i="11"/>
  <c r="J7" i="12"/>
  <c r="J8" i="12"/>
  <c r="J9" i="12"/>
  <c r="J10" i="12"/>
  <c r="J11" i="12"/>
  <c r="J12" i="12"/>
  <c r="J13" i="12"/>
  <c r="J14" i="12"/>
  <c r="J15" i="12"/>
  <c r="J17" i="12"/>
  <c r="F4" i="7"/>
  <c r="M5" i="7" s="1"/>
  <c r="E4" i="7"/>
  <c r="L5" i="7" s="1"/>
  <c r="D65" i="23"/>
  <c r="C65" i="23"/>
  <c r="D5" i="17"/>
  <c r="C64" i="23"/>
  <c r="D60" i="23"/>
  <c r="C60" i="23"/>
  <c r="D42" i="23"/>
  <c r="D46" i="23"/>
  <c r="C63" i="23"/>
  <c r="C62" i="23"/>
  <c r="C61" i="23"/>
  <c r="D59" i="23"/>
  <c r="C59" i="23"/>
  <c r="D58" i="23"/>
  <c r="C58" i="23"/>
  <c r="C57" i="23"/>
  <c r="C56" i="23"/>
  <c r="C55" i="23"/>
  <c r="C54" i="23"/>
  <c r="C53" i="23"/>
  <c r="C52" i="23"/>
  <c r="C51" i="23"/>
  <c r="C50" i="23"/>
  <c r="C49" i="23"/>
  <c r="C48" i="23"/>
  <c r="C47" i="23"/>
  <c r="C46" i="23"/>
  <c r="C44" i="23"/>
  <c r="C43" i="23"/>
  <c r="C42" i="23"/>
  <c r="D41"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D7" i="23"/>
  <c r="C7" i="23"/>
  <c r="B5" i="15"/>
  <c r="E12" i="15" s="1"/>
  <c r="E13" i="15"/>
  <c r="D13" i="15"/>
  <c r="K13" i="15"/>
  <c r="C13" i="15"/>
  <c r="L13" i="15"/>
  <c r="J13" i="15"/>
  <c r="I13" i="15"/>
  <c r="G13" i="15"/>
  <c r="F13" i="15"/>
  <c r="H13" i="15"/>
  <c r="E14" i="15"/>
  <c r="D14" i="15"/>
  <c r="K14" i="15"/>
  <c r="C14" i="15"/>
  <c r="L14" i="15"/>
  <c r="J14" i="15"/>
  <c r="I14" i="15"/>
  <c r="G14" i="15"/>
  <c r="F14" i="15"/>
  <c r="H14" i="15"/>
  <c r="C15" i="15"/>
  <c r="D15" i="15"/>
  <c r="E15" i="15"/>
  <c r="F15" i="15"/>
  <c r="G15" i="15"/>
  <c r="H15" i="15"/>
  <c r="I15" i="15"/>
  <c r="J15" i="15"/>
  <c r="K15" i="15"/>
  <c r="L15" i="15"/>
  <c r="L16" i="15"/>
  <c r="K16" i="15"/>
  <c r="J16" i="15"/>
  <c r="I16" i="15"/>
  <c r="H16" i="15"/>
  <c r="G16" i="15"/>
  <c r="F16" i="15"/>
  <c r="E16" i="15"/>
  <c r="D16" i="15"/>
  <c r="C16" i="15"/>
  <c r="AI14" i="17"/>
  <c r="AI52" i="17"/>
  <c r="AI51" i="17"/>
  <c r="AI49" i="17"/>
  <c r="AI48" i="17"/>
  <c r="AI47" i="17"/>
  <c r="AI46" i="17"/>
  <c r="AI45" i="17"/>
  <c r="AI44" i="17"/>
  <c r="AI43" i="17"/>
  <c r="AI42" i="17"/>
  <c r="AI41" i="17"/>
  <c r="AI40" i="17"/>
  <c r="AI39" i="17"/>
  <c r="AI38" i="17"/>
  <c r="AI37" i="17"/>
  <c r="AI35" i="17"/>
  <c r="AI34" i="17"/>
  <c r="AI27" i="17"/>
  <c r="AI25" i="17"/>
  <c r="AI21" i="17"/>
  <c r="AI20" i="17"/>
  <c r="AI19" i="17"/>
  <c r="AI18" i="17"/>
  <c r="AI17" i="17"/>
  <c r="AI16" i="17"/>
  <c r="AI15" i="17"/>
  <c r="AI13" i="17"/>
  <c r="AI12" i="17"/>
  <c r="AI9" i="17"/>
  <c r="D4" i="17"/>
  <c r="J8" i="17"/>
  <c r="K8" i="17" s="1"/>
  <c r="L8" i="17" s="1"/>
  <c r="M8" i="17" s="1"/>
  <c r="N8" i="17" s="1"/>
  <c r="O8" i="17" s="1"/>
  <c r="P8" i="17" s="1"/>
  <c r="Q8" i="17" s="1"/>
  <c r="R8" i="17" s="1"/>
  <c r="S8" i="17" s="1"/>
  <c r="T8" i="17" s="1"/>
  <c r="U8" i="17" s="1"/>
  <c r="V8" i="17" s="1"/>
  <c r="W8" i="17" s="1"/>
  <c r="X8" i="17" s="1"/>
  <c r="Y8" i="17" s="1"/>
  <c r="Z8" i="17" s="1"/>
  <c r="AA8" i="17" s="1"/>
  <c r="AB8" i="17" s="1"/>
  <c r="AC8" i="17" s="1"/>
  <c r="E3" i="17"/>
  <c r="E2" i="17"/>
  <c r="C1" i="6"/>
  <c r="D2" i="13" s="1"/>
  <c r="G5" i="3"/>
  <c r="C54" i="20"/>
  <c r="C3" i="3"/>
  <c r="H3" i="20"/>
  <c r="H4" i="20"/>
  <c r="H5" i="20"/>
  <c r="H2" i="20"/>
  <c r="C55" i="20"/>
  <c r="C53" i="20"/>
  <c r="C52" i="20"/>
  <c r="C50" i="20"/>
  <c r="C49" i="20"/>
  <c r="C48" i="20"/>
  <c r="C47" i="20"/>
  <c r="C46" i="20"/>
  <c r="C45" i="20"/>
  <c r="C44" i="20"/>
  <c r="C43" i="20"/>
  <c r="C51" i="20"/>
  <c r="K7" i="17"/>
  <c r="L7" i="17" s="1"/>
  <c r="M7" i="17" s="1"/>
  <c r="N7" i="17" s="1"/>
  <c r="O7" i="17" s="1"/>
  <c r="P7" i="17" s="1"/>
  <c r="Q7" i="17" s="1"/>
  <c r="R7" i="17" s="1"/>
  <c r="S7" i="17" s="1"/>
  <c r="T7" i="17" s="1"/>
  <c r="U7" i="17" s="1"/>
  <c r="V7" i="17" s="1"/>
  <c r="W7" i="17" s="1"/>
  <c r="X7" i="17" s="1"/>
  <c r="Y7" i="17" s="1"/>
  <c r="Z7" i="17" s="1"/>
  <c r="AA7" i="17" s="1"/>
  <c r="AB7" i="17" s="1"/>
  <c r="AC7" i="17" s="1"/>
  <c r="I4" i="12"/>
  <c r="W53" i="17"/>
  <c r="L53" i="17"/>
  <c r="AD44" i="17"/>
  <c r="S53" i="17"/>
  <c r="Y22" i="17"/>
  <c r="O22" i="17"/>
  <c r="AD14" i="17"/>
  <c r="AD13" i="17"/>
  <c r="O53" i="17"/>
  <c r="N22" i="17"/>
  <c r="AD12" i="17"/>
  <c r="AH53" i="17"/>
  <c r="AD43" i="17"/>
  <c r="AD51" i="17"/>
  <c r="AD27" i="17"/>
  <c r="T22" i="17"/>
  <c r="AD38" i="17"/>
  <c r="U22" i="17"/>
  <c r="AD24" i="17"/>
  <c r="J53" i="17"/>
  <c r="AD34" i="17"/>
  <c r="AD45" i="17"/>
  <c r="AD9" i="17"/>
  <c r="AD41" i="17"/>
  <c r="Q22" i="17"/>
  <c r="L22" i="17"/>
  <c r="AD42" i="17"/>
  <c r="R53" i="17"/>
  <c r="AD46" i="17"/>
  <c r="AD11" i="17"/>
  <c r="AG53" i="17"/>
  <c r="AC22" i="17"/>
  <c r="AD52" i="17"/>
  <c r="AD16" i="17"/>
  <c r="S22" i="17"/>
  <c r="AD37" i="17"/>
  <c r="AD47" i="17"/>
  <c r="AD20" i="17"/>
  <c r="AD35" i="17"/>
  <c r="AB22" i="17"/>
  <c r="M22" i="17"/>
  <c r="X53" i="17"/>
  <c r="K22" i="17"/>
  <c r="AD48" i="17"/>
  <c r="U53" i="17"/>
  <c r="AD19" i="17"/>
  <c r="AD15" i="17"/>
  <c r="T53" i="17"/>
  <c r="Z22" i="17"/>
  <c r="AD21" i="17"/>
  <c r="V22" i="17"/>
  <c r="Q53" i="17"/>
  <c r="AD17" i="17"/>
  <c r="AB53" i="17"/>
  <c r="Z53" i="17"/>
  <c r="N53" i="17"/>
  <c r="AC53" i="17"/>
  <c r="AD40" i="17"/>
  <c r="P53" i="17"/>
  <c r="M53" i="17"/>
  <c r="AA22" i="17"/>
  <c r="AD18" i="17"/>
  <c r="P22" i="17"/>
  <c r="AH22" i="17"/>
  <c r="AA53" i="17"/>
  <c r="X22" i="17"/>
  <c r="V53" i="17"/>
  <c r="AD39" i="17"/>
  <c r="K53" i="17"/>
  <c r="R22" i="17"/>
  <c r="AD25" i="17"/>
  <c r="W22" i="17"/>
  <c r="J22" i="17"/>
  <c r="Y53" i="17"/>
  <c r="AG22" i="17"/>
  <c r="AD49" i="17"/>
  <c r="E7" i="15" l="1"/>
  <c r="AE50" i="17"/>
  <c r="AE28" i="17"/>
  <c r="AE30" i="17"/>
  <c r="AE32" i="17"/>
  <c r="AE31" i="17"/>
  <c r="AE29" i="17"/>
  <c r="C12" i="15"/>
  <c r="J12" i="15" s="1"/>
  <c r="D12" i="15"/>
  <c r="K12" i="15" s="1"/>
  <c r="O72" i="13"/>
  <c r="T72" i="13" s="1"/>
  <c r="O73" i="13"/>
  <c r="T73" i="13" s="1"/>
  <c r="N73" i="13"/>
  <c r="R73" i="13" s="1"/>
  <c r="N72" i="13"/>
  <c r="R72" i="13" s="1"/>
  <c r="C2" i="11"/>
  <c r="D1" i="18"/>
  <c r="AE26" i="17"/>
  <c r="AE36" i="17"/>
  <c r="AE33" i="17"/>
  <c r="E6" i="15"/>
  <c r="D11" i="15"/>
  <c r="E11" i="15"/>
  <c r="B1" i="15"/>
  <c r="C9" i="15"/>
  <c r="D9" i="15"/>
  <c r="D10" i="15"/>
  <c r="E9" i="15"/>
  <c r="D6" i="15"/>
  <c r="C11" i="15"/>
  <c r="E10" i="15"/>
  <c r="K10" i="15" s="1"/>
  <c r="D7" i="15"/>
  <c r="E8" i="15"/>
  <c r="D8" i="15"/>
  <c r="D1" i="7"/>
  <c r="D1" i="15"/>
  <c r="D1" i="17"/>
  <c r="D2" i="12"/>
  <c r="V116" i="13"/>
  <c r="V46" i="13"/>
  <c r="V12" i="13"/>
  <c r="V74" i="13"/>
  <c r="V59" i="13"/>
  <c r="V55" i="13"/>
  <c r="V52" i="13"/>
  <c r="V47" i="13"/>
  <c r="V115" i="13"/>
  <c r="V113" i="13"/>
  <c r="V109" i="13"/>
  <c r="V75" i="13"/>
  <c r="V108" i="13"/>
  <c r="V76" i="13"/>
  <c r="V63" i="13"/>
  <c r="E9" i="18"/>
  <c r="V112" i="13"/>
  <c r="V110" i="13"/>
  <c r="V107" i="13"/>
  <c r="C10" i="15" s="1"/>
  <c r="V62" i="13"/>
  <c r="V60" i="13"/>
  <c r="V58" i="13"/>
  <c r="V56" i="13"/>
  <c r="J2" i="11"/>
  <c r="E7" i="18" s="1"/>
  <c r="V114" i="13"/>
  <c r="V111" i="13"/>
  <c r="V71" i="13"/>
  <c r="V57" i="13"/>
  <c r="V53" i="13"/>
  <c r="V13" i="13"/>
  <c r="V11" i="13"/>
  <c r="V7" i="13"/>
  <c r="AC54" i="17"/>
  <c r="Q54" i="17"/>
  <c r="AE17" i="17"/>
  <c r="AE51" i="17"/>
  <c r="AE21" i="17"/>
  <c r="AH54" i="17"/>
  <c r="AE41" i="17"/>
  <c r="AE27" i="17"/>
  <c r="AE11" i="17"/>
  <c r="AE47" i="17"/>
  <c r="AE9" i="17"/>
  <c r="AA54" i="17"/>
  <c r="W54" i="17"/>
  <c r="S54" i="17"/>
  <c r="O54" i="17"/>
  <c r="K54" i="17"/>
  <c r="AE42" i="17"/>
  <c r="AE18" i="17"/>
  <c r="AE40" i="17"/>
  <c r="AE34" i="17"/>
  <c r="U54" i="17"/>
  <c r="AE37" i="17"/>
  <c r="AE12" i="17"/>
  <c r="AE19" i="17"/>
  <c r="AE48" i="17"/>
  <c r="AE20" i="17"/>
  <c r="AG54" i="17"/>
  <c r="AE16" i="17"/>
  <c r="AE38" i="17"/>
  <c r="Z54" i="17"/>
  <c r="V54" i="17"/>
  <c r="R54" i="17"/>
  <c r="N54" i="17"/>
  <c r="J54" i="17"/>
  <c r="AE24" i="17"/>
  <c r="AE49" i="17"/>
  <c r="AE44" i="17"/>
  <c r="AE43" i="17"/>
  <c r="AE13" i="17"/>
  <c r="Y54" i="17"/>
  <c r="M54" i="17"/>
  <c r="AE46" i="17"/>
  <c r="AE35" i="17"/>
  <c r="AE14" i="17"/>
  <c r="AE39" i="17"/>
  <c r="AE45" i="17"/>
  <c r="AE52" i="17"/>
  <c r="AE15" i="17"/>
  <c r="AE25" i="17"/>
  <c r="AB54" i="17"/>
  <c r="X54" i="17"/>
  <c r="T54" i="17"/>
  <c r="P54" i="17"/>
  <c r="L54" i="17"/>
  <c r="AI24" i="17"/>
  <c r="AI11" i="17"/>
  <c r="G7" i="15"/>
  <c r="G11" i="15"/>
  <c r="G9" i="15"/>
  <c r="G6" i="15"/>
  <c r="G10" i="15"/>
  <c r="AD22" i="17"/>
  <c r="G8" i="15"/>
  <c r="AD53" i="17"/>
  <c r="G12" i="15"/>
  <c r="K7" i="15" l="1"/>
  <c r="F12" i="15"/>
  <c r="H12" i="15" s="1"/>
  <c r="L12" i="15"/>
  <c r="I12" i="15"/>
  <c r="K6" i="15"/>
  <c r="F11" i="15"/>
  <c r="H11" i="15" s="1"/>
  <c r="V73" i="13"/>
  <c r="Q4" i="13"/>
  <c r="C5" i="18" s="1"/>
  <c r="S4" i="13"/>
  <c r="D5" i="18" s="1"/>
  <c r="V72" i="13"/>
  <c r="K11" i="15"/>
  <c r="I11" i="15"/>
  <c r="I9" i="15"/>
  <c r="K9" i="15"/>
  <c r="L9" i="15" s="1"/>
  <c r="F9" i="15"/>
  <c r="H9" i="15" s="1"/>
  <c r="J11" i="15"/>
  <c r="J9" i="15"/>
  <c r="F10" i="15"/>
  <c r="H10" i="15" s="1"/>
  <c r="L11" i="15"/>
  <c r="C8" i="15"/>
  <c r="F8" i="15" s="1"/>
  <c r="H8" i="15" s="1"/>
  <c r="C7" i="15"/>
  <c r="J7" i="15" s="1"/>
  <c r="J10" i="15"/>
  <c r="L10" i="15"/>
  <c r="I10" i="15"/>
  <c r="K8" i="15"/>
  <c r="D9" i="18"/>
  <c r="C9" i="18"/>
  <c r="D7" i="18"/>
  <c r="C7" i="18"/>
  <c r="E11" i="18"/>
  <c r="D11" i="18"/>
  <c r="C11" i="18"/>
  <c r="AD54" i="17"/>
  <c r="C20" i="18" s="1"/>
  <c r="AI53" i="17"/>
  <c r="AI22" i="17"/>
  <c r="C6" i="15" l="1"/>
  <c r="J6" i="15" s="1"/>
  <c r="U4" i="13"/>
  <c r="E5" i="18" s="1"/>
  <c r="E13" i="18" s="1"/>
  <c r="E14" i="18" s="1"/>
  <c r="L7" i="15"/>
  <c r="I7" i="15"/>
  <c r="F7" i="15"/>
  <c r="H7" i="15" s="1"/>
  <c r="L8" i="15"/>
  <c r="J8" i="15"/>
  <c r="I8" i="15"/>
  <c r="AI54" i="17"/>
  <c r="C13" i="18"/>
  <c r="C14" i="18" s="1"/>
  <c r="D13" i="18"/>
  <c r="D14" i="18" s="1"/>
  <c r="I6" i="15" l="1"/>
  <c r="F6" i="15"/>
  <c r="H6" i="15" s="1"/>
  <c r="L6" i="15"/>
  <c r="B2" i="4"/>
  <c r="L6" i="18" s="1"/>
  <c r="E15" i="18"/>
  <c r="C15" i="18"/>
  <c r="D15" i="18"/>
  <c r="L8" i="18" l="1"/>
  <c r="L11" i="18"/>
  <c r="C19" i="18"/>
  <c r="C23" i="18" s="1"/>
  <c r="C24" i="18" s="1"/>
  <c r="G18" i="18" s="1"/>
  <c r="I4" i="18"/>
  <c r="L13" i="18"/>
  <c r="G21" i="18" l="1"/>
  <c r="G22" i="18"/>
  <c r="G19" i="18"/>
  <c r="G23" i="18"/>
  <c r="G24" i="18"/>
  <c r="G20" i="18"/>
</calcChain>
</file>

<file path=xl/comments1.xml><?xml version="1.0" encoding="utf-8"?>
<comments xmlns="http://schemas.openxmlformats.org/spreadsheetml/2006/main">
  <authors>
    <author>Benjamin Angel</author>
  </authors>
  <commentList>
    <comment ref="B3" authorId="0">
      <text>
        <r>
          <rPr>
            <sz val="8"/>
            <color indexed="81"/>
            <rFont val="Tahoma"/>
            <family val="2"/>
          </rPr>
          <t>This field drives the titles on other tabs.</t>
        </r>
      </text>
    </comment>
    <comment ref="B5" authorId="0">
      <text>
        <r>
          <rPr>
            <sz val="8"/>
            <color indexed="81"/>
            <rFont val="Tahoma"/>
            <family val="2"/>
          </rPr>
          <t>This field drives the titles on other tabs.</t>
        </r>
      </text>
    </comment>
    <comment ref="B8" authorId="0">
      <text>
        <r>
          <rPr>
            <sz val="8"/>
            <color indexed="81"/>
            <rFont val="Tahoma"/>
            <family val="2"/>
          </rPr>
          <t xml:space="preserve">Please enter your track (up to 21) in the existing table. You can add more tracks which will be available from the track dropdown on the tab 'Staffing Plan'. 
The limit for the 'LOE_Summary' however is 21. Please post a comment on https://vox.sapient.com/groups/estimation-tool-ongoing-releases?view=discussions in case you need support. </t>
        </r>
      </text>
    </comment>
  </commentList>
</comments>
</file>

<file path=xl/comments2.xml><?xml version="1.0" encoding="utf-8"?>
<comments xmlns="http://schemas.openxmlformats.org/spreadsheetml/2006/main">
  <authors>
    <author>Benjamin Angel</author>
    <author>WIN764BIT</author>
    <author>Sapient</author>
  </authors>
  <commentList>
    <comment ref="V4" authorId="0">
      <text>
        <r>
          <rPr>
            <sz val="8"/>
            <color indexed="81"/>
            <rFont val="Tahoma"/>
            <family val="2"/>
          </rPr>
          <t>This is the total WBS LOE that is used to calculate the total project LOE in the "Total LOE" tab.</t>
        </r>
      </text>
    </comment>
    <comment ref="C6" authorId="0">
      <text>
        <r>
          <rPr>
            <b/>
            <sz val="8"/>
            <color indexed="81"/>
            <rFont val="Tahoma"/>
            <family val="2"/>
          </rPr>
          <t xml:space="preserve">Required Field. </t>
        </r>
        <r>
          <rPr>
            <sz val="8"/>
            <color indexed="81"/>
            <rFont val="Tahoma"/>
            <family val="2"/>
          </rPr>
          <t xml:space="preserve">The category to which this story belongs, if any.
This field will be imported to JIRA into </t>
        </r>
        <r>
          <rPr>
            <b/>
            <sz val="8"/>
            <color indexed="81"/>
            <rFont val="Tahoma"/>
            <family val="2"/>
          </rPr>
          <t>'Labels'</t>
        </r>
      </text>
    </comment>
    <comment ref="D6" authorId="1">
      <text>
        <r>
          <rPr>
            <b/>
            <sz val="8"/>
            <color indexed="81"/>
            <rFont val="Tahoma"/>
            <family val="2"/>
          </rPr>
          <t>Optional Field</t>
        </r>
      </text>
    </comment>
    <comment ref="E6" authorId="1">
      <text>
        <r>
          <rPr>
            <b/>
            <sz val="8"/>
            <color indexed="81"/>
            <rFont val="Tahoma"/>
            <family val="2"/>
          </rPr>
          <t>Optional Field</t>
        </r>
      </text>
    </comment>
    <comment ref="F6" authorId="0">
      <text>
        <r>
          <rPr>
            <b/>
            <sz val="8"/>
            <color indexed="81"/>
            <rFont val="Tahoma"/>
            <family val="2"/>
          </rPr>
          <t>Optional Field</t>
        </r>
        <r>
          <rPr>
            <sz val="8"/>
            <color indexed="81"/>
            <rFont val="Tahoma"/>
            <family val="2"/>
          </rPr>
          <t xml:space="preserve">. If known, the Track that will deliver this story.
This field will be imported to JIRA into </t>
        </r>
        <r>
          <rPr>
            <b/>
            <sz val="8"/>
            <color indexed="81"/>
            <rFont val="Tahoma"/>
            <family val="2"/>
          </rPr>
          <t xml:space="preserve">'Components'.
</t>
        </r>
        <r>
          <rPr>
            <sz val="8"/>
            <color indexed="81"/>
            <rFont val="Tahoma"/>
            <family val="2"/>
          </rPr>
          <t>Will not be imported to JIRA, if components are not defined in the project</t>
        </r>
      </text>
    </comment>
    <comment ref="G6" authorId="0">
      <text>
        <r>
          <rPr>
            <b/>
            <sz val="8"/>
            <color indexed="81"/>
            <rFont val="Tahoma"/>
            <family val="2"/>
          </rPr>
          <t>Required Field.</t>
        </r>
        <r>
          <rPr>
            <sz val="8"/>
            <color indexed="81"/>
            <rFont val="Tahoma"/>
            <family val="2"/>
          </rPr>
          <t xml:space="preserve"> Stories that comprise the solution.
This field will be imported to JIRA into </t>
        </r>
        <r>
          <rPr>
            <b/>
            <sz val="8"/>
            <color indexed="81"/>
            <rFont val="Tahoma"/>
            <family val="2"/>
          </rPr>
          <t>'Summary'</t>
        </r>
      </text>
    </comment>
    <comment ref="H6" authorId="2">
      <text>
        <r>
          <rPr>
            <b/>
            <sz val="8"/>
            <color indexed="81"/>
            <rFont val="Tahoma"/>
            <family val="2"/>
          </rPr>
          <t xml:space="preserve">Optional </t>
        </r>
        <r>
          <rPr>
            <sz val="8"/>
            <color indexed="81"/>
            <rFont val="Tahoma"/>
            <family val="2"/>
          </rPr>
          <t xml:space="preserve">- If blank, story name will be used
This field will be imported to JIRA into </t>
        </r>
        <r>
          <rPr>
            <b/>
            <sz val="8"/>
            <color indexed="81"/>
            <rFont val="Tahoma"/>
            <family val="2"/>
          </rPr>
          <t>'Description'</t>
        </r>
      </text>
    </comment>
    <comment ref="I6" authorId="0">
      <text>
        <r>
          <rPr>
            <b/>
            <sz val="8"/>
            <color indexed="81"/>
            <rFont val="Tahoma"/>
            <family val="2"/>
          </rPr>
          <t>Recommended Field.</t>
        </r>
        <r>
          <rPr>
            <sz val="8"/>
            <color indexed="81"/>
            <rFont val="Tahoma"/>
            <family val="2"/>
          </rPr>
          <t xml:space="preserve"> A unique identifier for the requirement which this story helps to realize.
This is generally found in the Item # column of the Scope Matrix.
This field will be imported to JIRA into </t>
        </r>
        <r>
          <rPr>
            <b/>
            <sz val="8"/>
            <color indexed="81"/>
            <rFont val="Tahoma"/>
            <family val="2"/>
          </rPr>
          <t>'Scope Reference'</t>
        </r>
      </text>
    </comment>
    <comment ref="J6" authorId="1">
      <text>
        <r>
          <rPr>
            <b/>
            <sz val="8"/>
            <color indexed="81"/>
            <rFont val="Tahoma"/>
            <family val="2"/>
          </rPr>
          <t xml:space="preserve">Optional Field. </t>
        </r>
        <r>
          <rPr>
            <sz val="8"/>
            <color indexed="81"/>
            <rFont val="Tahoma"/>
            <family val="2"/>
          </rPr>
          <t>Enter JIRA issue id of Epic to link the story to the Epic.
This field will be imported to JIRA into 'Epic Name' of the Story.
 Will not be imported to JIRA, if Epic id is not present in the project.</t>
        </r>
      </text>
    </comment>
    <comment ref="K6" authorId="0">
      <text>
        <r>
          <rPr>
            <b/>
            <sz val="8"/>
            <color indexed="81"/>
            <rFont val="Tahoma"/>
            <family val="2"/>
          </rPr>
          <t>Required Field</t>
        </r>
        <r>
          <rPr>
            <sz val="8"/>
            <color indexed="81"/>
            <rFont val="Tahoma"/>
            <family val="2"/>
          </rPr>
          <t xml:space="preserve">. Use this column to selectively remove items from the total estimates (while leaving them intact on this sheet). </t>
        </r>
      </text>
    </comment>
    <comment ref="L6" authorId="1">
      <text>
        <r>
          <rPr>
            <b/>
            <sz val="8"/>
            <color indexed="81"/>
            <rFont val="Tahoma"/>
            <family val="2"/>
          </rPr>
          <t>Optional Field</t>
        </r>
      </text>
    </comment>
    <comment ref="M6" authorId="0">
      <text>
        <r>
          <rPr>
            <b/>
            <sz val="8"/>
            <color indexed="81"/>
            <rFont val="Tahoma"/>
            <family val="2"/>
          </rPr>
          <t xml:space="preserve">Optional </t>
        </r>
        <r>
          <rPr>
            <sz val="8"/>
            <color indexed="81"/>
            <rFont val="Tahoma"/>
            <family val="2"/>
          </rPr>
          <t xml:space="preserve">- Select from a list of story types generated on the Story Types tabs
This field will be imported to JIRA into </t>
        </r>
        <r>
          <rPr>
            <b/>
            <sz val="8"/>
            <color indexed="81"/>
            <rFont val="Tahoma"/>
            <family val="2"/>
          </rPr>
          <t>'Labels'</t>
        </r>
      </text>
    </comment>
    <comment ref="N6" authorId="0">
      <text>
        <r>
          <rPr>
            <b/>
            <sz val="8"/>
            <color indexed="81"/>
            <rFont val="Tahoma"/>
            <family val="2"/>
          </rPr>
          <t>Required Field.</t>
        </r>
        <r>
          <rPr>
            <sz val="8"/>
            <color indexed="81"/>
            <rFont val="Tahoma"/>
            <family val="2"/>
          </rPr>
          <t xml:space="preserve"> The Aggressive But Possible (ABP) estimate for this story.
This is an estimate you expect to hit 50% of the time.</t>
        </r>
      </text>
    </comment>
    <comment ref="O6" authorId="0">
      <text>
        <r>
          <rPr>
            <b/>
            <sz val="8"/>
            <color indexed="81"/>
            <rFont val="Tahoma"/>
            <family val="2"/>
          </rPr>
          <t>Required Filed.</t>
        </r>
        <r>
          <rPr>
            <sz val="8"/>
            <color indexed="81"/>
            <rFont val="Tahoma"/>
            <family val="2"/>
          </rPr>
          <t xml:space="preserve"> The Highly Probable (HP) estimate for this story. 
This is an estimate you expect to hit &gt;90% of the time.</t>
        </r>
      </text>
    </comment>
    <comment ref="P6" authorId="0">
      <text>
        <r>
          <rPr>
            <b/>
            <sz val="8"/>
            <color indexed="81"/>
            <rFont val="Tahoma"/>
            <family val="2"/>
          </rPr>
          <t xml:space="preserve">Required Filed. </t>
        </r>
        <r>
          <rPr>
            <sz val="8"/>
            <color indexed="81"/>
            <rFont val="Tahoma"/>
            <family val="2"/>
          </rPr>
          <t>To be used only when you are estimating several 
stories that have the same ABP and HP.</t>
        </r>
      </text>
    </comment>
    <comment ref="Q6" authorId="2">
      <text>
        <r>
          <rPr>
            <sz val="8"/>
            <color indexed="81"/>
            <rFont val="Tahoma"/>
            <family val="2"/>
          </rPr>
          <t>The yellow columns are intended as scratch areas. You may use them to create sub-totals or perform calculations of your own.</t>
        </r>
      </text>
    </comment>
    <comment ref="R6" authorId="2">
      <text>
        <r>
          <rPr>
            <sz val="8"/>
            <color indexed="81"/>
            <rFont val="Tahoma"/>
            <family val="2"/>
          </rPr>
          <t xml:space="preserve">Calculated in Days
This field will be imported to JIRA into </t>
        </r>
        <r>
          <rPr>
            <b/>
            <sz val="8"/>
            <color indexed="81"/>
            <rFont val="Tahoma"/>
            <family val="2"/>
          </rPr>
          <t>'ABP'</t>
        </r>
      </text>
    </comment>
    <comment ref="S6" authorId="2">
      <text>
        <r>
          <rPr>
            <sz val="8"/>
            <color indexed="81"/>
            <rFont val="Tahoma"/>
            <family val="2"/>
          </rPr>
          <t xml:space="preserve">The yellow columns are intended as scratch areas. You may use them to create sub-totals or perform calculations of your own.
</t>
        </r>
      </text>
    </comment>
    <comment ref="T6" authorId="2">
      <text>
        <r>
          <rPr>
            <sz val="8"/>
            <color indexed="81"/>
            <rFont val="Tahoma"/>
            <family val="2"/>
          </rPr>
          <t xml:space="preserve">Calculated in Days 
This field will be imported to JIRA into </t>
        </r>
        <r>
          <rPr>
            <b/>
            <sz val="8"/>
            <color indexed="81"/>
            <rFont val="Tahoma"/>
            <family val="2"/>
          </rPr>
          <t>'HP'</t>
        </r>
      </text>
    </comment>
    <comment ref="U6" authorId="2">
      <text>
        <r>
          <rPr>
            <sz val="8"/>
            <color indexed="81"/>
            <rFont val="Tahoma"/>
            <family val="2"/>
          </rPr>
          <t xml:space="preserve">The yellow columns are intended as scratch areas. You may use them to create sub-totals or perform calculations of your own.
</t>
        </r>
      </text>
    </comment>
    <comment ref="V6" authorId="0">
      <text>
        <r>
          <rPr>
            <sz val="8"/>
            <color indexed="81"/>
            <rFont val="Tahoma"/>
            <family val="2"/>
          </rPr>
          <t>Calculated in Days. The average of the ABP and HP.
This field will be imported to JIRA into</t>
        </r>
        <r>
          <rPr>
            <b/>
            <sz val="8"/>
            <color indexed="81"/>
            <rFont val="Tahoma"/>
            <family val="2"/>
          </rPr>
          <t xml:space="preserve"> 'Original Estimate'</t>
        </r>
      </text>
    </comment>
    <comment ref="W6" authorId="2">
      <text>
        <r>
          <rPr>
            <b/>
            <sz val="8"/>
            <color indexed="81"/>
            <rFont val="Tahoma"/>
            <family val="2"/>
          </rPr>
          <t>Optional Field.</t>
        </r>
        <r>
          <rPr>
            <sz val="8"/>
            <color indexed="81"/>
            <rFont val="Tahoma"/>
            <family val="2"/>
          </rPr>
          <t xml:space="preserve">
</t>
        </r>
      </text>
    </comment>
  </commentList>
</comments>
</file>

<file path=xl/comments3.xml><?xml version="1.0" encoding="utf-8"?>
<comments xmlns="http://schemas.openxmlformats.org/spreadsheetml/2006/main">
  <authors>
    <author>Benjamin Angel</author>
    <author>spurus</author>
  </authors>
  <commentList>
    <comment ref="B4" authorId="0">
      <text>
        <r>
          <rPr>
            <sz val="8"/>
            <color indexed="81"/>
            <rFont val="Tahoma"/>
            <family val="2"/>
          </rPr>
          <t>The category to which this add-in belongs.</t>
        </r>
      </text>
    </comment>
    <comment ref="C4" authorId="1">
      <text>
        <r>
          <rPr>
            <sz val="8"/>
            <color indexed="81"/>
            <rFont val="Tahoma"/>
            <family val="2"/>
          </rPr>
          <t xml:space="preserve">The project phase to which this add-in belongs.
</t>
        </r>
      </text>
    </comment>
    <comment ref="D4" authorId="0">
      <text>
        <r>
          <rPr>
            <sz val="8"/>
            <color indexed="81"/>
            <rFont val="Tahoma"/>
            <family val="2"/>
          </rPr>
          <t>The project track to which this add-in belongs.</t>
        </r>
      </text>
    </comment>
    <comment ref="E4" authorId="1">
      <text>
        <r>
          <rPr>
            <sz val="8"/>
            <color indexed="81"/>
            <rFont val="Tahoma"/>
            <family val="2"/>
          </rPr>
          <t>The project release to which this add-in belongs.</t>
        </r>
      </text>
    </comment>
    <comment ref="F4" authorId="0">
      <text>
        <r>
          <rPr>
            <sz val="8"/>
            <color indexed="81"/>
            <rFont val="Tahoma"/>
            <family val="2"/>
          </rPr>
          <t>If appropriate, include sub-items (use tabs to indent, or add columns of you prefer)</t>
        </r>
      </text>
    </comment>
    <comment ref="G4" authorId="0">
      <text>
        <r>
          <rPr>
            <sz val="8"/>
            <color indexed="81"/>
            <rFont val="Tahoma"/>
            <family val="2"/>
          </rPr>
          <t>Enter the number of people on the team to account for.  If this field is left blank then a value of 1 is used to determine the LOE.</t>
        </r>
      </text>
    </comment>
    <comment ref="J4" authorId="0">
      <text>
        <r>
          <rPr>
            <sz val="8"/>
            <color indexed="81"/>
            <rFont val="Tahoma"/>
            <family val="2"/>
          </rPr>
          <t>Note that this will reflect the Total LOE including the team size.</t>
        </r>
      </text>
    </comment>
  </commentList>
</comments>
</file>

<file path=xl/comments4.xml><?xml version="1.0" encoding="utf-8"?>
<comments xmlns="http://schemas.openxmlformats.org/spreadsheetml/2006/main">
  <authors>
    <author>Benjamin Angel</author>
    <author>spurus</author>
  </authors>
  <commentList>
    <comment ref="B6" authorId="0">
      <text>
        <r>
          <rPr>
            <sz val="8"/>
            <color indexed="81"/>
            <rFont val="Tahoma"/>
            <family val="2"/>
          </rPr>
          <t>The category to which this risk belongs.</t>
        </r>
      </text>
    </comment>
    <comment ref="C6" authorId="1">
      <text>
        <r>
          <rPr>
            <sz val="8"/>
            <color indexed="81"/>
            <rFont val="Tahoma"/>
            <family val="2"/>
          </rPr>
          <t>The project phase to which this risk belongs.</t>
        </r>
      </text>
    </comment>
    <comment ref="D6" authorId="0">
      <text>
        <r>
          <rPr>
            <sz val="8"/>
            <color indexed="81"/>
            <rFont val="Tahoma"/>
            <family val="2"/>
          </rPr>
          <t>The project track to which this risk belongs.</t>
        </r>
      </text>
    </comment>
    <comment ref="E6" authorId="1">
      <text>
        <r>
          <rPr>
            <sz val="8"/>
            <color indexed="81"/>
            <rFont val="Tahoma"/>
            <family val="2"/>
          </rPr>
          <t>The project release to which this risk belongs.</t>
        </r>
      </text>
    </comment>
    <comment ref="G6" authorId="0">
      <text>
        <r>
          <rPr>
            <sz val="8"/>
            <color indexed="81"/>
            <rFont val="Tahoma"/>
            <family val="2"/>
          </rPr>
          <t>Enter the number of people on the team to account for.  If this field is left blank then a value of 1 is used in the Risk calculation.</t>
        </r>
      </text>
    </comment>
    <comment ref="H6" authorId="0">
      <text>
        <r>
          <rPr>
            <sz val="8"/>
            <color indexed="81"/>
            <rFont val="Tahoma"/>
            <family val="2"/>
          </rPr>
          <t>Enter a value in person days</t>
        </r>
      </text>
    </comment>
    <comment ref="I6" authorId="0">
      <text>
        <r>
          <rPr>
            <sz val="8"/>
            <color indexed="81"/>
            <rFont val="Tahoma"/>
            <family val="2"/>
          </rPr>
          <t>Chance of something happening</t>
        </r>
      </text>
    </comment>
  </commentList>
</comments>
</file>

<file path=xl/comments5.xml><?xml version="1.0" encoding="utf-8"?>
<comments xmlns="http://schemas.openxmlformats.org/spreadsheetml/2006/main">
  <authors>
    <author>Sapient</author>
    <author>Benjamin Angel</author>
  </authors>
  <commentList>
    <comment ref="AF7" authorId="0">
      <text>
        <r>
          <rPr>
            <b/>
            <sz val="8"/>
            <color indexed="81"/>
            <rFont val="Tahoma"/>
            <family val="2"/>
          </rPr>
          <t>Sapient:</t>
        </r>
        <r>
          <rPr>
            <sz val="8"/>
            <color indexed="81"/>
            <rFont val="Tahoma"/>
            <family val="2"/>
          </rPr>
          <t xml:space="preserve">
The fields marked with light green are for capturing additional details. Please note that these will not be uploaded to the DT</t>
        </r>
      </text>
    </comment>
    <comment ref="C10" authorId="1">
      <text>
        <r>
          <rPr>
            <sz val="8"/>
            <color indexed="81"/>
            <rFont val="Tahoma"/>
            <family val="2"/>
          </rPr>
          <t xml:space="preserve">Enter all oversight roles with associated percentage allocation (0-1) for each week of the project. </t>
        </r>
      </text>
    </comment>
  </commentList>
</comments>
</file>

<file path=xl/comments6.xml><?xml version="1.0" encoding="utf-8"?>
<comments xmlns="http://schemas.openxmlformats.org/spreadsheetml/2006/main">
  <authors>
    <author>WIN764BIT</author>
  </authors>
  <commentList>
    <comment ref="C3" authorId="0">
      <text>
        <r>
          <rPr>
            <sz val="8"/>
            <color indexed="81"/>
            <rFont val="Tahoma"/>
            <family val="2"/>
          </rPr>
          <t>On the selection of any header from the dropdown, the respective formulas will be changed accordingly</t>
        </r>
      </text>
    </comment>
  </commentList>
</comments>
</file>

<file path=xl/comments7.xml><?xml version="1.0" encoding="utf-8"?>
<comments xmlns="http://schemas.openxmlformats.org/spreadsheetml/2006/main">
  <authors>
    <author>Benjamin Angel</author>
  </authors>
  <commentList>
    <comment ref="B19" authorId="0">
      <text>
        <r>
          <rPr>
            <sz val="8"/>
            <color indexed="81"/>
            <rFont val="Tahoma"/>
            <family val="2"/>
          </rPr>
          <t>Sum of WBS, add-ins, objective risk and oversight LOE</t>
        </r>
      </text>
    </comment>
    <comment ref="B20" authorId="0">
      <text>
        <r>
          <rPr>
            <sz val="8"/>
            <color indexed="81"/>
            <rFont val="Tahoma"/>
            <family val="2"/>
          </rPr>
          <t>Based on staffing plan</t>
        </r>
      </text>
    </comment>
  </commentList>
</comments>
</file>

<file path=xl/comments8.xml><?xml version="1.0" encoding="utf-8"?>
<comments xmlns="http://schemas.openxmlformats.org/spreadsheetml/2006/main">
  <authors>
    <author>WIN764BIT</author>
  </authors>
  <commentList>
    <comment ref="B8" authorId="0">
      <text>
        <r>
          <rPr>
            <b/>
            <sz val="9"/>
            <color indexed="81"/>
            <rFont val="Tahoma"/>
            <family val="2"/>
          </rPr>
          <t>WIN764BIT:</t>
        </r>
        <r>
          <rPr>
            <sz val="9"/>
            <color indexed="81"/>
            <rFont val="Tahoma"/>
            <family val="2"/>
          </rPr>
          <t xml:space="preserve">
1 for Hours
2 for Percent</t>
        </r>
      </text>
    </comment>
  </commentList>
</comments>
</file>

<file path=xl/comments9.xml><?xml version="1.0" encoding="utf-8"?>
<comments xmlns="http://schemas.openxmlformats.org/spreadsheetml/2006/main">
  <authors>
    <author>Benjamin Angel</author>
  </authors>
  <commentList>
    <comment ref="D1" authorId="0">
      <text>
        <r>
          <rPr>
            <sz val="8"/>
            <color indexed="81"/>
            <rFont val="Tahoma"/>
            <family val="2"/>
          </rPr>
          <t>based on named ranges to retrieve the column index</t>
        </r>
      </text>
    </comment>
  </commentList>
</comments>
</file>

<file path=xl/sharedStrings.xml><?xml version="1.0" encoding="utf-8"?>
<sst xmlns="http://schemas.openxmlformats.org/spreadsheetml/2006/main" count="6102" uniqueCount="1820">
  <si>
    <t>Introduction</t>
  </si>
  <si>
    <t>Instructions</t>
  </si>
  <si>
    <t>Tips</t>
  </si>
  <si>
    <t>System requirements</t>
  </si>
  <si>
    <t>Known problems</t>
  </si>
  <si>
    <t>This Estimation tool is one of many tools that you will use to estimate and plan your project. Other tools you will use are the Scope Matrix, Release plan, Staffing Plan (included as a tab in this tool), Deal Tool (a.k.a. pricing sheet) and the planning features of ResultSpace. Estimation and planning are intertwined activities. This tool is not intended as a guide to the process, but merely as an efficient, consistent capture tool. Included boilerplate content helps teams avoid forgetting commonly conducted activities.</t>
  </si>
  <si>
    <t>Help - Estimation Tool</t>
  </si>
  <si>
    <t>Project Overview</t>
  </si>
  <si>
    <t>Client / Project Name</t>
  </si>
  <si>
    <t>PID</t>
  </si>
  <si>
    <t>Scope Matrix Filename</t>
  </si>
  <si>
    <t>Delivery/Non-Delivery</t>
  </si>
  <si>
    <t>Delivery</t>
  </si>
  <si>
    <t>Non-Delivery</t>
  </si>
  <si>
    <t>list_delivery_types</t>
  </si>
  <si>
    <t>tool_version_check</t>
  </si>
  <si>
    <t>list_sa_phases</t>
  </si>
  <si>
    <t>None</t>
  </si>
  <si>
    <t>Tasks</t>
  </si>
  <si>
    <t>Story Type</t>
  </si>
  <si>
    <t>ABP</t>
  </si>
  <si>
    <t>HP</t>
  </si>
  <si>
    <t>Assumptions</t>
  </si>
  <si>
    <t>&lt;Capture any bounding assumptions that affect the meaning or applicability of this metric&gt;</t>
  </si>
  <si>
    <t>list_story_types</t>
  </si>
  <si>
    <t>S|A Phase</t>
  </si>
  <si>
    <t>Add-ins</t>
  </si>
  <si>
    <t>Category</t>
  </si>
  <si>
    <t>Track</t>
  </si>
  <si>
    <t>Team Size
Multiplier</t>
  </si>
  <si>
    <r>
      <t xml:space="preserve">Add-in Activities
</t>
    </r>
    <r>
      <rPr>
        <sz val="8"/>
        <color theme="1"/>
        <rFont val="Calibri"/>
        <family val="2"/>
        <scheme val="minor"/>
      </rPr>
      <t>Required</t>
    </r>
  </si>
  <si>
    <t>Description / Metrics</t>
  </si>
  <si>
    <r>
      <t xml:space="preserve">LOE
</t>
    </r>
    <r>
      <rPr>
        <sz val="8"/>
        <color theme="1"/>
        <rFont val="Calibri"/>
        <family val="2"/>
        <scheme val="minor"/>
      </rPr>
      <t>Required</t>
    </r>
  </si>
  <si>
    <t>Notes</t>
  </si>
  <si>
    <t>Total LOE
Impact</t>
  </si>
  <si>
    <t>Vacation</t>
  </si>
  <si>
    <t>Illness/Sick Days</t>
  </si>
  <si>
    <t>Travel</t>
  </si>
  <si>
    <t>Training</t>
  </si>
  <si>
    <t>Use specific days when team is known, or 2.5 wks/year per person</t>
  </si>
  <si>
    <r>
      <t xml:space="preserve">Consider different geographies. The average across geographies is 12 days/year per person. There were some major variations observed across geographies. 
US - 7
UK - 19
DE - 18
India - 5
Canada - 10
</t>
    </r>
    <r>
      <rPr>
        <i/>
        <sz val="10"/>
        <color theme="1"/>
        <rFont val="Calibri"/>
        <family val="2"/>
        <scheme val="minor"/>
      </rPr>
      <t>* This data is from January 2006 - December 2006</t>
    </r>
  </si>
  <si>
    <r>
      <t xml:space="preserve">This figure is an average across various geographies. Not much variation in figures were observed across geographies. However the exact numer across geographies is:
US - 1
UK - 4
DE - 4
India - 2
Canada - 3
</t>
    </r>
    <r>
      <rPr>
        <i/>
        <sz val="10"/>
        <color theme="1"/>
        <rFont val="Calibri"/>
        <family val="2"/>
        <scheme val="minor"/>
      </rPr>
      <t>* This data is from January 2006 - December 2006</t>
    </r>
  </si>
  <si>
    <t>Use 3 days/year per Manager and above</t>
  </si>
  <si>
    <t>Use 5 days/year per person</t>
  </si>
  <si>
    <t>Include explicit time the team must travel (if on client site, for example)</t>
  </si>
  <si>
    <t>Use 3 days/year per person</t>
  </si>
  <si>
    <t>Template Row - do not delete</t>
  </si>
  <si>
    <t>Objective Risks</t>
  </si>
  <si>
    <r>
      <t xml:space="preserve">Risk
</t>
    </r>
    <r>
      <rPr>
        <sz val="8"/>
        <color theme="1"/>
        <rFont val="Calibri"/>
        <family val="2"/>
        <scheme val="minor"/>
      </rPr>
      <t>Required</t>
    </r>
  </si>
  <si>
    <r>
      <t xml:space="preserve">Impact (Person Days)
</t>
    </r>
    <r>
      <rPr>
        <sz val="10"/>
        <color theme="1"/>
        <rFont val="Calibri"/>
        <family val="2"/>
        <scheme val="minor"/>
      </rPr>
      <t>Required</t>
    </r>
  </si>
  <si>
    <r>
      <t xml:space="preserve">Likelihood (%)
</t>
    </r>
    <r>
      <rPr>
        <sz val="10"/>
        <color theme="1"/>
        <rFont val="Calibri"/>
        <family val="2"/>
        <scheme val="minor"/>
      </rPr>
      <t>Required</t>
    </r>
  </si>
  <si>
    <r>
      <t xml:space="preserve">Risk Buffer
</t>
    </r>
    <r>
      <rPr>
        <sz val="10"/>
        <color theme="1"/>
        <rFont val="Calibri"/>
        <family val="2"/>
        <scheme val="minor"/>
      </rPr>
      <t>Calculated (Person Days)</t>
    </r>
  </si>
  <si>
    <r>
      <t xml:space="preserve">Risk explanation and mitigation plan
</t>
    </r>
    <r>
      <rPr>
        <sz val="10"/>
        <color theme="1"/>
        <rFont val="Calibri"/>
        <family val="2"/>
        <scheme val="minor"/>
      </rPr>
      <t>Required</t>
    </r>
  </si>
  <si>
    <t>Risk Impact</t>
  </si>
  <si>
    <t>Risk Buffer</t>
  </si>
  <si>
    <t>Team / People</t>
  </si>
  <si>
    <t>Operational</t>
  </si>
  <si>
    <t>Quality</t>
  </si>
  <si>
    <t>Project / Program Mgmt</t>
  </si>
  <si>
    <t>Commercial</t>
  </si>
  <si>
    <t>Platform</t>
  </si>
  <si>
    <t>Stakeholder</t>
  </si>
  <si>
    <t>list_risk_categories</t>
  </si>
  <si>
    <t>Stories</t>
  </si>
  <si>
    <t>!</t>
  </si>
  <si>
    <t>Story Name</t>
  </si>
  <si>
    <t>Scope Reference</t>
  </si>
  <si>
    <t>In</t>
  </si>
  <si>
    <t>Out</t>
  </si>
  <si>
    <t>Description</t>
  </si>
  <si>
    <t>In/Out</t>
  </si>
  <si>
    <t>Multiplier</t>
  </si>
  <si>
    <t>Buffered</t>
  </si>
  <si>
    <t>Total LOE in Days</t>
  </si>
  <si>
    <t>dsgfk lkj dsf</t>
  </si>
  <si>
    <t>Story LOE</t>
  </si>
  <si>
    <t>Add-in LOE</t>
  </si>
  <si>
    <t>Risk LOE</t>
  </si>
  <si>
    <t>Staffed LOE</t>
  </si>
  <si>
    <t>Balance</t>
  </si>
  <si>
    <t>Staffing Plan</t>
  </si>
  <si>
    <t>Project Start Date</t>
  </si>
  <si>
    <t>Project End Date</t>
  </si>
  <si>
    <t>Project Schedule</t>
  </si>
  <si>
    <t>Bill Rate Category</t>
  </si>
  <si>
    <t>India Off-shore</t>
  </si>
  <si>
    <t>Location</t>
  </si>
  <si>
    <t>Title</t>
  </si>
  <si>
    <t>Role</t>
  </si>
  <si>
    <t>Oversight Roles</t>
  </si>
  <si>
    <t>Weeks</t>
  </si>
  <si>
    <t>list_bill_rate_categories</t>
  </si>
  <si>
    <t>Local</t>
  </si>
  <si>
    <t>India On-shore</t>
  </si>
  <si>
    <t>Days</t>
  </si>
  <si>
    <t>Project Net Work</t>
  </si>
  <si>
    <t>Total Oversight Person Days</t>
  </si>
  <si>
    <t>Team Roles</t>
  </si>
  <si>
    <t>Total Team Person Days</t>
  </si>
  <si>
    <t>Grand Total  Person Days</t>
  </si>
  <si>
    <t>Fusion</t>
  </si>
  <si>
    <t>Executable Architecture Release</t>
  </si>
  <si>
    <t>Ongoing Releases</t>
  </si>
  <si>
    <t>Amsterdam</t>
  </si>
  <si>
    <t>Atlanta</t>
  </si>
  <si>
    <t>Boston</t>
  </si>
  <si>
    <t>Calgary</t>
  </si>
  <si>
    <t>Charleston</t>
  </si>
  <si>
    <t>Chicago</t>
  </si>
  <si>
    <t>Denver</t>
  </si>
  <si>
    <t>Detroit</t>
  </si>
  <si>
    <t>Dusseldorf</t>
  </si>
  <si>
    <t>Geneva</t>
  </si>
  <si>
    <t>Halifax</t>
  </si>
  <si>
    <t>Hong Kong</t>
  </si>
  <si>
    <t>Houston</t>
  </si>
  <si>
    <t>Kansas City</t>
  </si>
  <si>
    <t>London</t>
  </si>
  <si>
    <t>Los Angeles</t>
  </si>
  <si>
    <t>Miami</t>
  </si>
  <si>
    <t>Minneapolis</t>
  </si>
  <si>
    <t>Munich</t>
  </si>
  <si>
    <t>New York</t>
  </si>
  <si>
    <t>San Diego</t>
  </si>
  <si>
    <t>San Francisco</t>
  </si>
  <si>
    <t>Schaffhausen</t>
  </si>
  <si>
    <t>Singapore</t>
  </si>
  <si>
    <t>Stockholm</t>
  </si>
  <si>
    <t>Toronto</t>
  </si>
  <si>
    <t>Washington DC</t>
  </si>
  <si>
    <t>Zurich</t>
  </si>
  <si>
    <t>Gurgaon</t>
  </si>
  <si>
    <t>Gurgaon SEZ</t>
  </si>
  <si>
    <t>Bangalore</t>
  </si>
  <si>
    <t>NOIDA</t>
  </si>
  <si>
    <t>list_project_tracks</t>
  </si>
  <si>
    <t>list_offices</t>
  </si>
  <si>
    <t>## Local Offices ##</t>
  </si>
  <si>
    <t>## India Offices ##</t>
  </si>
  <si>
    <t>list_roles</t>
  </si>
  <si>
    <t>Account Director</t>
  </si>
  <si>
    <t>Account Executive</t>
  </si>
  <si>
    <t>Account Manager</t>
  </si>
  <si>
    <t>Art Director</t>
  </si>
  <si>
    <t>Associate Media Operations</t>
  </si>
  <si>
    <t>Benefits</t>
  </si>
  <si>
    <t>Business Analyst</t>
  </si>
  <si>
    <t>Client Executive</t>
  </si>
  <si>
    <t>Content Strategist</t>
  </si>
  <si>
    <t>Copywriter</t>
  </si>
  <si>
    <t>DBA - DB2 UDB</t>
  </si>
  <si>
    <t>DBA - MS SQL Server</t>
  </si>
  <si>
    <t>DBA - Oracle</t>
  </si>
  <si>
    <t>DBA - Sybase</t>
  </si>
  <si>
    <t>Designer</t>
  </si>
  <si>
    <t>Developer - BI</t>
  </si>
  <si>
    <t>Developer - C++</t>
  </si>
  <si>
    <t>Developer - ETL</t>
  </si>
  <si>
    <t>Developer - Java</t>
  </si>
  <si>
    <t>Developer - Java eCommerce</t>
  </si>
  <si>
    <t>Developer - PL/SQL</t>
  </si>
  <si>
    <t>Developer - T-SQL</t>
  </si>
  <si>
    <t>Director Interactive Development</t>
  </si>
  <si>
    <t>Engagement Lead</t>
  </si>
  <si>
    <t>Facilitator</t>
  </si>
  <si>
    <t>Finance</t>
  </si>
  <si>
    <t>Group Account Director</t>
  </si>
  <si>
    <t>Hiring</t>
  </si>
  <si>
    <t>Information Architect</t>
  </si>
  <si>
    <t>Infrastructure Analyst</t>
  </si>
  <si>
    <t>Legal</t>
  </si>
  <si>
    <t>Marketing</t>
  </si>
  <si>
    <t>Media Director</t>
  </si>
  <si>
    <t>Media Planner</t>
  </si>
  <si>
    <t>PMO Administrator</t>
  </si>
  <si>
    <t>PMO Lead</t>
  </si>
  <si>
    <t>People Strategist</t>
  </si>
  <si>
    <t>Program Manager</t>
  </si>
  <si>
    <t>Relationship Developer</t>
  </si>
  <si>
    <t>Search Analyst</t>
  </si>
  <si>
    <t>Search Director</t>
  </si>
  <si>
    <t>Search Manager</t>
  </si>
  <si>
    <t>Senior Associate Media Operations</t>
  </si>
  <si>
    <t>Senior Media Planner</t>
  </si>
  <si>
    <t>Senior Search Analyst</t>
  </si>
  <si>
    <t>Site Developer</t>
  </si>
  <si>
    <t>Specialist - Infrastructure</t>
  </si>
  <si>
    <t>Specialist DBA - DB2 UDB</t>
  </si>
  <si>
    <t>Specialist DBA - MS SQL Server</t>
  </si>
  <si>
    <t>Specialist DBA - Oracle</t>
  </si>
  <si>
    <t>Specialist DBA - Sybase</t>
  </si>
  <si>
    <t>Specialist Test Automation</t>
  </si>
  <si>
    <t>Staffing Strategist</t>
  </si>
  <si>
    <t>Test Analyst Product</t>
  </si>
  <si>
    <t>Test Delivery Manager</t>
  </si>
  <si>
    <t>Test Lead</t>
  </si>
  <si>
    <t>Tester</t>
  </si>
  <si>
    <t>Track Lead - Java</t>
  </si>
  <si>
    <t>list_titles</t>
  </si>
  <si>
    <t>Analyst TRM Process Solutions</t>
  </si>
  <si>
    <t>Associate Business Consulting</t>
  </si>
  <si>
    <t>Associate Business Consulting TRM</t>
  </si>
  <si>
    <t>Associate Creative Director Experience Design</t>
  </si>
  <si>
    <t>Associate Database L1</t>
  </si>
  <si>
    <t>Associate Database L2</t>
  </si>
  <si>
    <t>Associate Infrastructure L1</t>
  </si>
  <si>
    <t>Associate Infrastructure L2</t>
  </si>
  <si>
    <t>Associate Oracle L1</t>
  </si>
  <si>
    <t>Associate Oracle L2</t>
  </si>
  <si>
    <t>Associate Program Management</t>
  </si>
  <si>
    <t>Associate QA L1</t>
  </si>
  <si>
    <t>Associate QA L2</t>
  </si>
  <si>
    <t>Associate Technology L1</t>
  </si>
  <si>
    <t>Associate Technology L2</t>
  </si>
  <si>
    <t>Associate TRM L1</t>
  </si>
  <si>
    <t>Associate TRM L2</t>
  </si>
  <si>
    <t>Associate TRM Process Solutions</t>
  </si>
  <si>
    <t>Associate TRM Process Solutions L1</t>
  </si>
  <si>
    <t>Associate TRM Process Solutions L2</t>
  </si>
  <si>
    <t>Business Analyst TRM Process Solutions</t>
  </si>
  <si>
    <t>Consultant Infrastructure SAP L2</t>
  </si>
  <si>
    <t>Consultant SAP L1</t>
  </si>
  <si>
    <t>Consultant SAP L2</t>
  </si>
  <si>
    <t>Controller TRM Process Solutions</t>
  </si>
  <si>
    <t>Creative Director Experience Design</t>
  </si>
  <si>
    <t>Director Business Consulting</t>
  </si>
  <si>
    <t>Director Business Consulting TRM</t>
  </si>
  <si>
    <t>Director Business Operations</t>
  </si>
  <si>
    <t>Director Content Strategy</t>
  </si>
  <si>
    <t>Director Design</t>
  </si>
  <si>
    <t>Director General Management</t>
  </si>
  <si>
    <t>Director Program Management</t>
  </si>
  <si>
    <t>Director QA</t>
  </si>
  <si>
    <t>Director SAP</t>
  </si>
  <si>
    <t>Director Technology</t>
  </si>
  <si>
    <t>Director TRM</t>
  </si>
  <si>
    <t>Director TRM Process Solutions</t>
  </si>
  <si>
    <t>Divisional Controller TRM Process Solutions</t>
  </si>
  <si>
    <t>Executive Creative Director</t>
  </si>
  <si>
    <t>Expert Database</t>
  </si>
  <si>
    <t>Expert Oracle</t>
  </si>
  <si>
    <t>Expert Platform</t>
  </si>
  <si>
    <t>Expert SAP</t>
  </si>
  <si>
    <t>Head Financial Control TRM Process Solutions</t>
  </si>
  <si>
    <t>Junior Associate Program Management</t>
  </si>
  <si>
    <t>Junior Associate Technology</t>
  </si>
  <si>
    <t>Junior Controller TRM Process Solutions</t>
  </si>
  <si>
    <t>Manager Business Analyst TRM Process Solutions</t>
  </si>
  <si>
    <t>Manager Business Consulting</t>
  </si>
  <si>
    <t>Manager Business Consulting TRM</t>
  </si>
  <si>
    <t>Manager Design</t>
  </si>
  <si>
    <t>Manager Oracle</t>
  </si>
  <si>
    <t>Manager Program Management</t>
  </si>
  <si>
    <t>Manager QA</t>
  </si>
  <si>
    <t>Manager SAP</t>
  </si>
  <si>
    <t>Manager Technology</t>
  </si>
  <si>
    <t>Manager TRM</t>
  </si>
  <si>
    <t>Manager TRM Process Solutions</t>
  </si>
  <si>
    <t>Officer TRM Process Solutions</t>
  </si>
  <si>
    <t>Operations Lead TRM Process Solutions</t>
  </si>
  <si>
    <t>Operations Manager TRM Process Solutions</t>
  </si>
  <si>
    <t>Section Controller TRM Process Solutions</t>
  </si>
  <si>
    <t>Senior Associate Business Consulting</t>
  </si>
  <si>
    <t>Senior Associate Business Consulting TRM</t>
  </si>
  <si>
    <t>Senior Associate Database L1</t>
  </si>
  <si>
    <t>Senior Associate Database L2</t>
  </si>
  <si>
    <t>Senior Associate Infrastructure L1</t>
  </si>
  <si>
    <t>Senior Associate Infrastructure L2</t>
  </si>
  <si>
    <t>Senior Associate Oracle L1</t>
  </si>
  <si>
    <t>Senior Associate Oracle L2</t>
  </si>
  <si>
    <t>Senior Associate Platform L1</t>
  </si>
  <si>
    <t>Senior Associate Platform L2</t>
  </si>
  <si>
    <t>Senior Associate Program Management</t>
  </si>
  <si>
    <t>Senior Associate QA L1</t>
  </si>
  <si>
    <t>Senior Associate QA L2</t>
  </si>
  <si>
    <t>Senior Associate Technology L1</t>
  </si>
  <si>
    <t>Senior Associate Technology L2</t>
  </si>
  <si>
    <t>Senior Associate TRM L1</t>
  </si>
  <si>
    <t>Senior Associate TRM L2</t>
  </si>
  <si>
    <t>Senior Associate TRM Process Solutions</t>
  </si>
  <si>
    <t>Senior Associate TRM Process Solutions L1</t>
  </si>
  <si>
    <t>Senior Associate TRM Process Solutions L2</t>
  </si>
  <si>
    <t>Senior Business Analyst TRM Process Solutions</t>
  </si>
  <si>
    <t>Senior Consultant Infrastructure SAP L1</t>
  </si>
  <si>
    <t>Senior Consultant Infrastructure SAP L2</t>
  </si>
  <si>
    <t>Senior Consultant SAP L1</t>
  </si>
  <si>
    <t>Senior Consultant SAP L2</t>
  </si>
  <si>
    <t>Senior Controller TRM Process Solutions</t>
  </si>
  <si>
    <t>Senior Designer L1</t>
  </si>
  <si>
    <t>Senior Designer L2</t>
  </si>
  <si>
    <t>Senior Manager Business Consulting</t>
  </si>
  <si>
    <t>Senior Manager Business Consulting TRM</t>
  </si>
  <si>
    <t>Senior Manager Content Strategy</t>
  </si>
  <si>
    <t>Senior Manager Design</t>
  </si>
  <si>
    <t>Senior Manager Oracle</t>
  </si>
  <si>
    <t>Senior Manager Program Management</t>
  </si>
  <si>
    <t>Senior Manager QA</t>
  </si>
  <si>
    <t>Senior Manager SAP</t>
  </si>
  <si>
    <t>Senior Manager Technology</t>
  </si>
  <si>
    <t>Senior Manager TRM</t>
  </si>
  <si>
    <t>Senior Manager TRM Process Solutions</t>
  </si>
  <si>
    <t>Senior Officer TRM Process Solutions</t>
  </si>
  <si>
    <t>Senior Specialist Database</t>
  </si>
  <si>
    <t>Senior Specialist Infrastructure</t>
  </si>
  <si>
    <t>Senior Specialist Infrastructure SAP</t>
  </si>
  <si>
    <t>Senior Specialist Oracle</t>
  </si>
  <si>
    <t>Senior Specialist Platform</t>
  </si>
  <si>
    <t>Senior Specialist SAP</t>
  </si>
  <si>
    <t>Specialist Database</t>
  </si>
  <si>
    <t>Specialist Infrastructure</t>
  </si>
  <si>
    <t>Specialist Infrastructure SAP</t>
  </si>
  <si>
    <t>Specialist Oracle</t>
  </si>
  <si>
    <t>Specialist Platform</t>
  </si>
  <si>
    <t>Specialist SAP</t>
  </si>
  <si>
    <t>Sr Manager Business Analyst TRM Process Solutions</t>
  </si>
  <si>
    <t>Team Manager TRM Process Solutions</t>
  </si>
  <si>
    <t>Trainee QA</t>
  </si>
  <si>
    <t>Trainee Technology</t>
  </si>
  <si>
    <t>Vice President Business Consulting</t>
  </si>
  <si>
    <t>Vice President Business Consulting TRM</t>
  </si>
  <si>
    <t>Vice President General Management</t>
  </si>
  <si>
    <t>Vice President Program Management</t>
  </si>
  <si>
    <t>Vice President SAP</t>
  </si>
  <si>
    <t>Vice President Technology</t>
  </si>
  <si>
    <t>Vice President TRM Process Solutions</t>
  </si>
  <si>
    <t>VP Content Strategy</t>
  </si>
  <si>
    <t>VP Design</t>
  </si>
  <si>
    <t>VP Experience Design</t>
  </si>
  <si>
    <t>VP Interactive Development</t>
  </si>
  <si>
    <t>Account Coordinator</t>
  </si>
  <si>
    <t>Account Supervisor</t>
  </si>
  <si>
    <t>Art Director L1</t>
  </si>
  <si>
    <t>Art Director L2</t>
  </si>
  <si>
    <t>Associate Art Director L1</t>
  </si>
  <si>
    <t>Associate Art Director L2</t>
  </si>
  <si>
    <t>Assistant Media Planner</t>
  </si>
  <si>
    <t>Associate Copywriter</t>
  </si>
  <si>
    <t>Associate Creative Director</t>
  </si>
  <si>
    <t>Associate Creative Operations</t>
  </si>
  <si>
    <t>Associate Interactive Program Management</t>
  </si>
  <si>
    <t>Associate Marketing Strategy &amp; Analysis</t>
  </si>
  <si>
    <t>Associate Media Director</t>
  </si>
  <si>
    <t>Associate Producer</t>
  </si>
  <si>
    <t>Associate Production/Logistics L1</t>
  </si>
  <si>
    <t>Associate Production/Logistics L2</t>
  </si>
  <si>
    <t>Associate Search Director</t>
  </si>
  <si>
    <t>Copy writer</t>
  </si>
  <si>
    <t>Creative Director</t>
  </si>
  <si>
    <t>Designer L1</t>
  </si>
  <si>
    <t>Designer L2</t>
  </si>
  <si>
    <t>Director Creative Operations</t>
  </si>
  <si>
    <t>Director Marketing Strategy &amp; Analysis</t>
  </si>
  <si>
    <t>Director Producer</t>
  </si>
  <si>
    <t>Information Architect L1</t>
  </si>
  <si>
    <t>Information Architect L2</t>
  </si>
  <si>
    <t>Interactive Developer L1</t>
  </si>
  <si>
    <t>Interactive Developer L2</t>
  </si>
  <si>
    <t>Jr Associate Interactive Program Management</t>
  </si>
  <si>
    <t>Jr Associate Marketing Strategy &amp; Analysis</t>
  </si>
  <si>
    <t>Jr Copywriter</t>
  </si>
  <si>
    <t>Jr Designer</t>
  </si>
  <si>
    <t>Jr Information Architect</t>
  </si>
  <si>
    <t>Junior Art Director</t>
  </si>
  <si>
    <t>Junior Associate Creative Operations</t>
  </si>
  <si>
    <t>Junior Associate Producer</t>
  </si>
  <si>
    <t>Junior Associate Production/Logistics</t>
  </si>
  <si>
    <t>Junior Interactive Developer</t>
  </si>
  <si>
    <t>Manager Content Strategy</t>
  </si>
  <si>
    <t>Manager Creative Operations</t>
  </si>
  <si>
    <t>Manager Information Architect</t>
  </si>
  <si>
    <t>Manager Interactive Development</t>
  </si>
  <si>
    <t>Manager Interactive Program Management</t>
  </si>
  <si>
    <t>Manager Marketing Strategy &amp; Analysis</t>
  </si>
  <si>
    <t>Manager Producer</t>
  </si>
  <si>
    <t>Manager Production/Logistics</t>
  </si>
  <si>
    <t>Media Supervisor</t>
  </si>
  <si>
    <t>Senior Art Director</t>
  </si>
  <si>
    <t>Senior Associate Creative Operations</t>
  </si>
  <si>
    <t>Senior Associate Marketing Strategy &amp; Analysis</t>
  </si>
  <si>
    <t>Senior Associate Producer</t>
  </si>
  <si>
    <t>Senior Associate Production/Logistics L1</t>
  </si>
  <si>
    <t>Senior Associate Production/Logistics L2</t>
  </si>
  <si>
    <t>Senior Content Strategist</t>
  </si>
  <si>
    <t>Senior Information Architect L1</t>
  </si>
  <si>
    <t>Senior Information Architect L2</t>
  </si>
  <si>
    <t>Senior Interactive Developer L1</t>
  </si>
  <si>
    <t>Senior Interactive Developer L2</t>
  </si>
  <si>
    <t>Senior Manager Creative Operations</t>
  </si>
  <si>
    <t>Senior Manager Interactive Development</t>
  </si>
  <si>
    <t>Senior Manager Marketing Strategy &amp; Analysis</t>
  </si>
  <si>
    <t>Senior Manager Producer</t>
  </si>
  <si>
    <t>Senior Manager Production/Logistics</t>
  </si>
  <si>
    <t>Sr Associate Interactive Program Management</t>
  </si>
  <si>
    <t>Sr Copywriter</t>
  </si>
  <si>
    <t>Sr Manager Interactive Program Management</t>
  </si>
  <si>
    <t>VP Group Account Director</t>
  </si>
  <si>
    <t>VP Creative</t>
  </si>
  <si>
    <t>VP Marketing Strategy &amp; Analysis</t>
  </si>
  <si>
    <t>VP Media</t>
  </si>
  <si>
    <t>Associate Alliances</t>
  </si>
  <si>
    <t>Associate Business Operations</t>
  </si>
  <si>
    <t>Associate Executive Admin</t>
  </si>
  <si>
    <t>Associate Expansion</t>
  </si>
  <si>
    <t>Associate Finance</t>
  </si>
  <si>
    <t>Associate Financial Analyst</t>
  </si>
  <si>
    <t>Associate GPM</t>
  </si>
  <si>
    <t>Associate Hiring</t>
  </si>
  <si>
    <t>Associate Hiring Coordinator</t>
  </si>
  <si>
    <t>Associate IT</t>
  </si>
  <si>
    <t>Associate IT GS Global Support L1</t>
  </si>
  <si>
    <t>Associate IT GS Global Support L2</t>
  </si>
  <si>
    <t>Associate IT Local Support L1</t>
  </si>
  <si>
    <t>Associate IT Local Support L2</t>
  </si>
  <si>
    <t>Associate IT Operations L1</t>
  </si>
  <si>
    <t>Associate IT Operations L2</t>
  </si>
  <si>
    <t>Associate Learning &amp; Development</t>
  </si>
  <si>
    <t>Associate Legal</t>
  </si>
  <si>
    <t>Associate Marketing</t>
  </si>
  <si>
    <t>Associate Office Services</t>
  </si>
  <si>
    <t>Associate People Strategy</t>
  </si>
  <si>
    <t>Associate People Strategy Compensation</t>
  </si>
  <si>
    <t>Associate Staffing</t>
  </si>
  <si>
    <t>Chief Executive Officer</t>
  </si>
  <si>
    <t>Chief Financial Officer</t>
  </si>
  <si>
    <t>Chief Information Officer</t>
  </si>
  <si>
    <t>Consultant DBA Oracle Applications L2</t>
  </si>
  <si>
    <t>Consultant Oracle Applications L1</t>
  </si>
  <si>
    <t>Consultant Oracle Applications L2</t>
  </si>
  <si>
    <t>Director Alliances</t>
  </si>
  <si>
    <t>Director Business Development</t>
  </si>
  <si>
    <t>Director Finance</t>
  </si>
  <si>
    <t>Director Hiring</t>
  </si>
  <si>
    <t>Director IT</t>
  </si>
  <si>
    <t>Director Learning &amp; Development</t>
  </si>
  <si>
    <t>Director Legal</t>
  </si>
  <si>
    <t>Director Marketing</t>
  </si>
  <si>
    <t>Director Office Services</t>
  </si>
  <si>
    <t>Director Operations</t>
  </si>
  <si>
    <t>Director People Strategy</t>
  </si>
  <si>
    <t>Director People Strategy Compensation</t>
  </si>
  <si>
    <t>Director Risk Management</t>
  </si>
  <si>
    <t>Executive Vice President</t>
  </si>
  <si>
    <t>Junior Associate IT</t>
  </si>
  <si>
    <t>Manager Alliances</t>
  </si>
  <si>
    <t>Manager Business Operations</t>
  </si>
  <si>
    <t>Manager Expansion</t>
  </si>
  <si>
    <t>Manager Finance</t>
  </si>
  <si>
    <t>Manager GPM</t>
  </si>
  <si>
    <t>Manager Hiring</t>
  </si>
  <si>
    <t>Manager IT</t>
  </si>
  <si>
    <t>Manager Learning &amp; Development</t>
  </si>
  <si>
    <t>Manager Legal</t>
  </si>
  <si>
    <t>Manager Marketing</t>
  </si>
  <si>
    <t>Manager Office Services</t>
  </si>
  <si>
    <t>Manager Operations</t>
  </si>
  <si>
    <t>Manager People Strategy</t>
  </si>
  <si>
    <t>Manager People Strategy Benefits</t>
  </si>
  <si>
    <t>Manager People Strategy Expatriate</t>
  </si>
  <si>
    <t>Manager Staffing</t>
  </si>
  <si>
    <t>Management Trainee People Success</t>
  </si>
  <si>
    <t>Payroll Analyst Finance</t>
  </si>
  <si>
    <t>Senior Vice President</t>
  </si>
  <si>
    <t>Senior Vice President General Counsel</t>
  </si>
  <si>
    <t>Senior Associate Alliances</t>
  </si>
  <si>
    <t>Senior Associate Business Operations</t>
  </si>
  <si>
    <t>Senior Associate Executive Admin</t>
  </si>
  <si>
    <t>Senior Associate Finance</t>
  </si>
  <si>
    <t>Senior Associate GPM</t>
  </si>
  <si>
    <t>Senior Associate Hiring</t>
  </si>
  <si>
    <t>Senior Associate Hiring Coordinator</t>
  </si>
  <si>
    <t>Senior Associate IT</t>
  </si>
  <si>
    <t>Senior Associate IT GS Global Support L1</t>
  </si>
  <si>
    <t>Senior Associate IT Local Support L1</t>
  </si>
  <si>
    <t>Senior Associate IT Local Support L2</t>
  </si>
  <si>
    <t>Senior Associate IT Operations L1</t>
  </si>
  <si>
    <t>Senior Associate IT Operations L2</t>
  </si>
  <si>
    <t>Senior Associate Learning &amp; Development</t>
  </si>
  <si>
    <t>Senior Associate Legal</t>
  </si>
  <si>
    <t>Senior Associate Marketing</t>
  </si>
  <si>
    <t>Senior Associate Office Services</t>
  </si>
  <si>
    <t>Senior Associate People Strategy</t>
  </si>
  <si>
    <t>Senior Associate Staffing</t>
  </si>
  <si>
    <t>Senior Consultant Oracle Applications L1</t>
  </si>
  <si>
    <t>Senior Consultant Oracle Applications L2</t>
  </si>
  <si>
    <t>Senior Manager Alliances</t>
  </si>
  <si>
    <t>Senior Manager Business Development</t>
  </si>
  <si>
    <t>Senior Manager Business Operations</t>
  </si>
  <si>
    <t>Senior Manager Expansion</t>
  </si>
  <si>
    <t>Senior Manager Finance</t>
  </si>
  <si>
    <t>Senior Manager GPM</t>
  </si>
  <si>
    <t>Senior Manager Hiring</t>
  </si>
  <si>
    <t>Senior Manager IT</t>
  </si>
  <si>
    <t>Senior Manager Learning &amp; Development</t>
  </si>
  <si>
    <t>Senior Manager Legal</t>
  </si>
  <si>
    <t>Senior Manager Marketing</t>
  </si>
  <si>
    <t>Senior Manager Office Services</t>
  </si>
  <si>
    <t>Senior Manager People Strategy</t>
  </si>
  <si>
    <t>Senior Manager People Strategy Benefits</t>
  </si>
  <si>
    <t>Senior Manager People Strategy Compensation</t>
  </si>
  <si>
    <t>Senior Manager Staffing</t>
  </si>
  <si>
    <t>Senior Specialist Executive Admin</t>
  </si>
  <si>
    <t>Senior Specialist IT</t>
  </si>
  <si>
    <t>Senior Specialist DBA Oracle Applications</t>
  </si>
  <si>
    <t>Senior Specialist Oracle Applications</t>
  </si>
  <si>
    <t>Specialist DBA Oracle Applications</t>
  </si>
  <si>
    <t>Specialist Executive Admin</t>
  </si>
  <si>
    <t>Specialist IT</t>
  </si>
  <si>
    <t>Specialist Oracle Applications</t>
  </si>
  <si>
    <t>Vice President Alliances</t>
  </si>
  <si>
    <t>Vice President Business Development</t>
  </si>
  <si>
    <t>Vice President Finance</t>
  </si>
  <si>
    <t>Vice President Learning &amp; Development</t>
  </si>
  <si>
    <t>Vice President Legal</t>
  </si>
  <si>
    <t>Vice President Managing Director</t>
  </si>
  <si>
    <t>Vice President Marketing</t>
  </si>
  <si>
    <t>Vice President People Success</t>
  </si>
  <si>
    <t>Vice President People Strategy</t>
  </si>
  <si>
    <t>Vice President Risk Management</t>
  </si>
  <si>
    <t>## Sapient Internal ##</t>
  </si>
  <si>
    <t>## Delivery Titles ##</t>
  </si>
  <si>
    <t>Objective Risk</t>
  </si>
  <si>
    <t>Oversight</t>
  </si>
  <si>
    <t>Total LOE in Weeks</t>
  </si>
  <si>
    <t>% of Buffered LOE</t>
  </si>
  <si>
    <t>Staffing Reconciliation</t>
  </si>
  <si>
    <t>Total LOE</t>
  </si>
  <si>
    <t>Total Person Days</t>
  </si>
  <si>
    <t>total_loe</t>
  </si>
  <si>
    <t>Difference</t>
  </si>
  <si>
    <t>Percentage</t>
  </si>
  <si>
    <t>Expected LOE Summary</t>
  </si>
  <si>
    <t>Component</t>
  </si>
  <si>
    <t>LOE in Days</t>
  </si>
  <si>
    <t>+</t>
  </si>
  <si>
    <t>RS2</t>
  </si>
  <si>
    <t>Name</t>
  </si>
  <si>
    <t>RS3</t>
  </si>
  <si>
    <t>ID</t>
  </si>
  <si>
    <t>Summary</t>
  </si>
  <si>
    <t>Assigned To</t>
  </si>
  <si>
    <t>Release</t>
  </si>
  <si>
    <t>Iteration</t>
  </si>
  <si>
    <t>Version</t>
  </si>
  <si>
    <t>Export
To</t>
  </si>
  <si>
    <t>Export Column
Position</t>
  </si>
  <si>
    <t>Export Column
Name</t>
  </si>
  <si>
    <t>Sheet Column
Name</t>
  </si>
  <si>
    <t>JIRA</t>
  </si>
  <si>
    <t>Output
Format</t>
  </si>
  <si>
    <t>CSV</t>
  </si>
  <si>
    <t>XLS</t>
  </si>
  <si>
    <t>Output
Filename</t>
  </si>
  <si>
    <t>Story ID</t>
  </si>
  <si>
    <t>TEST</t>
  </si>
  <si>
    <t>In Out</t>
  </si>
  <si>
    <t>list_scope_count</t>
  </si>
  <si>
    <t>tool_version_date</t>
  </si>
  <si>
    <t>tool_vox_address</t>
  </si>
  <si>
    <t>tool_vox_address_title</t>
  </si>
  <si>
    <t>https://vox.sapient.com/groups/estimation-tool-ongoing-releases/</t>
  </si>
  <si>
    <t>BE</t>
  </si>
  <si>
    <t>Developer Mobile Solutions L1</t>
  </si>
  <si>
    <t>Developer Mobile Solutions L2</t>
  </si>
  <si>
    <t>Junior Developer Mobile Solutions</t>
  </si>
  <si>
    <t>Manager Mobile Solutions</t>
  </si>
  <si>
    <t>Senior Developer Mobile Solutions L1</t>
  </si>
  <si>
    <t>Senior Developer Mobile Solutions L2</t>
  </si>
  <si>
    <t>Senior Manager Mobile Solutions</t>
  </si>
  <si>
    <t>Senior Specialist Mobile Solutions</t>
  </si>
  <si>
    <t>Specialist Mobile Solutions</t>
  </si>
  <si>
    <t>Trainee Mobile Solutions</t>
  </si>
  <si>
    <t>Cologne</t>
  </si>
  <si>
    <t>APM</t>
  </si>
  <si>
    <t>Account Operations</t>
  </si>
  <si>
    <t>Analyst Brand Strategy</t>
  </si>
  <si>
    <t>Analyst Consumer &amp; Industry Research</t>
  </si>
  <si>
    <t>Analyst Experience Research</t>
  </si>
  <si>
    <t>Analyst Marketing Analytics</t>
  </si>
  <si>
    <t>Analyst Marketing Strategy</t>
  </si>
  <si>
    <t>Architect - BridgeTrack</t>
  </si>
  <si>
    <t>Architect - C++</t>
  </si>
  <si>
    <t>Architect - Java</t>
  </si>
  <si>
    <t>Architect - MSFT</t>
  </si>
  <si>
    <t>Assembler/Finisher</t>
  </si>
  <si>
    <t>Business Strategy Analyst</t>
  </si>
  <si>
    <t>Business Strategy Analyst - TRM</t>
  </si>
  <si>
    <t>Creative Director - Content Strategy</t>
  </si>
  <si>
    <t>Creative Director - Copy</t>
  </si>
  <si>
    <t>Creative Director - Design</t>
  </si>
  <si>
    <t>Creative Director - IA</t>
  </si>
  <si>
    <t>DBA - BridgeTrack</t>
  </si>
  <si>
    <t>DBA - Oracle ERP</t>
  </si>
  <si>
    <t>Developer - AJAX</t>
  </si>
  <si>
    <t>Developer - BridgeTrack</t>
  </si>
  <si>
    <t>Developer - FLEX</t>
  </si>
  <si>
    <t>Developer - Flash</t>
  </si>
  <si>
    <t>Developer - Java CMS</t>
  </si>
  <si>
    <t>Developer - MSFT</t>
  </si>
  <si>
    <t>Developer - MSFT CMS</t>
  </si>
  <si>
    <t>Digital Printing Technician</t>
  </si>
  <si>
    <t>Director of Technology</t>
  </si>
  <si>
    <t>Engagement Lead - TRM Business Consulting</t>
  </si>
  <si>
    <t>Engagement Lead Brand Strategy</t>
  </si>
  <si>
    <t>Engagement Lead Experience Research</t>
  </si>
  <si>
    <t>Engagement Lead Marketing Analytics</t>
  </si>
  <si>
    <t>Engagement Lead Marketing Strategy</t>
  </si>
  <si>
    <t>Engagement Lead-Business Consulting</t>
  </si>
  <si>
    <t>Interactive Program Director</t>
  </si>
  <si>
    <t>Interactive Program Manager</t>
  </si>
  <si>
    <t>Interactive Project Manager</t>
  </si>
  <si>
    <t>Internal Assignment</t>
  </si>
  <si>
    <t>Junior Associate PM</t>
  </si>
  <si>
    <t>Lead Content Strategist</t>
  </si>
  <si>
    <t>Lead Copywriter</t>
  </si>
  <si>
    <t>Lead Designer</t>
  </si>
  <si>
    <t>Lead Facilitator</t>
  </si>
  <si>
    <t>Lead Information Architect</t>
  </si>
  <si>
    <t>Marketing Operations Lead</t>
  </si>
  <si>
    <t>Media Supervisor - Operations</t>
  </si>
  <si>
    <t>Media Supervisor - Planning</t>
  </si>
  <si>
    <t>Notetaker</t>
  </si>
  <si>
    <t>Ops</t>
  </si>
  <si>
    <t>Oracle Applications Specialist</t>
  </si>
  <si>
    <t>Oracle BI Consultant</t>
  </si>
  <si>
    <t>Oracle BI Manager</t>
  </si>
  <si>
    <t>Oracle ECM Consultant</t>
  </si>
  <si>
    <t>Oracle ECM Manager</t>
  </si>
  <si>
    <t>Oracle Engagement Manager</t>
  </si>
  <si>
    <t>Oracle Functional Consultant</t>
  </si>
  <si>
    <t>Oracle Functional Consultant Manager</t>
  </si>
  <si>
    <t>Oracle Middleware Consultant</t>
  </si>
  <si>
    <t>Oracle Middleware Manager</t>
  </si>
  <si>
    <t>Oracle Specialist BI</t>
  </si>
  <si>
    <t>Oracle Specialist ECM</t>
  </si>
  <si>
    <t>Oracle Specialist Middleware</t>
  </si>
  <si>
    <t>Oracle Sr. BI Consultant</t>
  </si>
  <si>
    <t>Oracle Sr. ECM Consultant</t>
  </si>
  <si>
    <t>Oracle Sr. Functional Consultant</t>
  </si>
  <si>
    <t>Oracle Sr. Middleware Consultant</t>
  </si>
  <si>
    <t>Oracle Sr. Technical Consultant</t>
  </si>
  <si>
    <t>Oracle Technical Consultant</t>
  </si>
  <si>
    <t>Oracle Technical Consultant Manager</t>
  </si>
  <si>
    <t>PM</t>
  </si>
  <si>
    <t>PMO Team Member</t>
  </si>
  <si>
    <t>Practitioner - TRM</t>
  </si>
  <si>
    <t>Print Manager</t>
  </si>
  <si>
    <t>Producer</t>
  </si>
  <si>
    <t>Production Director</t>
  </si>
  <si>
    <t>Production/Logistics Manager</t>
  </si>
  <si>
    <t>Project Lead Brand Strategy</t>
  </si>
  <si>
    <t>Project Lead Consumer &amp; Industry Research</t>
  </si>
  <si>
    <t>Project Lead Experience Research</t>
  </si>
  <si>
    <t>Project Lead Marketing Analytics</t>
  </si>
  <si>
    <t>Project Lead Marketing Strategy</t>
  </si>
  <si>
    <t>Proof Reader</t>
  </si>
  <si>
    <t>Relationship Manager</t>
  </si>
  <si>
    <t>Requirement Analyst - TRM</t>
  </si>
  <si>
    <t>Retail Merchandise Installer</t>
  </si>
  <si>
    <t>SAP ABAP Developer</t>
  </si>
  <si>
    <t>SAP ABAP Team Lead</t>
  </si>
  <si>
    <t>SAP BI ABAP Developer</t>
  </si>
  <si>
    <t>SAP BI Architect - Analytics</t>
  </si>
  <si>
    <t>SAP BI Architect - Data Warehouse</t>
  </si>
  <si>
    <t>SAP BI Consultant - Analytics</t>
  </si>
  <si>
    <t>SAP BI Consultant - MDM</t>
  </si>
  <si>
    <t>SAP BI Consultant - Portal</t>
  </si>
  <si>
    <t>SAP BI Developer - Extraction and Back End</t>
  </si>
  <si>
    <t>SAP BI Expert</t>
  </si>
  <si>
    <t>SAP BI Planning Consultant</t>
  </si>
  <si>
    <t>SAP BI Planning Consultant - BPC</t>
  </si>
  <si>
    <t>SAP BI Portal Architect</t>
  </si>
  <si>
    <t>SAP BI Project Manager</t>
  </si>
  <si>
    <t>SAP BI Reporting Developer - All</t>
  </si>
  <si>
    <t>SAP BI Strategic Consultant - Assessment</t>
  </si>
  <si>
    <t>SAP BI Team Lead</t>
  </si>
  <si>
    <t>SAP BI Technical Consultant - Assessment</t>
  </si>
  <si>
    <t>SAP Consolidations Consultant</t>
  </si>
  <si>
    <t>SAP Consultant - Archiving</t>
  </si>
  <si>
    <t>SAP Consultant - Workflow</t>
  </si>
  <si>
    <t>SAP Consultant - XI</t>
  </si>
  <si>
    <t>SAP Engagement Manager</t>
  </si>
  <si>
    <t>SAP Functional Consultant</t>
  </si>
  <si>
    <t>SAP Functional Team Lead</t>
  </si>
  <si>
    <t>SAP Infra Consultant - Basis and Security</t>
  </si>
  <si>
    <t>SAP Project Manager</t>
  </si>
  <si>
    <t>SAP Sr ABAP Developer</t>
  </si>
  <si>
    <t>SAP Sr BI Consultant - MDM</t>
  </si>
  <si>
    <t>SAP Sr BI Planning Consultant</t>
  </si>
  <si>
    <t>SAP Sr BI Planning Consultant - BPC</t>
  </si>
  <si>
    <t>SAP Sr Consolidations Consultant</t>
  </si>
  <si>
    <t>SAP Sr Functional Consultant</t>
  </si>
  <si>
    <t>SAP Sr Infra Consultant - Basis and Security</t>
  </si>
  <si>
    <t>SAP Technical Team Lead</t>
  </si>
  <si>
    <t>Senior Business Analyst</t>
  </si>
  <si>
    <t>Senior Business Strategy Analyst</t>
  </si>
  <si>
    <t>Senior Business Strategy Analyst - TRM</t>
  </si>
  <si>
    <t>Senior DBA - BridgeTrack</t>
  </si>
  <si>
    <t>Senior DBA - DB2 UDB</t>
  </si>
  <si>
    <t>Senior DBA - MS SQL Server</t>
  </si>
  <si>
    <t>Senior DBA - Oracle</t>
  </si>
  <si>
    <t>Senior DBA - Oracle ERP</t>
  </si>
  <si>
    <t>Senior DBA - Sybase</t>
  </si>
  <si>
    <t>Senior Developer - BI</t>
  </si>
  <si>
    <t>Senior Developer - BridgeTrack</t>
  </si>
  <si>
    <t>Senior Developer - C++ Platform</t>
  </si>
  <si>
    <t>Senior Developer - ETL</t>
  </si>
  <si>
    <t>Senior Developer - Java</t>
  </si>
  <si>
    <t>Senior Developer - Java CMS</t>
  </si>
  <si>
    <t>Senior Developer - Java Platform</t>
  </si>
  <si>
    <t>Senior Developer - Java eCommerce</t>
  </si>
  <si>
    <t>Senior Developer - MSFT</t>
  </si>
  <si>
    <t>Senior Developer - MSFT CMS</t>
  </si>
  <si>
    <t>Senior Developer - MSFT Platform</t>
  </si>
  <si>
    <t>Senior Developer - PL/SQL</t>
  </si>
  <si>
    <t>Senior Developer - T-SQL</t>
  </si>
  <si>
    <t>Senior Infrastructure Analyst</t>
  </si>
  <si>
    <t>Senior Practitioner - TRM</t>
  </si>
  <si>
    <t>Senior Producer</t>
  </si>
  <si>
    <t>Senior Requirement Analyst - TRM</t>
  </si>
  <si>
    <t>Senior Specialist Test Automation</t>
  </si>
  <si>
    <t>Senior Specialist Test Performance</t>
  </si>
  <si>
    <t>Senior Specialist Test Product</t>
  </si>
  <si>
    <t>Senior Technical Strategist</t>
  </si>
  <si>
    <t>Senior Technical Strategist - TRM</t>
  </si>
  <si>
    <t>Senior Test Delivery Manager</t>
  </si>
  <si>
    <t>Shipping Clerk</t>
  </si>
  <si>
    <t>Specialist - C++</t>
  </si>
  <si>
    <t>Specialist - Data Integration</t>
  </si>
  <si>
    <t>Specialist - Java</t>
  </si>
  <si>
    <t>Specialist - Java CMS</t>
  </si>
  <si>
    <t>Specialist - Java eCommerce</t>
  </si>
  <si>
    <t>Specialist - MSFT</t>
  </si>
  <si>
    <t>Specialist - MSFT CMS</t>
  </si>
  <si>
    <t>Specialist BI/DW</t>
  </si>
  <si>
    <t>Specialist DBA - BridgeTrack</t>
  </si>
  <si>
    <t>Specialist DBA - Oracle ERP</t>
  </si>
  <si>
    <t>Specialist Test Performance</t>
  </si>
  <si>
    <t>Specialist Test Product</t>
  </si>
  <si>
    <t>Studio Manager</t>
  </si>
  <si>
    <t>Support Specialist</t>
  </si>
  <si>
    <t>TRM - Collateral</t>
  </si>
  <si>
    <t>TRM - Legal</t>
  </si>
  <si>
    <t>TRM - Loans</t>
  </si>
  <si>
    <t>TRM Commodities - Confirmations</t>
  </si>
  <si>
    <t>TRM Commodities - Middle Office</t>
  </si>
  <si>
    <t>TRM Commodities - Settlements</t>
  </si>
  <si>
    <t>TRM Credit - Confirmations</t>
  </si>
  <si>
    <t>TRM Credit - Middle Office</t>
  </si>
  <si>
    <t>TRM Credit - Settlements</t>
  </si>
  <si>
    <t>TRM Developer - ETRM Package</t>
  </si>
  <si>
    <t>TRM Developer - Financial Package</t>
  </si>
  <si>
    <t>TRM Developer - Java</t>
  </si>
  <si>
    <t>TRM Developer - MSFT</t>
  </si>
  <si>
    <t>TRM Equities - Confirmations</t>
  </si>
  <si>
    <t>TRM Equities - Middle Office</t>
  </si>
  <si>
    <t>TRM Equities - Settlements</t>
  </si>
  <si>
    <t>TRM FXO - Confirmations</t>
  </si>
  <si>
    <t>TRM FXO - Middle Office</t>
  </si>
  <si>
    <t>TRM FXO - Settlements</t>
  </si>
  <si>
    <t>TRM Interest Rates - Confirmations</t>
  </si>
  <si>
    <t>TRM Interest Rates - Middle Office</t>
  </si>
  <si>
    <t>TRM Interest Rates - Settlements</t>
  </si>
  <si>
    <t>TRM Process Solutions - Business Analyst</t>
  </si>
  <si>
    <t>TRM Process Solutions - Program Office Support</t>
  </si>
  <si>
    <t>TRM Process Solutions - Programme Manager</t>
  </si>
  <si>
    <t>TRM Process Solutions - Project Manager</t>
  </si>
  <si>
    <t>TRM Specialist - ETRM Package</t>
  </si>
  <si>
    <t>TRM Specialist - Financial Package</t>
  </si>
  <si>
    <t>TRM Systems Architect - Java</t>
  </si>
  <si>
    <t>TRM Systems Architect - MSFT</t>
  </si>
  <si>
    <t>Technical Strategist</t>
  </si>
  <si>
    <t>Test Analyst</t>
  </si>
  <si>
    <t>Test Analyst Automation</t>
  </si>
  <si>
    <t>Test Analyst Performance</t>
  </si>
  <si>
    <t>Test Delivery Director</t>
  </si>
  <si>
    <t>Test Lead Automation</t>
  </si>
  <si>
    <t>Test Lead Performance</t>
  </si>
  <si>
    <t>Test Lead Product</t>
  </si>
  <si>
    <t>Tester Product</t>
  </si>
  <si>
    <t>Track Lead - BridgeTrack</t>
  </si>
  <si>
    <t>Track Lead - Flash</t>
  </si>
  <si>
    <t>Track Lead - MSFT</t>
  </si>
  <si>
    <t>Track Lead - Site Development</t>
  </si>
  <si>
    <t>VP</t>
  </si>
  <si>
    <t>Expert Infrastructure</t>
  </si>
  <si>
    <t>Associate People Strategy Benefits</t>
  </si>
  <si>
    <t>Associate People Strategy Expatriate</t>
  </si>
  <si>
    <t>Director Expansion</t>
  </si>
  <si>
    <t>Director GPM</t>
  </si>
  <si>
    <t>Director Oracle</t>
  </si>
  <si>
    <t>Director Staffing</t>
  </si>
  <si>
    <t>Manager IT GS Global Support</t>
  </si>
  <si>
    <t>Manager Oracle Applications</t>
  </si>
  <si>
    <t>Manager People Strategy Compensation</t>
  </si>
  <si>
    <t>Senior Associate IT GS Global Support L2</t>
  </si>
  <si>
    <t>Senior Associate People Strategy Benefits</t>
  </si>
  <si>
    <t>Senior Associate People Strategy Compensation</t>
  </si>
  <si>
    <t>Senior Associate People Strategy Expatriate</t>
  </si>
  <si>
    <t>Senior Consultant DBA Oracle Applications L1</t>
  </si>
  <si>
    <t>Senior Consultant DBA Oracle Applications L2</t>
  </si>
  <si>
    <t>Senior Manager Operations</t>
  </si>
  <si>
    <t>Senior Manager Oracle Applications</t>
  </si>
  <si>
    <t>Senior Manager Risk Management</t>
  </si>
  <si>
    <t>Trainee IT</t>
  </si>
  <si>
    <t>Trainee IT GS Global Support</t>
  </si>
  <si>
    <t>Vice President Hiring</t>
  </si>
  <si>
    <t>Vice President IT</t>
  </si>
  <si>
    <t>Vice President Operations</t>
  </si>
  <si>
    <t>ABP Calc</t>
  </si>
  <si>
    <t>HP Calc</t>
  </si>
  <si>
    <t>Buffered Calc</t>
  </si>
  <si>
    <t>Additional Details</t>
  </si>
  <si>
    <t>Rate</t>
  </si>
  <si>
    <t>Cost</t>
  </si>
  <si>
    <t>Comments</t>
  </si>
  <si>
    <t>Total Team Cost</t>
  </si>
  <si>
    <t>Grand Total Cost</t>
  </si>
  <si>
    <t>Director Interactive Program Management</t>
  </si>
  <si>
    <t>Associate Information Security</t>
  </si>
  <si>
    <t>Chief Information Security Officer</t>
  </si>
  <si>
    <t>Director Information Security</t>
  </si>
  <si>
    <t>Manager Information Security</t>
  </si>
  <si>
    <t>Senior Associate Information Security</t>
  </si>
  <si>
    <t>Senior Manager Information Security</t>
  </si>
  <si>
    <t>How to use tabs</t>
  </si>
  <si>
    <t>Preliminary Name</t>
  </si>
  <si>
    <t>Hour Per Day</t>
  </si>
  <si>
    <t>Percent
Allocation</t>
  </si>
  <si>
    <t>Total FTE Days</t>
  </si>
  <si>
    <t>Total Risk LOE (Calculated)</t>
  </si>
  <si>
    <t>Total Add-in LOE in days (Calculated)</t>
  </si>
  <si>
    <t>TITTLE_NAME</t>
  </si>
  <si>
    <t>ROLE_NAME</t>
  </si>
  <si>
    <t>Art Director - Concept</t>
  </si>
  <si>
    <t>Art Director - Design</t>
  </si>
  <si>
    <t>Content Coordinator</t>
  </si>
  <si>
    <t>Copywriter - Concept</t>
  </si>
  <si>
    <t>Copywriter - Content CCC</t>
  </si>
  <si>
    <t>Copywriter - Content Marketing</t>
  </si>
  <si>
    <t>Designer - Production</t>
  </si>
  <si>
    <t>Information Architect - Experience Design</t>
  </si>
  <si>
    <t>Interaction Designer L1</t>
  </si>
  <si>
    <t>Interaction Designer L2</t>
  </si>
  <si>
    <t>Animator - 3D Maya</t>
  </si>
  <si>
    <t>Animator - Flash</t>
  </si>
  <si>
    <t>Interactive Developer - FLEX</t>
  </si>
  <si>
    <t>Interactive Developer - Flash</t>
  </si>
  <si>
    <t>Interactive Developer - HTML/CSS/JS</t>
  </si>
  <si>
    <t>Interactive Developer - Javascript SME</t>
  </si>
  <si>
    <t>Interactive Developer - PHP</t>
  </si>
  <si>
    <t>Search Planner</t>
  </si>
  <si>
    <t>Associate Creative Director - Experience Design</t>
  </si>
  <si>
    <t>BA-Automotive - Requirement Definition</t>
  </si>
  <si>
    <t>BA-Consumer Packaged Goods - Strategy</t>
  </si>
  <si>
    <t>BA-Consumer Packaged Goods-Requirement Definition</t>
  </si>
  <si>
    <t>BA-Healthcare - Requirement Definition</t>
  </si>
  <si>
    <t>BA-Media/Entertainment - Process/OCM</t>
  </si>
  <si>
    <t>BA-Media/Entertainment - Requirement Definition</t>
  </si>
  <si>
    <t>BA-Mobile - Requirement Definition</t>
  </si>
  <si>
    <t>BA-Technology - Requirement Definition</t>
  </si>
  <si>
    <t>BA-Travel - Requirement Definition</t>
  </si>
  <si>
    <t>Associate Creative Director - Copy</t>
  </si>
  <si>
    <t>Associate Creative Director - Design</t>
  </si>
  <si>
    <t>Associate Creative Director - IA</t>
  </si>
  <si>
    <t>DBA</t>
  </si>
  <si>
    <t>Infrastructure Analyst - CMS</t>
  </si>
  <si>
    <t>Infrastructure Analyst - Commerce</t>
  </si>
  <si>
    <t>APM - Interactive</t>
  </si>
  <si>
    <t>Analyst Consumer &amp; Industry Research - UX</t>
  </si>
  <si>
    <t>Analyst Consumer&amp;Industry Research-Social Insights</t>
  </si>
  <si>
    <t>Analyst Experience Research - Discovery</t>
  </si>
  <si>
    <t>Analyst Experience Research - Marketing Strategy</t>
  </si>
  <si>
    <t>Analyst Experience Research - UX Assessment</t>
  </si>
  <si>
    <t>Analyst Experience Research - User Testing</t>
  </si>
  <si>
    <t>Analyst Experience Research-Requirement Definition</t>
  </si>
  <si>
    <t>Editor - Video</t>
  </si>
  <si>
    <t>Developer - ASP/dotNet</t>
  </si>
  <si>
    <t>Developer - ATG</t>
  </si>
  <si>
    <t>Developer - Core Java</t>
  </si>
  <si>
    <t>Developer - Demandware</t>
  </si>
  <si>
    <t>Developer - Documentum</t>
  </si>
  <si>
    <t>Developer - Drupal</t>
  </si>
  <si>
    <t>Developer - Endeca</t>
  </si>
  <si>
    <t>Developer - Fatwire</t>
  </si>
  <si>
    <t>Developer - Hybris</t>
  </si>
  <si>
    <t>Developer - Interwoven</t>
  </si>
  <si>
    <t>Developer - Jahia</t>
  </si>
  <si>
    <t>Developer - Java Portal Package</t>
  </si>
  <si>
    <t>Developer - Java Web Presentation Framework</t>
  </si>
  <si>
    <t>Developer - Jive</t>
  </si>
  <si>
    <t>Developer - Liferay</t>
  </si>
  <si>
    <t>Developer - MVC</t>
  </si>
  <si>
    <t>Developer - Sharepoint</t>
  </si>
  <si>
    <t>Developer - Silverlight</t>
  </si>
  <si>
    <t>Developer - TIBCO</t>
  </si>
  <si>
    <t>Developer - Tridion</t>
  </si>
  <si>
    <t>Developer - WCF</t>
  </si>
  <si>
    <t>Developer - WCS</t>
  </si>
  <si>
    <t>Developer - dotNet</t>
  </si>
  <si>
    <t>Developer - dotNet/Core C#</t>
  </si>
  <si>
    <t>Mobile App Developer</t>
  </si>
  <si>
    <t>Mobile Developer - Android</t>
  </si>
  <si>
    <t>Mobile Developer - C++</t>
  </si>
  <si>
    <t>Mobile Developer - IOS</t>
  </si>
  <si>
    <t>Mobile Developer - Java</t>
  </si>
  <si>
    <t>Creative Director - Experience Design</t>
  </si>
  <si>
    <t>Engagement Lead Business Consulting</t>
  </si>
  <si>
    <t>Engagement Lead Content Strategy</t>
  </si>
  <si>
    <t>Expert Test</t>
  </si>
  <si>
    <t>Specialist DBA</t>
  </si>
  <si>
    <t>Infrastructure Sales Specialist</t>
  </si>
  <si>
    <t>Junior Producer</t>
  </si>
  <si>
    <t>Junior Interaction Designer</t>
  </si>
  <si>
    <t>Lead Information Architect - Experience Design</t>
  </si>
  <si>
    <t>Lead Information Architect - Experience Strategy</t>
  </si>
  <si>
    <t>Manager Interaction Designer</t>
  </si>
  <si>
    <t>Senior Designer</t>
  </si>
  <si>
    <t>Track Lead Interactive Development</t>
  </si>
  <si>
    <t>Lead Consumer &amp; Industry Research</t>
  </si>
  <si>
    <t>Lead Consumer &amp; Industry Research - UX</t>
  </si>
  <si>
    <t>Lead Consumer &amp; Industry Research-Social Insights</t>
  </si>
  <si>
    <t>Lead Experience Research - Discovery</t>
  </si>
  <si>
    <t>Lead Experience Research - Marketing Strategy</t>
  </si>
  <si>
    <t>Lead Experience Research - Requirements Definition</t>
  </si>
  <si>
    <t>Lead Experience Research - UX Strategy</t>
  </si>
  <si>
    <t>Lead Experience Research - User Testing</t>
  </si>
  <si>
    <t>Lead Marketing Analytics</t>
  </si>
  <si>
    <t>Lead Marketing Strategy</t>
  </si>
  <si>
    <t>Track Lead Mobile - Android</t>
  </si>
  <si>
    <t>Track Lead Mobile - IOS</t>
  </si>
  <si>
    <t>Production Artist - Illustrator</t>
  </si>
  <si>
    <t>Production Artist - Storyboard</t>
  </si>
  <si>
    <t>Specialist Test ATG</t>
  </si>
  <si>
    <t>Specialist Test Creative</t>
  </si>
  <si>
    <t>Specialist Test Demandware</t>
  </si>
  <si>
    <t>Specialist Test Hybris</t>
  </si>
  <si>
    <t>Specialist Test Intervowen</t>
  </si>
  <si>
    <t>Specialist Test Mobile</t>
  </si>
  <si>
    <t>Specialist Test Security</t>
  </si>
  <si>
    <t>Specialist Test Tridion</t>
  </si>
  <si>
    <t>Specialist Test WCS</t>
  </si>
  <si>
    <t>Track Lead - Liferay</t>
  </si>
  <si>
    <t>Track Lead - MVC</t>
  </si>
  <si>
    <t>Track Lead - Silverlight</t>
  </si>
  <si>
    <t>Track Lead - TIBCO</t>
  </si>
  <si>
    <t>Track Lead - WCF</t>
  </si>
  <si>
    <t>Senior DBA</t>
  </si>
  <si>
    <t>Senior Infrastructure Analyst - CMS</t>
  </si>
  <si>
    <t>Senior Infrastructure Analyst - Commerce</t>
  </si>
  <si>
    <t>Infrastructure Sales Analyst</t>
  </si>
  <si>
    <t>Test Analyst ATG</t>
  </si>
  <si>
    <t>Test Analyst Creative</t>
  </si>
  <si>
    <t>Test Analyst Demandware</t>
  </si>
  <si>
    <t>Test Analyst Hybris</t>
  </si>
  <si>
    <t>Test Analyst Intervowen</t>
  </si>
  <si>
    <t>Test Analyst Mobile</t>
  </si>
  <si>
    <t>Test Analyst Security</t>
  </si>
  <si>
    <t>Test Analyst Tridion</t>
  </si>
  <si>
    <t>Test Analyst WCS</t>
  </si>
  <si>
    <t>Test Lead ATG</t>
  </si>
  <si>
    <t>Test Lead Creative</t>
  </si>
  <si>
    <t>Test Lead Demandware</t>
  </si>
  <si>
    <t>Test Lead Hybris</t>
  </si>
  <si>
    <t>Test Lead Intervowen</t>
  </si>
  <si>
    <t>Test Lead Mobile</t>
  </si>
  <si>
    <t>Test Lead Security</t>
  </si>
  <si>
    <t>Test Lead Tridion</t>
  </si>
  <si>
    <t>Test Lead WCS</t>
  </si>
  <si>
    <t>Senior Developer - Android</t>
  </si>
  <si>
    <t>Senior Mobile Developer - Java</t>
  </si>
  <si>
    <t>Senior Developer - Drupal</t>
  </si>
  <si>
    <t>Senior Developer - Hybris</t>
  </si>
  <si>
    <t>Senior Developer - IOS</t>
  </si>
  <si>
    <t>Senior Developer - Interwoven</t>
  </si>
  <si>
    <t>Senior Developer - Jahia</t>
  </si>
  <si>
    <t>Senior Developer - Java Portal Package</t>
  </si>
  <si>
    <t>Senior Developer - Java Web Presentation Framework</t>
  </si>
  <si>
    <t>Senior Developer - Jive</t>
  </si>
  <si>
    <t>Senior Developer - Sharepoint</t>
  </si>
  <si>
    <t>Senior Developer - Tridion</t>
  </si>
  <si>
    <t>Senior Developer - WCS</t>
  </si>
  <si>
    <t>Senior Mobile App Developer</t>
  </si>
  <si>
    <t>Senior Mobile Developer - C++</t>
  </si>
  <si>
    <t>Assistant Project Manager</t>
  </si>
  <si>
    <t>Brand Strategist</t>
  </si>
  <si>
    <t>Change Mgmt Consultant</t>
  </si>
  <si>
    <t>Engagement Leader</t>
  </si>
  <si>
    <t>Prototyper</t>
  </si>
  <si>
    <t>Recorder</t>
  </si>
  <si>
    <t>SME</t>
  </si>
  <si>
    <t>Stage Manager</t>
  </si>
  <si>
    <t>Subject Matter Expert</t>
  </si>
  <si>
    <t>Workshop Coordinator</t>
  </si>
  <si>
    <t>Senior Specialist Test</t>
  </si>
  <si>
    <t>Architect - ASP/dotNet</t>
  </si>
  <si>
    <t>Architect - ATG</t>
  </si>
  <si>
    <t>Architect - Core Java</t>
  </si>
  <si>
    <t>Architect - Demandware</t>
  </si>
  <si>
    <t>Architect - Documentum</t>
  </si>
  <si>
    <t>Architect - Drupal</t>
  </si>
  <si>
    <t>Architect - Endeca</t>
  </si>
  <si>
    <t>Architect - Fatwire</t>
  </si>
  <si>
    <t>Architect - Hybris</t>
  </si>
  <si>
    <t>Architect - Interwoven</t>
  </si>
  <si>
    <t>Architect - Jahia</t>
  </si>
  <si>
    <t>Architect - Java Portal Package</t>
  </si>
  <si>
    <t>Architect - Java Web Presentation Framework</t>
  </si>
  <si>
    <t>Architect - Jive</t>
  </si>
  <si>
    <t>Architect - Liferay</t>
  </si>
  <si>
    <t>Architect - MVC</t>
  </si>
  <si>
    <t>Architect - PHP</t>
  </si>
  <si>
    <t>Architect - Sharepoint</t>
  </si>
  <si>
    <t>Architect - Silverlight</t>
  </si>
  <si>
    <t>Architect - TIBCO</t>
  </si>
  <si>
    <t>Architect - Tridion</t>
  </si>
  <si>
    <t>Architect - WCF</t>
  </si>
  <si>
    <t>Architect - WCS</t>
  </si>
  <si>
    <t>Architect - dotNet</t>
  </si>
  <si>
    <t>Architect - dotNet/Core C#</t>
  </si>
  <si>
    <t>Senior Mobile Platform Specialist - Android</t>
  </si>
  <si>
    <t>Senior Mobile Platform Specialist - IOS</t>
  </si>
  <si>
    <t>Senior Interaction Designer L1</t>
  </si>
  <si>
    <t>Senior Interaction Designer L2</t>
  </si>
  <si>
    <t>Motion Graphic Artist - Adobe After Affects</t>
  </si>
  <si>
    <t>Senior Developer - PHP</t>
  </si>
  <si>
    <t>Mobile Platform Specialist - Android</t>
  </si>
  <si>
    <t>Mobile Platform Specialist - IOS</t>
  </si>
  <si>
    <t>Lead Copywriter - Concept</t>
  </si>
  <si>
    <t>Lead Copywriter - Content CCC</t>
  </si>
  <si>
    <t>Lead Copywriter - Content Marketing</t>
  </si>
  <si>
    <t>Executive Creative Director - Content Strategy</t>
  </si>
  <si>
    <t>VP - Content Strategy</t>
  </si>
  <si>
    <t>VP - Design</t>
  </si>
  <si>
    <t>Executive Creative Director - Design</t>
  </si>
  <si>
    <t>Executive Creative Director - Experience Design</t>
  </si>
  <si>
    <t>VP - Experience Design</t>
  </si>
  <si>
    <t>VP - Interactive Development</t>
  </si>
  <si>
    <t>VP - Marketing Strategy and Analytics</t>
  </si>
  <si>
    <t>VP - Media</t>
  </si>
  <si>
    <t>VP - Business Consulting</t>
  </si>
  <si>
    <t>VP - Program Management</t>
  </si>
  <si>
    <t>VP - Technology</t>
  </si>
  <si>
    <t>Production Support Analyst</t>
  </si>
  <si>
    <t>Production Support Engineer</t>
  </si>
  <si>
    <t>Production Support Manager</t>
  </si>
  <si>
    <t>Production Support Senior Analyst</t>
  </si>
  <si>
    <t>Production Support Senior Manager</t>
  </si>
  <si>
    <t>Production Support Team Lead</t>
  </si>
  <si>
    <t>Blank Column reference</t>
  </si>
  <si>
    <t>No Role(s) defined for selected Title - please select another Title</t>
  </si>
  <si>
    <t>Role Message Text</t>
  </si>
  <si>
    <t>IT Generic</t>
  </si>
  <si>
    <t>Prod Support Generic</t>
  </si>
  <si>
    <t>IT Internal Generic</t>
  </si>
  <si>
    <t>Alliances Generic</t>
  </si>
  <si>
    <t>BA-Automotive - Process/OCM</t>
  </si>
  <si>
    <t>BA-Automotive - Strategy</t>
  </si>
  <si>
    <t>BA-Consumer Packaged Goods - Process/OCM</t>
  </si>
  <si>
    <t>BA-Financial Services - Process/OCM</t>
  </si>
  <si>
    <t>BA-Financial Services - Requirement Definition</t>
  </si>
  <si>
    <t>BA-Financial Services - Strategy</t>
  </si>
  <si>
    <t>BA-Healthcare - Process/OCM</t>
  </si>
  <si>
    <t>BA-Healthcare - Strategy</t>
  </si>
  <si>
    <t>BA-Media/Entertainment - Strategy</t>
  </si>
  <si>
    <t>BA-Mobile - Process/OCM</t>
  </si>
  <si>
    <t>BA-Mobile - Strategy</t>
  </si>
  <si>
    <t>BA-Retail/eCommerce - Process/OCM</t>
  </si>
  <si>
    <t>BA-Retail/eCommerce - Requirement Definition</t>
  </si>
  <si>
    <t>BA-Retail/eCommerce - Strategy</t>
  </si>
  <si>
    <t>BA-Technology - Process/OCM</t>
  </si>
  <si>
    <t>BA-Technology - Strategy</t>
  </si>
  <si>
    <t>BA-Travel - Process/OCM</t>
  </si>
  <si>
    <t>BA-Travel - Strategy</t>
  </si>
  <si>
    <t>Executive Admin Generic</t>
  </si>
  <si>
    <t>Expansion Generic</t>
  </si>
  <si>
    <t>Finance Generic</t>
  </si>
  <si>
    <t>PS Generic</t>
  </si>
  <si>
    <t>Hiring Generic</t>
  </si>
  <si>
    <t>Infrastructure Analyst - B&amp;R</t>
  </si>
  <si>
    <t>Legal Generic</t>
  </si>
  <si>
    <t>Marketing Generic</t>
  </si>
  <si>
    <t>Office Services Generic</t>
  </si>
  <si>
    <t>Staffing Generic</t>
  </si>
  <si>
    <t>General Management Generic</t>
  </si>
  <si>
    <t>Business Development Generic</t>
  </si>
  <si>
    <t>Ops Generic</t>
  </si>
  <si>
    <t>Service Delivery Lead</t>
  </si>
  <si>
    <t>Risk Mgmt Generic</t>
  </si>
  <si>
    <t>Sr BA-Automotive - Process/OCM</t>
  </si>
  <si>
    <t>Sr BA-Automotive - Requirement Definition</t>
  </si>
  <si>
    <t>Sr BA-Automotive - Strategy</t>
  </si>
  <si>
    <t>Sr BA-CPG - Process/OCM</t>
  </si>
  <si>
    <t>Sr BA-CPG - Requirement Definition</t>
  </si>
  <si>
    <t>Sr BA-CPG - Strategy</t>
  </si>
  <si>
    <t>Sr BA-Financial Services - Process/OCM</t>
  </si>
  <si>
    <t>Sr BA-Financial Services - Requirement Definition</t>
  </si>
  <si>
    <t>Sr BA-Financial Services - Strategy</t>
  </si>
  <si>
    <t>Sr BA-Healthcare - Process/OCM</t>
  </si>
  <si>
    <t>Sr BA-Healthcare - Requirement Definition</t>
  </si>
  <si>
    <t>Sr BA-Healthcare - Strategy</t>
  </si>
  <si>
    <t>Sr BA-Media/Entertainment - Process/OCM</t>
  </si>
  <si>
    <t>Sr BA-Media/Entertainment - Requirement Definition</t>
  </si>
  <si>
    <t>Sr BA-Media/Entertainment - Strategy</t>
  </si>
  <si>
    <t>Sr BA-Mobile - Process/OCM</t>
  </si>
  <si>
    <t>Sr BA-Mobile - Requirement Definition</t>
  </si>
  <si>
    <t>Sr BA-Mobile - Strategy</t>
  </si>
  <si>
    <t>Sr BA-Retail/eCommerce - Process/OCM</t>
  </si>
  <si>
    <t>Sr BA-Retail/eCommerce - Requirement Definition</t>
  </si>
  <si>
    <t>Sr BA-Retail/eCommerce - Strategy</t>
  </si>
  <si>
    <t>Sr BA-Technology - Process/OCM</t>
  </si>
  <si>
    <t>Sr BA-Technology - Requirement Definition</t>
  </si>
  <si>
    <t>Sr BA-Technology - Strategy</t>
  </si>
  <si>
    <t>Sr BA-Travel - Process/OCM</t>
  </si>
  <si>
    <t>Sr BA-Travel - Requirement Definition</t>
  </si>
  <si>
    <t>Sr BA-Travel - Strategy</t>
  </si>
  <si>
    <t>Senior Infrastructure Analyst - B&amp;R</t>
  </si>
  <si>
    <t>Release Manager - B&amp;R</t>
  </si>
  <si>
    <t>JiraIssueType</t>
  </si>
  <si>
    <t xml:space="preserve"> ABP</t>
  </si>
  <si>
    <t xml:space="preserve"> HP</t>
  </si>
  <si>
    <t>JiraLabel3</t>
  </si>
  <si>
    <t>Story</t>
  </si>
  <si>
    <t>Tracker</t>
  </si>
  <si>
    <t>RS3TrackerType</t>
  </si>
  <si>
    <t>ETC</t>
  </si>
  <si>
    <t>Actual</t>
  </si>
  <si>
    <t>Start Date</t>
  </si>
  <si>
    <t>End Date</t>
  </si>
  <si>
    <t>Acct Director</t>
  </si>
  <si>
    <t>Client Services Director</t>
  </si>
  <si>
    <t>Experience Designer L1</t>
  </si>
  <si>
    <t>Experience Designer L2</t>
  </si>
  <si>
    <t>Junior Associate Business Operations</t>
  </si>
  <si>
    <t>Junior Experience Designer</t>
  </si>
  <si>
    <t>Manager Experience Design</t>
  </si>
  <si>
    <t>Senior Account Director</t>
  </si>
  <si>
    <t>Senior Account Executive</t>
  </si>
  <si>
    <t>Senior Account Manager</t>
  </si>
  <si>
    <t>Senior Experience Designer L1</t>
  </si>
  <si>
    <t>Senior Experience Designer L2</t>
  </si>
  <si>
    <t>VP Client Services</t>
  </si>
  <si>
    <t>Community Manager</t>
  </si>
  <si>
    <t>Social Experience Strategist</t>
  </si>
  <si>
    <t>Developer - Sitecore</t>
  </si>
  <si>
    <t>Architect - ETL</t>
  </si>
  <si>
    <t>Architect - PL/SQL</t>
  </si>
  <si>
    <t>Architect - Sitecore</t>
  </si>
  <si>
    <t>Senior Developer - ATG</t>
  </si>
  <si>
    <t>Senior Developer - Demandware</t>
  </si>
  <si>
    <t>Senior Developer - Endeca</t>
  </si>
  <si>
    <t>Senior Developer - Liferay</t>
  </si>
  <si>
    <t>Senior Developer - MVC</t>
  </si>
  <si>
    <t>Senior Developer - Silverlight</t>
  </si>
  <si>
    <t>Senior Developer - Sitecore</t>
  </si>
  <si>
    <t>Track Lead - ATG</t>
  </si>
  <si>
    <t>Track Lead - Demandware</t>
  </si>
  <si>
    <t>Track Lead - Drupal</t>
  </si>
  <si>
    <t>Track Lead - ETL</t>
  </si>
  <si>
    <t>Track Lead - Endeca</t>
  </si>
  <si>
    <t>Track Lead - Hybris</t>
  </si>
  <si>
    <t>Track Lead - Interwoven</t>
  </si>
  <si>
    <t>Track Lead - PL/SQL</t>
  </si>
  <si>
    <t>Track Lead - Sharepoint</t>
  </si>
  <si>
    <t>Track Lead - Sitecore</t>
  </si>
  <si>
    <t>Track Lead - Tridion</t>
  </si>
  <si>
    <t>Track Lead - WCS</t>
  </si>
  <si>
    <t xml:space="preserve">                             Total LOE in Days</t>
  </si>
  <si>
    <t>&lt;Enter filename of scope matrix&gt;</t>
  </si>
  <si>
    <t>1. The tool has not been tested on different locales (i.e. UK, Germany, India), which may cause some date format issues. For example for German users ensure that your PC is configured to use (.) as the decimal symbol and not (,).
2. There might be small cosmetic issues, please report them on the Vox group: 'Sapient Estimation Tool Help Forum'</t>
  </si>
  <si>
    <t>Phase</t>
  </si>
  <si>
    <t>list_Release</t>
  </si>
  <si>
    <t>list_Phase</t>
  </si>
  <si>
    <t>Sub Category</t>
  </si>
  <si>
    <t>Add in %</t>
  </si>
  <si>
    <t>Risk %</t>
  </si>
  <si>
    <t>Add In + Risk LOE</t>
  </si>
  <si>
    <t>(Add In + Risk LOE)%</t>
  </si>
  <si>
    <t>Grand Total</t>
  </si>
  <si>
    <t>Sum of Buffered</t>
  </si>
  <si>
    <t>Select Track/Phase/release from dropdown in cell B3</t>
  </si>
  <si>
    <t>Enter any Tracks,Phase and Release you will have on your project here:</t>
  </si>
  <si>
    <t>Select View</t>
  </si>
  <si>
    <t>Total</t>
  </si>
  <si>
    <t>(blank)</t>
  </si>
  <si>
    <t>destABPCol = destWBHandle.Sheets(mappingxlSheet).Cells(61, 3).Value</t>
  </si>
  <si>
    <t>destHPCol = destWBHandle.Sheets(mappingxlSheet).Cells(62, 3).Value</t>
  </si>
  <si>
    <t>destAssumptionsCol = destWBHandle.Sheets(mappingxlSheet).Cells(63, 3).Value</t>
  </si>
  <si>
    <t xml:space="preserve">    destCategory = destWBHandle.Sheets(mappingxlSheet).Cells(7, 3).Value</t>
  </si>
  <si>
    <t xml:space="preserve">    destHeaderRow = destWBHandle.Sheets(mappingxlSheet).Cells(7, 4).Value</t>
  </si>
  <si>
    <t xml:space="preserve">    destSubCat = destWBHandle.Sheets(mappingxlSheet).Cells(8, 3).Value</t>
  </si>
  <si>
    <t xml:space="preserve">    destPhase = destWBHandle.Sheets(mappingxlSheet).Cells(9, 3).Value</t>
  </si>
  <si>
    <t xml:space="preserve">    destTrack = destWBHandle.Sheets(mappingxlSheet).Cells(10, 3).Value</t>
  </si>
  <si>
    <t xml:space="preserve">    destStoryName = destWBHandle.Sheets(mappingxlSheet).Cells(11, 3).Value</t>
  </si>
  <si>
    <t xml:space="preserve">    destDescription = destWBHandle.Sheets(mappingxlSheet).Cells(12, 3).Value</t>
  </si>
  <si>
    <t xml:space="preserve">    destScope = destWBHandle.Sheets(mappingxlSheet).Cells(13, 3).Value</t>
  </si>
  <si>
    <t xml:space="preserve">    destInOut = destWBHandle.Sheets(mappingxlSheet).Cells(14, 3).Value</t>
  </si>
  <si>
    <t xml:space="preserve">    destRel = destWBHandle.Sheets(mappingxlSheet).Cells(15, 3).Value</t>
  </si>
  <si>
    <t xml:space="preserve">    destStoryType = destWBHandle.Sheets(mappingxlSheet).Cells(16, 3).Value</t>
  </si>
  <si>
    <t xml:space="preserve">    destABP = destWBHandle.Sheets(mappingxlSheet).Cells(17, 3).Value</t>
  </si>
  <si>
    <t xml:space="preserve">    destHP = destWBHandle.Sheets(mappingxlSheet).Cells(18, 3).Value</t>
  </si>
  <si>
    <t xml:space="preserve">    destMult = destWBHandle.Sheets(mappingxlSheet).Cells(19, 3).Value</t>
  </si>
  <si>
    <t xml:space="preserve">    destABPCalc = destWBHandle.Sheets(mappingxlSheet).Cells(20, 3).Value</t>
  </si>
  <si>
    <t xml:space="preserve">    destHPCalc = destWBHandle.Sheets(mappingxlSheet).Cells(21, 3).Value</t>
  </si>
  <si>
    <t xml:space="preserve">    destBufferCalc = destWBHandle.Sheets(mappingxlSheet).Cells(22, 3).Value</t>
  </si>
  <si>
    <t xml:space="preserve">    destNotes = destWBHandle.Sheets(mappingxlSheet).Cells(23, 3).Value</t>
  </si>
  <si>
    <t xml:space="preserve">    destPrjStartDateCol = destWBHandle.Sheets(mappingxlSheet).Cells(42, 3).Value</t>
  </si>
  <si>
    <t xml:space="preserve">    destBillRateCat = destWBHandle.Sheets(mappingxlSheet).Cells(46, 3).Value</t>
  </si>
  <si>
    <t xml:space="preserve">    destBillRateCatRow = destWBHandle.Sheets(mappingxlSheet).Cells(46, 4).Value</t>
  </si>
  <si>
    <t xml:space="preserve">    destLoc = destWBHandle.Sheets(mappingxlSheet).Cells(47, 3).Value</t>
  </si>
  <si>
    <t xml:space="preserve">    destTitle = destWBHandle.Sheets(mappingxlSheet).Cells(48, 3).Value</t>
  </si>
  <si>
    <t xml:space="preserve">    destRole = destWBHandle.Sheets(mappingxlSheet).Cells(49, 3).Value</t>
  </si>
  <si>
    <t xml:space="preserve">    destPhase = destWBHandle.Sheets(mappingxlSheet).Cells(50, 3).Value</t>
  </si>
  <si>
    <t xml:space="preserve">    destTrack = destWBHandle.Sheets(mappingxlSheet).Cells(51, 3).Value</t>
  </si>
  <si>
    <t xml:space="preserve">    destRel = destWBHandle.Sheets(mappingxlSheet).Cells(52, 3).Value</t>
  </si>
  <si>
    <t xml:space="preserve">    destFirstDate = destWBHandle.Sheets(mappingxlSheet).Cells(53, 3).Value</t>
  </si>
  <si>
    <t xml:space="preserve">    destPreName = destWBHandle.Sheets(mappingxlSheet).Cells(54, 3).Value</t>
  </si>
  <si>
    <t xml:space="preserve">    destRate = destWBHandle.Sheets(mappingxlSheet).Cells(55, 3).Value</t>
  </si>
  <si>
    <t xml:space="preserve">    destHrsPerDay = destWBHandle.Sheets(mappingxlSheet).Cells(56, 3).Value</t>
  </si>
  <si>
    <t xml:space="preserve">    destComments = destWBHandle.Sheets(mappingxlSheet).Cells(57, 3).Value</t>
  </si>
  <si>
    <t xml:space="preserve">    destPrjStartDaterow = destWBHandle.Sheets(mappingxlSheet).Cells(42, 4).Value</t>
  </si>
  <si>
    <t>destCat = destWBHandle.Sheets(mappingxlSheet).Cells(33, 3).Value</t>
  </si>
  <si>
    <t>destPhase = destWBHandle.Sheets(mappingxlSheet).Cells(34, 3).Value</t>
  </si>
  <si>
    <t>destTrack = destWBHandle.Sheets(mappingxlSheet).Cells(35, 3).Value</t>
  </si>
  <si>
    <t>destrelease = destWBHandle.Sheets(mappingxlSheet).Cells(36, 3).Value</t>
  </si>
  <si>
    <t>destRisk = destWBHandle.Sheets(mappingxlSheet).Cells(37, 3).Value</t>
  </si>
  <si>
    <t>destTeamSize = destWBHandle.Sheets(mappingxlSheet).Cells(38, 3).Value</t>
  </si>
  <si>
    <t>destImpact = destWBHandle.Sheets(mappingxlSheet).Cells(39, 3).Value</t>
  </si>
  <si>
    <t>destLikelihood = destWBHandle.Sheets(mappingxlSheet).Cells(40, 3).Value</t>
  </si>
  <si>
    <t>destMitiAndRiskCol = destWBHandle.Sheets(mappingxlSheet).Cells(58, 3).Value</t>
  </si>
  <si>
    <t>destMitiAndRiskRow = destWBHandle.Sheets(mappingxlSheet).Cells(58, 4).Value</t>
  </si>
  <si>
    <t>destCat = destWBHandle.Sheets(mappingxlSheet).Cells(24, 3).Value</t>
  </si>
  <si>
    <t>destPhase = destWBHandle.Sheets(mappingxlSheet).Cells(25, 3).Value</t>
  </si>
  <si>
    <t>destTrack = destWBHandle.Sheets(mappingxlSheet).Cells(26, 3).Value</t>
  </si>
  <si>
    <t>destrelease = destWBHandle.Sheets(mappingxlSheet).Cells(27, 3).Value</t>
  </si>
  <si>
    <t>destAddinActivities = destWBHandle.Sheets(mappingxlSheet).Cells(28, 3).Value</t>
  </si>
  <si>
    <t>destTeamSize = destWBHandle.Sheets(mappingxlSheet).Cells(29, 3).Value</t>
  </si>
  <si>
    <t>destDesMetrics = destWBHandle.Sheets(mappingxlSheet).Cells(30, 3).Value</t>
  </si>
  <si>
    <t>destLOEReq = destWBHandle.Sheets(mappingxlSheet).Cells(31, 3).Value</t>
  </si>
  <si>
    <t>destLOEImpactCol = destWBHandle.Sheets(mappingxlSheet).Cells(59, 3).Value</t>
  </si>
  <si>
    <t>destLOEImpactRow = destWBHandle.Sheets(mappingxlSheet).Cells(59, 4).Value</t>
  </si>
  <si>
    <t>destNotes = destWBHandle.Sheets(mappingxlSheet).Cells(32, 3).Value</t>
  </si>
  <si>
    <t xml:space="preserve"> 3).Value</t>
  </si>
  <si>
    <t xml:space="preserve"> 4).Value</t>
  </si>
  <si>
    <t>asdsa</t>
  </si>
  <si>
    <t>dsad</t>
  </si>
  <si>
    <t>sads</t>
  </si>
  <si>
    <t>Add-Ins</t>
  </si>
  <si>
    <t>Add-in Activities
Required</t>
  </si>
  <si>
    <t>LOE
Required</t>
  </si>
  <si>
    <t>Risk
Required</t>
  </si>
  <si>
    <t>Impact (Person Days)
Required</t>
  </si>
  <si>
    <t>Likelihood (%)
Required</t>
  </si>
  <si>
    <t>Risk explanation and mitigation plan
Required</t>
  </si>
  <si>
    <t>destFirstDate</t>
  </si>
  <si>
    <t>Story Types</t>
  </si>
  <si>
    <t>Assumption</t>
  </si>
  <si>
    <t>Risk Buffer
Calculated (Person Days)</t>
  </si>
  <si>
    <t>(All)</t>
  </si>
  <si>
    <t>Category LOE Summary (Story LOE)</t>
  </si>
  <si>
    <t>Track LOE Summary by Phase (Story LOE)</t>
  </si>
  <si>
    <t>Specialist Legal</t>
  </si>
  <si>
    <t>Director Application  Management</t>
  </si>
  <si>
    <t>• Macros must be enabled for this template to work correctly.
• You will be prompted to install the Analysis Toolpack if it is not already installed. This is required for the template to work correctly. Refer to instructions below for more information.
• Supported versions include Excel 2010 for Windows and Excel 2011(version 14.3.9 &amp; above) for Mac.
• This Estimation Tool is compatible with Deal Tool versions 2.0 and above</t>
  </si>
  <si>
    <t>Mumbai</t>
  </si>
  <si>
    <t>Brisbane</t>
  </si>
  <si>
    <t>Melbourne</t>
  </si>
  <si>
    <t>Milan</t>
  </si>
  <si>
    <t>Shanghai</t>
  </si>
  <si>
    <t>Sydney</t>
  </si>
  <si>
    <t>LOE Summary</t>
  </si>
  <si>
    <t>ISSUE ID</t>
  </si>
  <si>
    <t xml:space="preserve"> PARENT ID</t>
  </si>
  <si>
    <t xml:space="preserve"> </t>
  </si>
  <si>
    <t>Charlotte</t>
  </si>
  <si>
    <t>Portland</t>
  </si>
  <si>
    <t>President</t>
  </si>
  <si>
    <t>Fellow Infrastructure</t>
  </si>
  <si>
    <r>
      <t xml:space="preserve">The use of this tool is not entirely linear. Use this as a general guide, and please post any questions you may have on the </t>
    </r>
    <r>
      <rPr>
        <sz val="9"/>
        <rFont val="Calibri"/>
        <family val="2"/>
      </rPr>
      <t xml:space="preserve">Sapient Estimation Tool Help Forum on Vox.
</t>
    </r>
    <r>
      <rPr>
        <b/>
        <sz val="9"/>
        <rFont val="Calibri"/>
        <family val="2"/>
      </rPr>
      <t>1.</t>
    </r>
    <r>
      <rPr>
        <sz val="9"/>
        <rFont val="Calibri"/>
        <family val="2"/>
      </rPr>
      <t xml:space="preserve"> Capture basic info for your project on the </t>
    </r>
    <r>
      <rPr>
        <i/>
        <sz val="9"/>
        <rFont val="Calibri"/>
        <family val="2"/>
      </rPr>
      <t>Project Overview</t>
    </r>
    <r>
      <rPr>
        <sz val="9"/>
        <rFont val="Calibri"/>
        <family val="2"/>
      </rPr>
      <t xml:space="preserve"> tab. This will drive headers to facilitate printing.
</t>
    </r>
    <r>
      <rPr>
        <b/>
        <sz val="9"/>
        <rFont val="Calibri"/>
        <family val="2"/>
      </rPr>
      <t>2.</t>
    </r>
    <r>
      <rPr>
        <sz val="9"/>
        <rFont val="Calibri"/>
        <family val="2"/>
      </rPr>
      <t xml:space="preserve"> Identify the metrics for the project and enter these in the </t>
    </r>
    <r>
      <rPr>
        <i/>
        <sz val="9"/>
        <rFont val="Calibri"/>
        <family val="2"/>
      </rPr>
      <t>Story Type</t>
    </r>
    <r>
      <rPr>
        <sz val="9"/>
        <rFont val="Calibri"/>
        <family val="2"/>
      </rPr>
      <t xml:space="preserve"> tab.
</t>
    </r>
    <r>
      <rPr>
        <b/>
        <sz val="9"/>
        <rFont val="Calibri"/>
        <family val="2"/>
      </rPr>
      <t>3.</t>
    </r>
    <r>
      <rPr>
        <sz val="9"/>
        <rFont val="Calibri"/>
        <family val="2"/>
      </rPr>
      <t xml:space="preserve"> Populate the tasks for every one of the metrics identified/ selected.
</t>
    </r>
    <r>
      <rPr>
        <b/>
        <sz val="9"/>
        <rFont val="Calibri"/>
        <family val="2"/>
      </rPr>
      <t>4.</t>
    </r>
    <r>
      <rPr>
        <sz val="9"/>
        <rFont val="Calibri"/>
        <family val="2"/>
      </rPr>
      <t xml:space="preserve"> Decompose your solution requirements into stories on the </t>
    </r>
    <r>
      <rPr>
        <i/>
        <sz val="9"/>
        <rFont val="Calibri"/>
        <family val="2"/>
      </rPr>
      <t>Stories</t>
    </r>
    <r>
      <rPr>
        <sz val="9"/>
        <rFont val="Calibri"/>
        <family val="2"/>
      </rPr>
      <t xml:space="preserve"> tab.
</t>
    </r>
    <r>
      <rPr>
        <b/>
        <sz val="9"/>
        <rFont val="Calibri"/>
        <family val="2"/>
      </rPr>
      <t>5.</t>
    </r>
    <r>
      <rPr>
        <sz val="9"/>
        <rFont val="Calibri"/>
        <family val="2"/>
      </rPr>
      <t xml:space="preserve"> Enter your ABP/ HP estimates for each story.
</t>
    </r>
    <r>
      <rPr>
        <b/>
        <sz val="9"/>
        <rFont val="Calibri"/>
        <family val="2"/>
      </rPr>
      <t>6.</t>
    </r>
    <r>
      <rPr>
        <sz val="9"/>
        <rFont val="Calibri"/>
        <family val="2"/>
      </rPr>
      <t xml:space="preserve"> Create a release plan outside this tool, assigning each story to an iteration.
</t>
    </r>
    <r>
      <rPr>
        <b/>
        <sz val="9"/>
        <rFont val="Calibri"/>
        <family val="2"/>
      </rPr>
      <t xml:space="preserve">7. </t>
    </r>
    <r>
      <rPr>
        <sz val="9"/>
        <rFont val="Calibri"/>
        <family val="2"/>
      </rPr>
      <t xml:space="preserve">Create </t>
    </r>
    <r>
      <rPr>
        <i/>
        <sz val="9"/>
        <rFont val="Calibri"/>
        <family val="2"/>
      </rPr>
      <t>Add-ins</t>
    </r>
    <r>
      <rPr>
        <sz val="9"/>
        <rFont val="Calibri"/>
        <family val="2"/>
      </rPr>
      <t xml:space="preserve"> (some of which are based on the level of staffing).
</t>
    </r>
    <r>
      <rPr>
        <b/>
        <sz val="9"/>
        <rFont val="Calibri"/>
        <family val="2"/>
      </rPr>
      <t xml:space="preserve">8. </t>
    </r>
    <r>
      <rPr>
        <sz val="9"/>
        <rFont val="Calibri"/>
        <family val="2"/>
      </rPr>
      <t xml:space="preserve">Document </t>
    </r>
    <r>
      <rPr>
        <i/>
        <sz val="9"/>
        <rFont val="Calibri"/>
        <family val="2"/>
      </rPr>
      <t>Objective Risks</t>
    </r>
    <r>
      <rPr>
        <sz val="9"/>
        <rFont val="Calibri"/>
        <family val="2"/>
      </rPr>
      <t xml:space="preserve">, and include mitigation plans (where relevant). Identify any residual risk and identify a buffer size.
</t>
    </r>
    <r>
      <rPr>
        <b/>
        <sz val="9"/>
        <rFont val="Calibri"/>
        <family val="2"/>
      </rPr>
      <t>9.</t>
    </r>
    <r>
      <rPr>
        <sz val="9"/>
        <rFont val="Calibri"/>
        <family val="2"/>
      </rPr>
      <t xml:space="preserve"> Transfer the resource needs from your release plan onto the </t>
    </r>
    <r>
      <rPr>
        <i/>
        <sz val="9"/>
        <rFont val="Calibri"/>
        <family val="2"/>
      </rPr>
      <t>Staffing Plan</t>
    </r>
    <r>
      <rPr>
        <sz val="9"/>
        <rFont val="Calibri"/>
        <family val="2"/>
      </rPr>
      <t xml:space="preserve"> tab.
</t>
    </r>
    <r>
      <rPr>
        <b/>
        <sz val="9"/>
        <rFont val="Calibri"/>
        <family val="2"/>
      </rPr>
      <t>10.</t>
    </r>
    <r>
      <rPr>
        <sz val="9"/>
        <rFont val="Calibri"/>
        <family val="2"/>
      </rPr>
      <t xml:space="preserve"> Use the </t>
    </r>
    <r>
      <rPr>
        <i/>
        <sz val="9"/>
        <rFont val="Calibri"/>
        <family val="2"/>
      </rPr>
      <t>LOE Summary</t>
    </r>
    <r>
      <rPr>
        <sz val="9"/>
        <rFont val="Calibri"/>
        <family val="2"/>
      </rPr>
      <t xml:space="preserve"> tab to validate your breakdown by track, phase &amp; by release.
</t>
    </r>
    <r>
      <rPr>
        <b/>
        <sz val="9"/>
        <rFont val="Calibri"/>
        <family val="2"/>
      </rPr>
      <t>11.</t>
    </r>
    <r>
      <rPr>
        <sz val="9"/>
        <rFont val="Calibri"/>
        <family val="2"/>
      </rPr>
      <t xml:space="preserve"> Use the </t>
    </r>
    <r>
      <rPr>
        <i/>
        <sz val="9"/>
        <rFont val="Calibri"/>
        <family val="2"/>
      </rPr>
      <t>Total LOE</t>
    </r>
    <r>
      <rPr>
        <sz val="9"/>
        <rFont val="Calibri"/>
        <family val="2"/>
      </rPr>
      <t xml:space="preserve"> tab to understand your overall project estimate.</t>
    </r>
  </si>
  <si>
    <r>
      <t xml:space="preserve">• Have only one version of the estimation template open.  If multiple versions are open, some macros will not work properly.
• Do not insert or delete columns and do not change column headers specifically on the Stories and Staffing Plan tabs, as it will result in problems with exports to the ResultSpace Plan Tool and the Deal Tool.
• Ensure that the Multiplier values are whole numbers, as this is used as a story multiplier when exporting to the ResultSpace Plan tool.
• Ensure that the ABP and HP values are between 0.5 and 100 and are in increments of 0.25.
• To insert new rows in the Stories tab, do not use the standard insert row feature, use the custom "Insert Line with Formulas" option provided under the "SA function" menu. 
• Use the scratch columns in the Stories tab for sub-totals or any other calculations you need.
• Use the Notes field to document any assumptions you made when estimating a story.
• Make sure the Start Date of the project is a Monday, and the end date of the project is a Friday on the Staffing tab to ensure that correct information is exported.
• If you need to extend the timeline in the staffing tab, do not use the standard excel Insert Column feature, use the "Insert Week" button.
• If a person is playing both an oversight role as well as working on actual stories, the role should appear once with the approproiate allocation in the Overhead area and again in the Team area with the appropriate allocation.
</t>
    </r>
    <r>
      <rPr>
        <b/>
        <sz val="9"/>
        <rFont val="Calibri"/>
        <family val="2"/>
        <scheme val="minor"/>
      </rPr>
      <t>• Migrate Content feature will work only on blank Estimation Tool. The original file(to be migrated) needs to have identical columns as in the template for the migration to work
• Migration process takes approximately 1-2 mins so its recommended to save your files, before initiating migration</t>
    </r>
    <r>
      <rPr>
        <sz val="9"/>
        <rFont val="Calibri"/>
        <family val="2"/>
        <scheme val="minor"/>
      </rPr>
      <t xml:space="preserve">
• Migrate Content will migrate data and not the customized changes or any change in the formula</t>
    </r>
  </si>
  <si>
    <t>Original Estimate</t>
  </si>
  <si>
    <t>Las Vegas</t>
  </si>
  <si>
    <t>Mobile Developer - Appcelerator</t>
  </si>
  <si>
    <t>Mobile Developer - Hybrid</t>
  </si>
  <si>
    <t>Mobile Developer - IBM Worklight</t>
  </si>
  <si>
    <t>Mobile Developer - Kony</t>
  </si>
  <si>
    <t>Mobile Developer - Phonegap</t>
  </si>
  <si>
    <t>Mobile Developer - Titanium</t>
  </si>
  <si>
    <t>Mobile Developer - Windows</t>
  </si>
  <si>
    <t>Mobile Developer - Xamarin</t>
  </si>
  <si>
    <t>Junior Mobile Developer - Android</t>
  </si>
  <si>
    <t>Junior Mobile Developer - Appcelerator</t>
  </si>
  <si>
    <t>Junior Mobile Developer - Hybrid</t>
  </si>
  <si>
    <t>Junior Mobile Developer - IBM Worklight</t>
  </si>
  <si>
    <t>Junior Mobile Developer - IOS</t>
  </si>
  <si>
    <t>Junior Mobile Developer - Kony</t>
  </si>
  <si>
    <t>Junior Mobile Developer - Phonegap</t>
  </si>
  <si>
    <t>Junior Mobile Developer - Titanium</t>
  </si>
  <si>
    <t>Junior Mobile Developer - Windows</t>
  </si>
  <si>
    <t>Junior Mobile Developer - Xamarin</t>
  </si>
  <si>
    <t>Architect - Android</t>
  </si>
  <si>
    <t>Architect - Appcelerator</t>
  </si>
  <si>
    <t>Architect - Flex</t>
  </si>
  <si>
    <t>Architect - Hybrid</t>
  </si>
  <si>
    <t>Architect - IBM Worklight</t>
  </si>
  <si>
    <t>Architect - IOS</t>
  </si>
  <si>
    <t>Architect - Kony</t>
  </si>
  <si>
    <t>Architect - PhoneGap</t>
  </si>
  <si>
    <t>Architect - Titanium</t>
  </si>
  <si>
    <t>Architect - Windows</t>
  </si>
  <si>
    <t>Architect - Xamarin</t>
  </si>
  <si>
    <t>Specialist - Android</t>
  </si>
  <si>
    <t>Specialist - Appcelerator</t>
  </si>
  <si>
    <t>Specialist - Flex</t>
  </si>
  <si>
    <t>Specialist - Hybrid</t>
  </si>
  <si>
    <t>Specialist - IBM Worklight</t>
  </si>
  <si>
    <t>Specialist - IOS</t>
  </si>
  <si>
    <t>Specialist - Kony</t>
  </si>
  <si>
    <t>Specialist - PhoneGap</t>
  </si>
  <si>
    <t>Specialist - Titanium</t>
  </si>
  <si>
    <t>Specialist - Windows</t>
  </si>
  <si>
    <t>Specialist - Xamarin</t>
  </si>
  <si>
    <t>Senior Mobile Developer - Android</t>
  </si>
  <si>
    <t>Senior Mobile Developer - Appcelerator</t>
  </si>
  <si>
    <t>Senior Mobile Developer - Hybrid</t>
  </si>
  <si>
    <t>Senior Mobile Developer - IBM Worklight</t>
  </si>
  <si>
    <t>Senior Mobile Developer - IOS</t>
  </si>
  <si>
    <t>Senior Mobile Developer - Kony</t>
  </si>
  <si>
    <t>Senior Mobile Developer - Phonegap</t>
  </si>
  <si>
    <t>Senior Mobile Developer - Titanium</t>
  </si>
  <si>
    <t>Senior Mobile Developer - Windows</t>
  </si>
  <si>
    <t>Senior Mobile Developer - Xamarin</t>
  </si>
  <si>
    <t>Track Lead Mobile - Appcelerator</t>
  </si>
  <si>
    <t>Track Lead Mobile - Hybrid</t>
  </si>
  <si>
    <t>Track Lead Mobile - IBM Worklight</t>
  </si>
  <si>
    <t>Track Lead Mobile - Kony</t>
  </si>
  <si>
    <t>Track Lead Mobile - Phonegap</t>
  </si>
  <si>
    <t>Track Lead Mobile - Titanium</t>
  </si>
  <si>
    <t>Track Lead Mobile - Windows</t>
  </si>
  <si>
    <t>Track Lead Mobile - Xamarin</t>
  </si>
  <si>
    <t>Senior Specialist - Android</t>
  </si>
  <si>
    <t>Senior Specialist - Appcelerator</t>
  </si>
  <si>
    <t>Senior Specialist - Flex</t>
  </si>
  <si>
    <t>Senior Specialist - Hybrid</t>
  </si>
  <si>
    <t>Senior Specialist - IBM Worklight</t>
  </si>
  <si>
    <t>Senior Specialist - IOS</t>
  </si>
  <si>
    <t>Senior Specialist - Kony</t>
  </si>
  <si>
    <t>Senior Specialist - PhoneGap</t>
  </si>
  <si>
    <t>Senior Specialist - Titanium</t>
  </si>
  <si>
    <t>Senior Specialist - Windows</t>
  </si>
  <si>
    <t>Senior Specialist - Xamarin</t>
  </si>
  <si>
    <t>Task</t>
  </si>
  <si>
    <t>Associate Business Operations L1</t>
  </si>
  <si>
    <t>Associate Business Operations L2</t>
  </si>
  <si>
    <t>Senior Associate Business Operations L1</t>
  </si>
  <si>
    <t>Senior Associate Business Operations L2</t>
  </si>
  <si>
    <t>Trainee Production Support</t>
  </si>
  <si>
    <t>Director Finance &amp; Compliance</t>
  </si>
  <si>
    <t>Pune</t>
  </si>
  <si>
    <t>Allocation format</t>
  </si>
  <si>
    <t>Epic</t>
  </si>
  <si>
    <t>Story Type Metrics</t>
  </si>
  <si>
    <t>ISSUE TYPE</t>
  </si>
  <si>
    <t>LABEL2</t>
  </si>
  <si>
    <t>COMPONENT 2</t>
  </si>
  <si>
    <t>ISSUE SUMMARY</t>
  </si>
  <si>
    <t>DESCRIPTION</t>
  </si>
  <si>
    <t>SCOPE REFERENCE</t>
  </si>
  <si>
    <t>LABEL 3</t>
  </si>
  <si>
    <t>BUFFERED ESTIMATE</t>
  </si>
  <si>
    <t>COMMENT</t>
  </si>
  <si>
    <t>LABEL1</t>
  </si>
  <si>
    <t>REPORTER</t>
  </si>
  <si>
    <t>ORIGINAL ESTIMATE</t>
  </si>
  <si>
    <t>EPIC LINK</t>
  </si>
  <si>
    <t>Epic Link</t>
  </si>
  <si>
    <t>BT-60</t>
  </si>
  <si>
    <t>type1</t>
  </si>
  <si>
    <t>task</t>
  </si>
  <si>
    <t>et_export_2015-05-03_20:51:29</t>
  </si>
  <si>
    <t>Intern</t>
  </si>
  <si>
    <t>Junior Associate Business Consulting</t>
  </si>
  <si>
    <t>Junior Content Strategist</t>
  </si>
  <si>
    <t>SN APAC Chief Creative Officer</t>
  </si>
  <si>
    <t>SN Chief Creative Officer</t>
  </si>
  <si>
    <t>SN Chief Executive Officer</t>
  </si>
  <si>
    <t>SN Chief Experience Officer</t>
  </si>
  <si>
    <t>SN Chief Operating Officer</t>
  </si>
  <si>
    <t>SN Chief Technology Officer</t>
  </si>
  <si>
    <t>SN EU Chief Creative Officer</t>
  </si>
  <si>
    <t>SN NA Chief Creative Officer</t>
  </si>
  <si>
    <t>Vice President Office Services</t>
  </si>
  <si>
    <t>Chief Executive Resources</t>
  </si>
  <si>
    <t>Interactive Developer - Angular</t>
  </si>
  <si>
    <t>Interactive Developer - Backbone</t>
  </si>
  <si>
    <t>Interactive Developer - NodeJS</t>
  </si>
  <si>
    <t>Interactive Developer - ReactJS</t>
  </si>
  <si>
    <t>Developer - Adobe EM</t>
  </si>
  <si>
    <t>Developer - Angular</t>
  </si>
  <si>
    <t>Developer - Backbone</t>
  </si>
  <si>
    <t>Developer - Javascript</t>
  </si>
  <si>
    <t>Developer - NodeJS</t>
  </si>
  <si>
    <t>Specialist - Adobe EM</t>
  </si>
  <si>
    <t>Junior Developer - Angular</t>
  </si>
  <si>
    <t>Junior Developer - Backbone</t>
  </si>
  <si>
    <t>Junior Developer - Javascript</t>
  </si>
  <si>
    <t>Junior Developer - NodeJS</t>
  </si>
  <si>
    <t>Junior Interactive Developer - Angular</t>
  </si>
  <si>
    <t>Junior Interactive Developer - Backbone</t>
  </si>
  <si>
    <t>Junior Interactive Developer - HTML/CSS/JS</t>
  </si>
  <si>
    <t>Junior Interactive Developer - Javascript SME</t>
  </si>
  <si>
    <t>Junior Interactive Developer - NodeJS</t>
  </si>
  <si>
    <t>Junior Interactive Developer - ReactJS</t>
  </si>
  <si>
    <t>Lead Content Strategist - Adobe EM</t>
  </si>
  <si>
    <t>Architect - HTML/CSS/JS</t>
  </si>
  <si>
    <t>Architect - Javascript SME</t>
  </si>
  <si>
    <t>Architect - ReactJS</t>
  </si>
  <si>
    <t>Interactive Architect - Angular</t>
  </si>
  <si>
    <t>Interactive Architect - Backbone</t>
  </si>
  <si>
    <t>Interactive Architect - NodeJS</t>
  </si>
  <si>
    <t>Specialist Test Adobe EM</t>
  </si>
  <si>
    <t>Test Lead Adobe EM</t>
  </si>
  <si>
    <t>Architect - Adobe EM</t>
  </si>
  <si>
    <t>Architect - Backbone</t>
  </si>
  <si>
    <t>Architect - Javascript</t>
  </si>
  <si>
    <t>Architect - NodeJS</t>
  </si>
  <si>
    <t>Senior Developer - Adobe EM</t>
  </si>
  <si>
    <t>Track Lead - Adobe EM</t>
  </si>
  <si>
    <t>Test Analyst Adobe EM</t>
  </si>
  <si>
    <t>Senior Developer - Angular</t>
  </si>
  <si>
    <t>Senior Developer - Backbone</t>
  </si>
  <si>
    <t>Senior Developer - Javascript</t>
  </si>
  <si>
    <t>Senior Developer - NodeJS</t>
  </si>
  <si>
    <t>Track Lead  - Angular</t>
  </si>
  <si>
    <t>Track Lead  - Backbone</t>
  </si>
  <si>
    <t>Track Lead  - Javascript</t>
  </si>
  <si>
    <t>Track Lead  - NodeJS</t>
  </si>
  <si>
    <t>Architect - Angular</t>
  </si>
  <si>
    <t>Interactive Senior Architect  - Angular</t>
  </si>
  <si>
    <t>Interactive Senior Architect  - Backbone</t>
  </si>
  <si>
    <t>Interactive Senior Architect  - NodeJS</t>
  </si>
  <si>
    <t>Senior Architect  - HTML/CSS/JS</t>
  </si>
  <si>
    <t>Senior Architect  - Javascript SME</t>
  </si>
  <si>
    <t>Senior Architect  - ReactJS</t>
  </si>
  <si>
    <t>Senior Architect - Angular</t>
  </si>
  <si>
    <t>Senior Architect - Backbone</t>
  </si>
  <si>
    <t>Senior Architect - Javascript</t>
  </si>
  <si>
    <t>Senior Architect - NodeJS</t>
  </si>
  <si>
    <t>Senior Interactive Developer - Angular</t>
  </si>
  <si>
    <t>Senior Interactive Developer - HTML/CSS/JS</t>
  </si>
  <si>
    <t>Senior Interactive Developer - Javascript SME</t>
  </si>
  <si>
    <t>Senior Interactive Developer - NodeJS</t>
  </si>
  <si>
    <t>Senior Interactive Developer - ReactJS</t>
  </si>
  <si>
    <t>Track Lead Interactive Developer - Angular</t>
  </si>
  <si>
    <t>Track Lead Interactive Developer - Backbone</t>
  </si>
  <si>
    <t>Track Lead Interactive Developer - HTML/CSS/JS</t>
  </si>
  <si>
    <t>Track Lead Interactive Developer - Javascript SME</t>
  </si>
  <si>
    <t>Track Lead Interactive Developer - NodeJS</t>
  </si>
  <si>
    <t>Track Lead Interactive Developer - ReactJS</t>
  </si>
  <si>
    <t>Expert Datawarehouse</t>
  </si>
  <si>
    <t>Interactive Developer - XAML</t>
  </si>
  <si>
    <t>Interactive Developer - iOS</t>
  </si>
  <si>
    <t>Site Developer - HTML/CSS</t>
  </si>
  <si>
    <t>Tester - Automation</t>
  </si>
  <si>
    <t>Tester - Functional</t>
  </si>
  <si>
    <t>Tester - Performance</t>
  </si>
  <si>
    <t>Tester - Automation - Others</t>
  </si>
  <si>
    <t>Tester - Automation - QTP</t>
  </si>
  <si>
    <t>Tester - Automation - SILK</t>
  </si>
  <si>
    <t>Tester - Automation - Selenium</t>
  </si>
  <si>
    <t>Junior Package Developer - Geneva</t>
  </si>
  <si>
    <t>Junior Package Developer - Murex</t>
  </si>
  <si>
    <t>Junior Package Developer - Thunderhead</t>
  </si>
  <si>
    <t>Expert - FLEX</t>
  </si>
  <si>
    <t>Expert - Javascript SME</t>
  </si>
  <si>
    <t>Expert - XAML</t>
  </si>
  <si>
    <t>Expert - iOS</t>
  </si>
  <si>
    <t>QA Engagement Lead</t>
  </si>
  <si>
    <t>Package Expert</t>
  </si>
  <si>
    <t>Expert</t>
  </si>
  <si>
    <t>Specialist - Javascript SME</t>
  </si>
  <si>
    <t>Specialist - XAML</t>
  </si>
  <si>
    <t>Automation Specialist</t>
  </si>
  <si>
    <t>Performance Specialist</t>
  </si>
  <si>
    <t>QA Manager</t>
  </si>
  <si>
    <t>Architect - Web Java</t>
  </si>
  <si>
    <t>Package Architect</t>
  </si>
  <si>
    <t>Developer- Web Java</t>
  </si>
  <si>
    <t>Package Developer - Geneva</t>
  </si>
  <si>
    <t>Package Developer - Murex</t>
  </si>
  <si>
    <t>Package Developer - Thunderhead</t>
  </si>
  <si>
    <t>Package Track Lead  - Geneva</t>
  </si>
  <si>
    <t>Package Track Lead  - Murex</t>
  </si>
  <si>
    <t>Package Track Lead  - Thunderhead</t>
  </si>
  <si>
    <t>Senior Developer- Core Java</t>
  </si>
  <si>
    <t>Senior Developer- Web Java</t>
  </si>
  <si>
    <t>Senior Package Developer - Geneva</t>
  </si>
  <si>
    <t>Senior Package Developer - Murex</t>
  </si>
  <si>
    <t>Senior Package Developer - Thunderhead</t>
  </si>
  <si>
    <t>Track Lead - Core Java</t>
  </si>
  <si>
    <t>Track Lead - Web Java</t>
  </si>
  <si>
    <t>Senior Tester - Automation - QTP</t>
  </si>
  <si>
    <t>Senior Tester - Automation - SILK</t>
  </si>
  <si>
    <t>Senior Tester - Automation - Selenium</t>
  </si>
  <si>
    <t>Senior Tester - Automation- Others</t>
  </si>
  <si>
    <t>Senior Tester - Functional</t>
  </si>
  <si>
    <t>Senior Tester - Performance</t>
  </si>
  <si>
    <t>QA Track Lead - Automation</t>
  </si>
  <si>
    <t>QA Track Lead - Functional</t>
  </si>
  <si>
    <t>QA Track Lead - Performance</t>
  </si>
  <si>
    <t>Senior Tester - Automation - Others</t>
  </si>
  <si>
    <t>Senior Specialist - Javascript SME</t>
  </si>
  <si>
    <t>Senior Specialist - XAML</t>
  </si>
  <si>
    <t>Sr QA Manager</t>
  </si>
  <si>
    <t>Senior Architect</t>
  </si>
  <si>
    <t>Senior Specialist</t>
  </si>
  <si>
    <t>Specialist - Core Java</t>
  </si>
  <si>
    <t>Specialist - Web Java</t>
  </si>
  <si>
    <t>Junior Developer- Core Java</t>
  </si>
  <si>
    <t>Junior Developer- Web Java</t>
  </si>
  <si>
    <t>Junior Package Developer</t>
  </si>
  <si>
    <t>Fellow - FLEX</t>
  </si>
  <si>
    <t>Fellow - Javascript SME</t>
  </si>
  <si>
    <t>Fellow - iOS</t>
  </si>
  <si>
    <t>Fellow- XAML</t>
  </si>
  <si>
    <t>6.5.0</t>
  </si>
  <si>
    <t>Business Analyst - CTRM</t>
  </si>
  <si>
    <t>Automation Engineer</t>
  </si>
  <si>
    <t>Cloud Engineer</t>
  </si>
  <si>
    <t>DevOps Engineer</t>
  </si>
  <si>
    <t>Infrastructure PreSales Support</t>
  </si>
  <si>
    <t>Managed Support - Service Engineer</t>
  </si>
  <si>
    <t>Junior Tester - Allegro</t>
  </si>
  <si>
    <t>Junior Tester - ENDUR</t>
  </si>
  <si>
    <t>Junior Tester - Other CTRM Packages</t>
  </si>
  <si>
    <t>Junior Tester - RightAngle</t>
  </si>
  <si>
    <t>Junior Package Developer - Allegro</t>
  </si>
  <si>
    <t>Junior Package Developer - ENDUR</t>
  </si>
  <si>
    <t>Junior Package Developer - Other CTRM packages</t>
  </si>
  <si>
    <t>Junior Package Developer - RightAngle</t>
  </si>
  <si>
    <t>Principal Consultant</t>
  </si>
  <si>
    <t>Package Expert - Allegro</t>
  </si>
  <si>
    <t>Package Expert - ENDUR</t>
  </si>
  <si>
    <t>Package Expert - Geneva</t>
  </si>
  <si>
    <t>Package Expert - Murex</t>
  </si>
  <si>
    <t>Package Expert - Other CTRM Packages</t>
  </si>
  <si>
    <t>Package Expert - RightAngle</t>
  </si>
  <si>
    <t>Package Expert - Thunderhead</t>
  </si>
  <si>
    <t>Managing Consultant</t>
  </si>
  <si>
    <t>QA Manager - Allegro</t>
  </si>
  <si>
    <t>QA Manager - ENDUR</t>
  </si>
  <si>
    <t>QA Manager - Other CTRM Packages</t>
  </si>
  <si>
    <t>QA Manager - RightAngle</t>
  </si>
  <si>
    <t>Package Architect - Allegro</t>
  </si>
  <si>
    <t>Package Architect - ENDUR</t>
  </si>
  <si>
    <t>Package Architect - Geneva</t>
  </si>
  <si>
    <t>Package Architect - Murex</t>
  </si>
  <si>
    <t>Package Architect - Other CTRM Packages</t>
  </si>
  <si>
    <t>Package Architect - RightAngle</t>
  </si>
  <si>
    <t>Package Architect - Thunderhead</t>
  </si>
  <si>
    <t>Package Specialist - Allegro</t>
  </si>
  <si>
    <t>Package Specialist - ENDUR</t>
  </si>
  <si>
    <t>Package Specialist - Geneva</t>
  </si>
  <si>
    <t>Package Specialist - Murex</t>
  </si>
  <si>
    <t>Package Specialist - Other CTRM Packages</t>
  </si>
  <si>
    <t>Package Specialist - RightAngle</t>
  </si>
  <si>
    <t>Package Specialist - Thunderhead</t>
  </si>
  <si>
    <t>DevOps Specialist</t>
  </si>
  <si>
    <t>Senior Business Analyst - CTRM</t>
  </si>
  <si>
    <t>Managed Support - Sr. Service Engineer</t>
  </si>
  <si>
    <t>Sr. DevOps Engineer</t>
  </si>
  <si>
    <t>Package Developer - ENDUR</t>
  </si>
  <si>
    <t>Package Developer - Other CTRM packages</t>
  </si>
  <si>
    <t>Package Developer - RightAngle</t>
  </si>
  <si>
    <t>Package Track Lead - ENDUR</t>
  </si>
  <si>
    <t>Package Track Lead - Other CTRM packages</t>
  </si>
  <si>
    <t>Package Track Lead - RightAngle</t>
  </si>
  <si>
    <t>Senior Package Developer - ENDUR</t>
  </si>
  <si>
    <t>Senior Package Developer - Other CTRM packages</t>
  </si>
  <si>
    <t>Senior Package Developer - RightAngle</t>
  </si>
  <si>
    <t>Tester -  ENDUR</t>
  </si>
  <si>
    <t>Tester - Allegro</t>
  </si>
  <si>
    <t>Tester - Other CTRM Packages</t>
  </si>
  <si>
    <t>Tester - RightAngle</t>
  </si>
  <si>
    <t>QA Track Lead - Allegro</t>
  </si>
  <si>
    <t>QA Track Lead - ENDUR</t>
  </si>
  <si>
    <t>QA Track Lead - Other CTRM Packages</t>
  </si>
  <si>
    <t>QA Track Lead - RightAngle</t>
  </si>
  <si>
    <t>Senior Tester - Allegro</t>
  </si>
  <si>
    <t>Senior Tester - ENDUR</t>
  </si>
  <si>
    <t>Senior Tester - Other CTRM Packages</t>
  </si>
  <si>
    <t>Senior Tester - RightAngle</t>
  </si>
  <si>
    <t>Package Developer - Allegro</t>
  </si>
  <si>
    <t>Package Track Lead - Allegro</t>
  </si>
  <si>
    <t>Senior Package Developer - Allegro</t>
  </si>
  <si>
    <t>Sr. Managing Consultant</t>
  </si>
  <si>
    <t>QA Senior Manager - Allegro</t>
  </si>
  <si>
    <t>QA Senior Manager - ENDUR</t>
  </si>
  <si>
    <t>QA Senior Manager - Other CTRM Packages</t>
  </si>
  <si>
    <t>QA Senior Manager - RightAngle</t>
  </si>
  <si>
    <t>Senior  Architect - Allegro</t>
  </si>
  <si>
    <t>Senior  Architect - ENDUR</t>
  </si>
  <si>
    <t>Senior  Architect - Geneva</t>
  </si>
  <si>
    <t>Senior  Architect - Murex</t>
  </si>
  <si>
    <t>Senior  Architect - Other CTRM Packages</t>
  </si>
  <si>
    <t>Senior  Architect - RightAngle</t>
  </si>
  <si>
    <t>Senior  Architect - Thunderhead</t>
  </si>
  <si>
    <t>Senior Package Specialist - Allegro</t>
  </si>
  <si>
    <t>Senior Package Specialist - ENDUR</t>
  </si>
  <si>
    <t>Senior Package Specialist - Geneva</t>
  </si>
  <si>
    <t>Senior Package Specialist - Murex</t>
  </si>
  <si>
    <t>Senior Package Specialist - Other CTRM Packages</t>
  </si>
  <si>
    <t>Senior Package Specialist - RightAngle</t>
  </si>
  <si>
    <t>Senior Package Specialist - Thunderhead</t>
  </si>
  <si>
    <t>Cloud Architect</t>
  </si>
  <si>
    <t>Infrastructure Architect</t>
  </si>
  <si>
    <t>Managed Support - Sr. Service Manager</t>
  </si>
  <si>
    <t>Managed Support - Service Manager</t>
  </si>
  <si>
    <t>Junior Tester</t>
  </si>
  <si>
    <t>Jr. DevOps Engineer</t>
  </si>
  <si>
    <r>
      <t xml:space="preserve">• </t>
    </r>
    <r>
      <rPr>
        <b/>
        <sz val="9"/>
        <color indexed="8"/>
        <rFont val="Calibri"/>
        <family val="2"/>
      </rPr>
      <t>Project Overview</t>
    </r>
    <r>
      <rPr>
        <sz val="9"/>
        <color indexed="8"/>
        <rFont val="Calibri"/>
        <family val="2"/>
      </rPr>
      <t xml:space="preserve"> : Complete this sheet to identify basic data used to populate other sheets and headers. 
• </t>
    </r>
    <r>
      <rPr>
        <b/>
        <sz val="9"/>
        <color indexed="8"/>
        <rFont val="Calibri"/>
        <family val="2"/>
      </rPr>
      <t>Story Type</t>
    </r>
    <r>
      <rPr>
        <sz val="9"/>
        <color indexed="8"/>
        <rFont val="Calibri"/>
        <family val="2"/>
      </rPr>
      <t xml:space="preserve"> : Use this sheet as a worksheet to document metrics with assumptions and their tasks with LOE. Based on your situation, you may find it easier to either create these metrics first, or to first begin to document your stories, then create metrics. In any case, by the end of the process, you should have documented all the metrics you are using in this tab.
All LOE is measured in person days (1 person day = 8 hours of project work (including meetings, etc.). </t>
    </r>
    <r>
      <rPr>
        <b/>
        <sz val="9"/>
        <color indexed="8"/>
        <rFont val="Calibri"/>
        <family val="2"/>
      </rPr>
      <t>Story Type Metrics</t>
    </r>
    <r>
      <rPr>
        <sz val="9"/>
        <color indexed="8"/>
        <rFont val="Calibri"/>
        <family val="2"/>
      </rPr>
      <t xml:space="preserve"> section: A metric is a reusable estimate of a buildable unit. This documents all the metrics that can be used to drive the Stories estimate (it drives metric selection dropdowns on the Stories tab). 
• </t>
    </r>
    <r>
      <rPr>
        <b/>
        <sz val="9"/>
        <color indexed="8"/>
        <rFont val="Calibri"/>
        <family val="2"/>
      </rPr>
      <t>Stories</t>
    </r>
    <r>
      <rPr>
        <sz val="9"/>
        <color indexed="8"/>
        <rFont val="Calibri"/>
        <family val="2"/>
      </rPr>
      <t xml:space="preserve"> : Decompose each solution requirement into one or more stories. Embed knowledge risk by providing a range bounded by the ABP and HP estimates. Include all work necessary to advance the project, such as reviews, testing,  etc.  All LOE that does not contribute to the advancement of the project should be placed on the Add-ins tab.
A story should be:
* Understandable     * Testable    * Valuable     * Small enough to complete a handful each iteration
All LOE is measured in person days (1 person day = 8 hours of project work (including meetings, etc.).
User can export stories  &amp; tasks via the options(Export to JIRA-Stories and Tasks) and to export only stories, user can opt (Export to JIRA-Only Stories) option available on the right click menu in stories sheet
• </t>
    </r>
    <r>
      <rPr>
        <b/>
        <sz val="9"/>
        <color indexed="8"/>
        <rFont val="Calibri"/>
        <family val="2"/>
      </rPr>
      <t>Add Ins</t>
    </r>
    <r>
      <rPr>
        <sz val="9"/>
        <color indexed="8"/>
        <rFont val="Calibri"/>
        <family val="2"/>
      </rPr>
      <t xml:space="preserve"> : Use this sheet to document all sources of LOE that do not directly or indirectly advance the progress towards delivering the scope. With the exception of Canada, vacation and sick days are not built into our daily rates, and hence you should build them into your estimate. For a T&amp;M project, vacation and sickness are not counted.
The mid-level plan will likely drive the contents of this sheet, as many items are dependent on the team size.
Items such as brief daily team meetings, Sapient staff meetings, and email are included in the core workday and do not need to be called out here. Code reviews and other peer-to-peer activities should be embedded in the ABP/ HP for the relevant activities as they act to move the project forward.
• </t>
    </r>
    <r>
      <rPr>
        <b/>
        <sz val="9"/>
        <color indexed="8"/>
        <rFont val="Calibri"/>
        <family val="2"/>
      </rPr>
      <t>Objective Risks</t>
    </r>
    <r>
      <rPr>
        <sz val="9"/>
        <color indexed="8"/>
        <rFont val="Calibri"/>
        <family val="2"/>
      </rPr>
      <t xml:space="preserve"> : Use this sheet to document ALL objective risks you have identified for this project. These are things that may happen and cause negative impact on the project. Capture details of all cases where you mitigate a risk by including mitigation LOE. When there is still a risk of impact despite mitigations, capture those here as a maximum impact and probability of occurrence: the product of these numbers gives a risk buffer to incorporate at proper points in the mid-level plan.
• </t>
    </r>
    <r>
      <rPr>
        <b/>
        <sz val="9"/>
        <color indexed="8"/>
        <rFont val="Calibri"/>
        <family val="2"/>
      </rPr>
      <t>Staffing Plan</t>
    </r>
    <r>
      <rPr>
        <sz val="9"/>
        <color indexed="8"/>
        <rFont val="Calibri"/>
        <family val="2"/>
      </rPr>
      <t xml:space="preserve"> : Enter data from your release plan onto this summary sheet to enable easier manipulation and export to the deal tool. Use DD-MON-YY date format. Start date MUST be a Monday. End date MUST be a Friday — the template will export INCORRECT information without this. If necessary, customize the view for presentation on another worksheet — P&amp;L report reads from this format. The Date cell is MANDATORY — the P&amp;L report will not work without this. Enter the total number of people necessary for each role.
T&amp;M resource plans should explicitly exclude vacation and other non-billable time on the Deal Sheet (not on this sheet).
User can export Staffing plan to Deal tool by using 'Export Staffing Plan' option available on the right click menu in Staffing Plan sheet
</t>
    </r>
    <r>
      <rPr>
        <b/>
        <sz val="9"/>
        <color indexed="8"/>
        <rFont val="Calibri"/>
        <family val="2"/>
      </rPr>
      <t xml:space="preserve">Note: </t>
    </r>
    <r>
      <rPr>
        <sz val="9"/>
        <color indexed="8"/>
        <rFont val="Calibri"/>
        <family val="2"/>
      </rPr>
      <t xml:space="preserve">Staffing plan export is needed only till v3.0.9 of Deal Tool. In later versions of Deal Tool, staffing plan will be imported by opening the Estimation Tool from within the Deal Tool itself.
• </t>
    </r>
    <r>
      <rPr>
        <b/>
        <sz val="9"/>
        <color indexed="8"/>
        <rFont val="Calibri"/>
        <family val="2"/>
      </rPr>
      <t>LOE Summar</t>
    </r>
    <r>
      <rPr>
        <sz val="9"/>
        <color indexed="8"/>
        <rFont val="Calibri"/>
        <family val="2"/>
      </rPr>
      <t>y : This tab will show you how you have balanced your staffing plan against the planned loe by track, phase &amp; release.  This is to ensure that you haven't balanced your staffing to your total loe disproportionally against the types of work.  For example to make sure you haven't staffed all your loe for both site development and qa to the qa track.  To ensure that this report is accurate please make sure to leverage the "track" column accurately on the stories, obective risks, add-ins and staffing plan tabs
All LOE is measured in person days (1 person day = 8 hours of project work (including meetings, etc.).
•</t>
    </r>
    <r>
      <rPr>
        <b/>
        <sz val="9"/>
        <color indexed="8"/>
        <rFont val="Calibri"/>
        <family val="2"/>
      </rPr>
      <t xml:space="preserve"> Total LOE</t>
    </r>
    <r>
      <rPr>
        <sz val="9"/>
        <color indexed="8"/>
        <rFont val="Calibri"/>
        <family val="2"/>
      </rPr>
      <t xml:space="preserve"> : This sheet is read-only and shows the breakdown of the LOE by component.
- Recommended Oversight is 10-18% of total and Objective Risk is 9-17% of total.
Compare the Total LOE to the total person days in the Resource Plan.</t>
    </r>
  </si>
  <si>
    <t>Review QA Strategy document</t>
  </si>
  <si>
    <t>Review 3rd Party Integration approach</t>
  </si>
  <si>
    <t>Review Non Functional requirement</t>
  </si>
  <si>
    <t>High availability, scalability, Page response time, Backups,etc..</t>
  </si>
  <si>
    <t>Review existing Publishing model &amp; Governance</t>
  </si>
  <si>
    <t xml:space="preserve">Review content Distribution approach </t>
  </si>
  <si>
    <t>3rd party portals, mobile applications, APIs as well as digital assistant interfaces</t>
  </si>
  <si>
    <t>Review Personalization &amp; content targeting approach</t>
  </si>
  <si>
    <t>Marketo’s rules engine integration</t>
  </si>
  <si>
    <t>PIM, DAM, SEO, Analytics,  etc..</t>
  </si>
  <si>
    <t>Review approach for Digital Factsheet, Interactieve charting &amp; fund/performance comparison</t>
  </si>
  <si>
    <t>Responsieve Site Support - Mobile &amp; tablet</t>
  </si>
  <si>
    <t>Review Authoring experience to support global team</t>
  </si>
  <si>
    <t>Review approach to support compliance needs</t>
  </si>
  <si>
    <t>WCAG, PII storage</t>
  </si>
  <si>
    <t>Review Australian site</t>
  </si>
  <si>
    <t>Review 22 central Europe site</t>
  </si>
  <si>
    <t>Review backlog stories created by Global Digital group</t>
  </si>
  <si>
    <t>Review Japan PI and Intermediary business websites</t>
  </si>
  <si>
    <t xml:space="preserve">Review Global institutional website </t>
  </si>
  <si>
    <t xml:space="preserve">Review approach to support DAM </t>
  </si>
  <si>
    <t>Mediabin or any other DAM tool integration</t>
  </si>
  <si>
    <t>Review CMS Maturity model &amp; incorporate feedback</t>
  </si>
  <si>
    <t>Provide recommendations and options on applicable areas to achieve high degree of maturity</t>
  </si>
  <si>
    <t>CMS</t>
  </si>
  <si>
    <t>DISCOVER</t>
  </si>
  <si>
    <t>DEFINE</t>
  </si>
  <si>
    <t>ANALYSIS</t>
  </si>
  <si>
    <t>Map current state of CMS platform against attribute of CMS maturity model</t>
  </si>
  <si>
    <t>Map current state of scoped sites  against attribute of CMS maturity model</t>
  </si>
  <si>
    <t>OPTIMIZATION</t>
  </si>
  <si>
    <t>Session to walthough of current state and recommendation</t>
  </si>
  <si>
    <t>Ramp Up</t>
  </si>
  <si>
    <t>RAMP UP</t>
  </si>
  <si>
    <t>There are not more than 100 global backlog of common high level global CMS user stories available which will be evaluated</t>
  </si>
  <si>
    <t>Insufficient technical documentation of CMS platform</t>
  </si>
  <si>
    <t>Access to Fidelity environment for review of setup</t>
  </si>
  <si>
    <t xml:space="preserve">Lack of user guide document to evaluate integrating with 3rd party </t>
  </si>
  <si>
    <t>INFRA</t>
  </si>
  <si>
    <t>Review Physical Architecture</t>
  </si>
  <si>
    <t>QA</t>
  </si>
  <si>
    <t>CI Integration</t>
  </si>
  <si>
    <t>Review Framework used for front end development</t>
  </si>
  <si>
    <t>Review couple of high complexity frontend component code to identify best practice followed</t>
  </si>
  <si>
    <t>Review couple of Medium complexity frontend component code to identify best practice followed</t>
  </si>
  <si>
    <t>2 High Complexity and 2 Medium complexity component will be reviewed to plot Maturity model for frontend/UI development</t>
  </si>
  <si>
    <t xml:space="preserve">Review 3 global components ( Like Header, Footer and Hero) </t>
  </si>
  <si>
    <t xml:space="preserve">Review 2 High complexity existing components </t>
  </si>
  <si>
    <t>Review 2 Medium complexity existing components</t>
  </si>
  <si>
    <t>Review site structure and localization support</t>
  </si>
  <si>
    <t xml:space="preserve">Review 4 templates and 2 different layout </t>
  </si>
  <si>
    <t>Review United Kingdom site</t>
  </si>
  <si>
    <t>SITE DEV</t>
  </si>
  <si>
    <t>Create a script to identify if pages are created following CMS best practice</t>
  </si>
  <si>
    <t>Review Authoring environment: Permission, Folder Structure, SiteMap structure</t>
  </si>
  <si>
    <t>Technical design &amp; code will be reviewed to identify Content Model, Authoring Experience, Componentization, CMS development best practice followed as per CMS maturity model</t>
  </si>
  <si>
    <t>Technical design &amp; code will be reviewed to identify Content Model, Authoring Experience, Componentization, CMS development best practice followed  as per CMS maturity model</t>
  </si>
  <si>
    <t>Run automated script to identify if pages are created following CMS best practice</t>
  </si>
  <si>
    <t>Review 10 sample pages from each site against SEO guidline to identify the gap - Manual</t>
  </si>
  <si>
    <t>Run sites against SEO scan tools like Power Mapper and review the result</t>
  </si>
  <si>
    <t>SEO</t>
  </si>
  <si>
    <t>ANALYTICS</t>
  </si>
  <si>
    <t>Review content storage &amp; Rollback approach</t>
  </si>
  <si>
    <t>Coordination with Fidelity N/W team to setup access</t>
  </si>
  <si>
    <t>Review IDOL configuration and setup</t>
  </si>
  <si>
    <t>UK and Australia sites are getting migrated to Teamsite eStudio 8.2 and will be available for assessment.</t>
  </si>
  <si>
    <t xml:space="preserve">Global institutional website are based on  teamsite 7.x site instance and will be evaluated against it's current state. </t>
  </si>
  <si>
    <t xml:space="preserve">HTML5 adoption, JS Framework, CSS preprocessor, CSS Responsive framework </t>
  </si>
  <si>
    <t>Componentization, Responsieveness, Compliance, Browser Support etc</t>
  </si>
  <si>
    <t>Review Analytics &amp; SEO implementation approach</t>
  </si>
  <si>
    <t>Each of the country site is available under it's subdomain like www.fidelity.co.uk, www.fidelity.at and will be leveraged for analysis.</t>
  </si>
  <si>
    <t>BUSINESS ANALYST</t>
  </si>
  <si>
    <t>Coordinating Discovery phase to come up with proposed org design, operating Model</t>
  </si>
  <si>
    <t>Review Workflows</t>
  </si>
  <si>
    <t>Evaluation for any one of the central europe site will be done and it will be applicable for all.</t>
  </si>
  <si>
    <t>Both Japan PI &amp; Intermediary business websites part of same CMS instance. Components, template and workflows used across both the sites are same. For assessment, it will be considered as single entity.</t>
  </si>
  <si>
    <t xml:space="preserve">There are not more than 3 workflows available in Teamsite 8.2 platform and will be leveraged for assessment. </t>
  </si>
  <si>
    <t>2 High Complexity, 2 Medium complexity,  3 global components ( Like Header, Footer and Hero) and 4 Template's technical design &amp; code will be reviewed for Teamsite 8.2&amp; 7.x to evaluate if development best practice followed in compliance with  CMS maturity model</t>
  </si>
  <si>
    <t>Fidelity N/W team will work with Sapient N/W team to provide access to Fidelity CMS environments and code base.</t>
  </si>
  <si>
    <t>Sapient Project Team will have access to Fidelity CMS environments and code base for assessment.</t>
  </si>
  <si>
    <t>Review Analytics Requirement captured as part of Discovery phase</t>
  </si>
  <si>
    <t>Review Tools and approach taken for capaturing analytics data</t>
  </si>
  <si>
    <t>ALL</t>
  </si>
  <si>
    <t>Fidelity - Global CMS validation</t>
  </si>
  <si>
    <t>DISCOVERY</t>
  </si>
  <si>
    <t>WORKSHOPS/INTERVIEWS - BUSINESS STAKEHOLDERS</t>
  </si>
  <si>
    <t>WORKSHOPS/INTERVIEWS - TECHNOLOGY STAKEHOLDERS</t>
  </si>
  <si>
    <t>DEFINE MATURITY MODEL</t>
  </si>
  <si>
    <t>REVIEW TEAMSITE 8.2 PLATFORM/ARTIFACTS</t>
  </si>
  <si>
    <t>REVIEW EXISTING SITES/PAGES</t>
  </si>
  <si>
    <t>MAP SITES TO MATURITY MODEL</t>
  </si>
  <si>
    <t>REVIEW INFRASTRUCTURE SETUP</t>
  </si>
  <si>
    <t>REVIEW QA PROCESS</t>
  </si>
  <si>
    <t>REVIEW FRONTEND TECHNOLOGY/FRAMEWORKS</t>
  </si>
  <si>
    <t>REVIEW SEO IMPLEMENTATION</t>
  </si>
  <si>
    <t>REVIEW ANALYTICS IMPLEMENTATION</t>
  </si>
  <si>
    <t>Prepare questionnaire</t>
  </si>
  <si>
    <t>Consolidate Requirements from discovery phase for developing Maturity Model</t>
  </si>
  <si>
    <t>STAKEHOLDER INTERVIEWS - PREPARE</t>
  </si>
  <si>
    <t xml:space="preserve">Assumes stakeholders are already identified by sponsor and do not need to be recruited. Assumes 8 stakeholder interviews. </t>
  </si>
  <si>
    <t>Create protocol</t>
  </si>
  <si>
    <t>Review protocol with client</t>
  </si>
  <si>
    <t>Schedule interviews</t>
  </si>
  <si>
    <t>Develop notetaking and debrief templates</t>
  </si>
  <si>
    <t>STAKEHOLDER INTERVIEWS - CONDUCT</t>
  </si>
  <si>
    <t>Two team members for each of these steps: the ABP and HP include LOE for both team members. Travel not included. Analysis effort not included, and should be estimated at 1X the effort spent on data collection.</t>
  </si>
  <si>
    <t>Setup</t>
  </si>
  <si>
    <t>Conduct interview (60 to 90 minutes)</t>
  </si>
  <si>
    <t>Complete debrief</t>
  </si>
  <si>
    <t>Team Kickoff, Ramp Up, Planning</t>
  </si>
  <si>
    <t>Interviews with Global Digital Group</t>
  </si>
  <si>
    <t>Interviews with Technology Group</t>
  </si>
  <si>
    <t>Define CMS Maturity model based on the interview findings</t>
  </si>
  <si>
    <t>Define Maturity model (org design, operating model, training maturity)</t>
  </si>
  <si>
    <t>Review Maturity model &amp; incorporate feedback</t>
  </si>
  <si>
    <t>Review Technical architecture documents</t>
  </si>
  <si>
    <t>Solution architecture (Overall solution, CMS/CDA Integration, Mobile solution, Caching, Workflows, Translation, etc..)
Physical architecture (Infra structure details, Hosting, CDN, etc..)</t>
  </si>
  <si>
    <t>Review and capture approach for Multi channel support</t>
  </si>
  <si>
    <t>Review sites on Teamsite 8.2</t>
  </si>
  <si>
    <t>Review sites on non Teamsite 8.2</t>
  </si>
  <si>
    <t>Review 2 Medium complexity existing component</t>
  </si>
  <si>
    <t>Review changes requires to global component like Header, Footer, Hero</t>
  </si>
  <si>
    <t>Sample 10 pages will be Reviewd against CMS maturity model</t>
  </si>
  <si>
    <t>Review Authoring experience</t>
  </si>
  <si>
    <t>Review workflow</t>
  </si>
  <si>
    <t>Sample 10 pages will be reviewed against CMS maturity model</t>
  </si>
  <si>
    <t>Review QA Process (Functionl, Creative)</t>
  </si>
  <si>
    <t>Componentization, Responsieveness, Compliance, Browser Support, etc</t>
  </si>
  <si>
    <t>ADDITIONAL TASKS</t>
  </si>
  <si>
    <t>SUPPORT</t>
  </si>
  <si>
    <t>Review Build &amp; Release process</t>
  </si>
  <si>
    <t>Received late response for questionnaire</t>
  </si>
  <si>
    <t>S.No</t>
  </si>
  <si>
    <t>22 central europe sites are consolidated into single teamsite 7.x instance.  Component, templates and workflows are shared across all the 22 sites for central europe. It doesn't leverage WYSIWYG environment.</t>
  </si>
  <si>
    <t>Logged In state from each site is considered out of scope for assessment</t>
  </si>
  <si>
    <t>This assessment doesn't cover the detailed effort, plan and cost required for existing platform and each of the country site to reach to the desired CMS maturity level</t>
  </si>
  <si>
    <t xml:space="preserve">Global Digital group will be available to respond to the questionnaire and attend workshops on first week of the project to help on assessment. </t>
  </si>
  <si>
    <t xml:space="preserve">Fidelity Technical group will be available to respond to the questionnaire and attend workshops on second week of the project to help on assessment. </t>
  </si>
  <si>
    <t>Provide recommendations and options on applicable areas to achieve high degree of maturity for CMS Platform</t>
  </si>
  <si>
    <t>Provide recommendations and options on applicable areas to achieve high degree of maturity for individual sites</t>
  </si>
  <si>
    <t>Fidelity will allocate single point of contact for Sapient Project Manager to coordinate with Fidelity Business and Tech group (CMS, Analytics etc)</t>
  </si>
  <si>
    <t>Week 0</t>
  </si>
  <si>
    <t>Global Digital group and Site Owner of each country site will be available to respond the questionnaire as part of discovery phase</t>
  </si>
  <si>
    <t>Week 1</t>
  </si>
  <si>
    <t>Global Digital group and Site Owner of each country site will be available to attend the Discovery workshop</t>
  </si>
  <si>
    <t>Access to Fidelity CMS environment and code base will be provided to Sapient Project Team</t>
  </si>
  <si>
    <t>Fidelity Technical team will be available to respond to questionnaire as part of discovery phase</t>
  </si>
  <si>
    <t>Week 2</t>
  </si>
  <si>
    <t>Fidelity Technical team will be available to attend the Discovery workshop</t>
  </si>
  <si>
    <t>Fidelity Technical Team will share the technical artifacts like Solution Architecture, Physical Architecture, Design Documents for various functionality and component</t>
  </si>
  <si>
    <t>Fidelity will share list of 10 pages from UK, Australia, Japan, Global institutional website and any of central European country site for assessment</t>
  </si>
  <si>
    <t>Fidelity will share list of 10 pages from UK, Australia, Japan, Global institutional website and any of central European country site for SEO assessment</t>
  </si>
  <si>
    <t>Fidelity will share the list of 2 high complexity, 2 medium complexity components for each scoped site along with its code base, design document and technical artifacts for assessment</t>
  </si>
  <si>
    <t>Fidelity will share the list of 3 global components ( Like Header, Footer and Hero) used in each site along with its code base, design document and technical artifacts for assessment</t>
  </si>
  <si>
    <t>Fidelity Global Digital group and Technical team will be available for review CMS maturity model</t>
  </si>
  <si>
    <t>Week 4</t>
  </si>
  <si>
    <t>Fidelity Global Digital group will be available for reviewing CMS Operational Recommendation guide</t>
  </si>
  <si>
    <t>Week 3</t>
  </si>
  <si>
    <t>Fidelity will have 2 review cycle to share the feedback to Sapient for any delivered artifact.</t>
  </si>
  <si>
    <t>Sites under each site categories has same physical architecture</t>
  </si>
  <si>
    <t>Sites under each site categories uses same analytics tools and approach to capture analytics data</t>
  </si>
  <si>
    <t>Fidelity Technical Team will be available for answer clarification requested from Sapient Technical team during assessment</t>
  </si>
  <si>
    <t>All</t>
  </si>
  <si>
    <t xml:space="preserve">Fidelity Global Digital group  and Fidelity Technical Team and will be available for review of Final Deliverable </t>
  </si>
  <si>
    <t>Week 7 &amp; Week 8</t>
  </si>
  <si>
    <t>W0</t>
  </si>
  <si>
    <t>DEF</t>
  </si>
  <si>
    <t>OPTIMIZE</t>
  </si>
  <si>
    <t>Support other tracks of work to consolidate the findings and help in presenting to clients</t>
  </si>
  <si>
    <t>During first 2 weeks of the project there will be no more than 10 interviews with Business and Technology stakeholders</t>
  </si>
  <si>
    <t>Assessment</t>
  </si>
  <si>
    <t>Group 1</t>
  </si>
  <si>
    <t>Group 2</t>
  </si>
  <si>
    <t>How many websites assumed under Japan " Intermediary business websites"</t>
  </si>
  <si>
    <t>Group 3</t>
  </si>
  <si>
    <t>Group 4</t>
  </si>
  <si>
    <t>10 pages from any one site within each group will be evaluated to identify compliance with CMS maturity model</t>
  </si>
  <si>
    <t>How about workflow for sites in old version of Teamsites sites?</t>
  </si>
  <si>
    <t>Are we going to audit each site? Or any one within each group?</t>
  </si>
  <si>
    <t>Maturity Model &amp; Best Practices</t>
  </si>
  <si>
    <t>why do we need to review this ? &lt;to define best practices ?&gt;</t>
  </si>
  <si>
    <t>Teamsite eStudio 8.2 will be leveraged as Global CMS Platform.</t>
  </si>
  <si>
    <t>General (Single POC/ Access / Review )</t>
  </si>
  <si>
    <t>A single point of contact will be available from Fidelity technical team to provide the support.</t>
  </si>
  <si>
    <t>A single point of contact will be available from Fidelity team to help blocking diaries of required Fidelity team in varoius geographies</t>
  </si>
  <si>
    <t>Out of scope</t>
  </si>
  <si>
    <t>Content migration approach will NOT be evaluated as part of this scope</t>
  </si>
  <si>
    <t>Scope</t>
  </si>
  <si>
    <t>Dependencies</t>
  </si>
  <si>
    <t>Due</t>
  </si>
  <si>
    <t xml:space="preserve">Availablity of SPOC - for workshops/ questionnaire response/ review/ </t>
  </si>
  <si>
    <t>Scope confirmation / artifacts - resources availablity</t>
  </si>
  <si>
    <t>We will not be visiting local geographies and all workshop/ interviews will be conducted from one location only (London / somewhere in Asia)</t>
  </si>
  <si>
    <t>In how many days we expect artifact to be reviwed?.. 3 days</t>
  </si>
  <si>
    <t>Assuming 6 Interviews</t>
  </si>
  <si>
    <t>Additional Site Category Identified during Discovery</t>
  </si>
  <si>
    <t xml:space="preserve">Japan PI and Intermediary business websites are based on teamsite 7.x site and will be evaluated against it's current state. </t>
  </si>
  <si>
    <t>Taiwan and Korean websites are based on teamsite 7.x site and will be evaluated against it's current state.  As both of this website shares same platform, for assessment, it will be considered as single entity.</t>
  </si>
  <si>
    <t>Singapur &amp; Hong Kong websites are based on teamsite 7.x site and will be evaluated against it's current state.  As both of this website shares same platform, for assessment, it will be considered as single entity.</t>
  </si>
  <si>
    <t>Outcome of the assessment helps Fidelity to understand the,
1&gt; Maturity Level of their Global CMS Platform (Teamsite 8.2)
2&gt; Maturity Level of their UK and Australia site which are under Teamsite 8.2 platform
3&gt; Maturity Level of 22 Cenral Europian, Japan and Global Instutional, Singapur, Hong Kong, Korea and Taiwan  website which are under Teamsite 7.x platform.
4&gt; Recommendations and options on how to achieve a high degree and global alignment of the CMS from an functional and operational perspective.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</si>
</sst>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dd\-mmm\-yyyy"/>
    <numFmt numFmtId="165" formatCode="_([$€]* #,##0.00_);_([$€]* \(#,##0.00\);_([$€]* &quot;-&quot;??_);_(@_)"/>
    <numFmt numFmtId="166" formatCode="[$-809]dd\-mmm\-yy;@"/>
    <numFmt numFmtId="167" formatCode="0.0"/>
    <numFmt numFmtId="168" formatCode="[$-409]d\-mmm\-yy;@"/>
  </numFmts>
  <fonts count="42" x14ac:knownFonts="1">
    <font>
      <sz val="12"/>
      <color theme="1"/>
      <name val="Calibri"/>
      <family val="2"/>
      <scheme val="minor"/>
    </font>
    <font>
      <u/>
      <sz val="12"/>
      <color theme="10"/>
      <name val="Calibri"/>
      <family val="2"/>
      <scheme val="minor"/>
    </font>
    <font>
      <u/>
      <sz val="12"/>
      <color theme="11"/>
      <name val="Calibri"/>
      <family val="2"/>
      <scheme val="minor"/>
    </font>
    <font>
      <sz val="10"/>
      <name val="Arial"/>
      <family val="2"/>
    </font>
    <font>
      <b/>
      <sz val="10"/>
      <name val="Arial"/>
      <family val="2"/>
    </font>
    <font>
      <sz val="8"/>
      <name val="SapientSansRegular"/>
    </font>
    <font>
      <b/>
      <sz val="10"/>
      <color theme="1"/>
      <name val="Calibri"/>
      <family val="2"/>
      <scheme val="minor"/>
    </font>
    <font>
      <sz val="10"/>
      <color theme="1"/>
      <name val="Calibri"/>
      <family val="2"/>
      <scheme val="minor"/>
    </font>
    <font>
      <b/>
      <sz val="16"/>
      <color rgb="FFFF0000"/>
      <name val="Calibri"/>
      <family val="2"/>
      <scheme val="minor"/>
    </font>
    <font>
      <b/>
      <sz val="12"/>
      <color theme="1"/>
      <name val="Calibri"/>
      <family val="2"/>
      <scheme val="minor"/>
    </font>
    <font>
      <b/>
      <sz val="12"/>
      <color rgb="FFFF0000"/>
      <name val="Calibri"/>
      <family val="2"/>
      <scheme val="minor"/>
    </font>
    <font>
      <sz val="8"/>
      <color indexed="81"/>
      <name val="Tahoma"/>
      <family val="2"/>
    </font>
    <font>
      <i/>
      <sz val="10"/>
      <color theme="1"/>
      <name val="Calibri"/>
      <family val="2"/>
      <scheme val="minor"/>
    </font>
    <font>
      <sz val="8"/>
      <color theme="1"/>
      <name val="Calibri"/>
      <family val="2"/>
      <scheme val="minor"/>
    </font>
    <font>
      <b/>
      <i/>
      <sz val="8"/>
      <color theme="0" tint="-4.9989318521683403E-2"/>
      <name val="Calibri"/>
      <family val="2"/>
      <scheme val="minor"/>
    </font>
    <font>
      <b/>
      <sz val="8"/>
      <color theme="1"/>
      <name val="Calibri"/>
      <family val="2"/>
      <scheme val="minor"/>
    </font>
    <font>
      <b/>
      <sz val="18"/>
      <color theme="1"/>
      <name val="Calibri"/>
      <family val="2"/>
      <scheme val="minor"/>
    </font>
    <font>
      <b/>
      <sz val="8"/>
      <color indexed="81"/>
      <name val="Tahoma"/>
      <family val="2"/>
    </font>
    <font>
      <sz val="12"/>
      <color rgb="FF000000"/>
      <name val="Calibri"/>
      <family val="2"/>
    </font>
    <font>
      <b/>
      <sz val="10"/>
      <color theme="1" tint="0.249977111117893"/>
      <name val="Calibri"/>
      <family val="2"/>
      <scheme val="minor"/>
    </font>
    <font>
      <b/>
      <sz val="10"/>
      <color rgb="FFFF0000"/>
      <name val="Calibri"/>
      <family val="2"/>
      <scheme val="minor"/>
    </font>
    <font>
      <sz val="12"/>
      <color rgb="FFFF0000"/>
      <name val="Calibri"/>
      <family val="2"/>
      <scheme val="minor"/>
    </font>
    <font>
      <b/>
      <sz val="10"/>
      <name val="Calibri"/>
      <family val="2"/>
      <scheme val="minor"/>
    </font>
    <font>
      <b/>
      <sz val="12"/>
      <name val="Calibri"/>
      <family val="2"/>
      <scheme val="minor"/>
    </font>
    <font>
      <sz val="10"/>
      <name val="Calibri"/>
      <family val="2"/>
      <scheme val="minor"/>
    </font>
    <font>
      <b/>
      <sz val="10"/>
      <color rgb="FF000000"/>
      <name val="Calibri"/>
      <family val="2"/>
    </font>
    <font>
      <sz val="12"/>
      <color theme="1"/>
      <name val="Calibri"/>
      <family val="2"/>
      <scheme val="minor"/>
    </font>
    <font>
      <sz val="12"/>
      <color theme="0"/>
      <name val="Calibri"/>
      <family val="2"/>
      <scheme val="minor"/>
    </font>
    <font>
      <sz val="12"/>
      <color theme="1"/>
      <name val="Webdings"/>
      <family val="1"/>
      <charset val="2"/>
    </font>
    <font>
      <b/>
      <sz val="12"/>
      <color rgb="FF000000"/>
      <name val="Webdings"/>
      <family val="1"/>
      <charset val="2"/>
    </font>
    <font>
      <sz val="9"/>
      <name val="Calibri"/>
      <family val="2"/>
      <scheme val="minor"/>
    </font>
    <font>
      <b/>
      <sz val="9"/>
      <color indexed="8"/>
      <name val="Calibri"/>
      <family val="2"/>
    </font>
    <font>
      <sz val="9"/>
      <color indexed="8"/>
      <name val="Calibri"/>
      <family val="2"/>
    </font>
    <font>
      <sz val="9"/>
      <name val="Calibri"/>
      <family val="2"/>
    </font>
    <font>
      <b/>
      <sz val="9"/>
      <name val="Calibri"/>
      <family val="2"/>
    </font>
    <font>
      <i/>
      <sz val="9"/>
      <name val="Calibri"/>
      <family val="2"/>
    </font>
    <font>
      <b/>
      <sz val="9"/>
      <name val="Calibri"/>
      <family val="2"/>
      <scheme val="minor"/>
    </font>
    <font>
      <sz val="10"/>
      <color rgb="FFFF0000"/>
      <name val="Calibri"/>
      <family val="2"/>
      <scheme val="minor"/>
    </font>
    <font>
      <sz val="9"/>
      <color indexed="81"/>
      <name val="Tahoma"/>
      <family val="2"/>
    </font>
    <font>
      <b/>
      <sz val="9"/>
      <color indexed="81"/>
      <name val="Tahoma"/>
      <family val="2"/>
    </font>
    <font>
      <sz val="10"/>
      <name val="Verdana"/>
      <family val="2"/>
    </font>
    <font>
      <strike/>
      <sz val="10"/>
      <color theme="1"/>
      <name val="Calibri"/>
      <family val="2"/>
      <scheme val="minor"/>
    </font>
  </fonts>
  <fills count="26">
    <fill>
      <patternFill patternType="none"/>
    </fill>
    <fill>
      <patternFill patternType="gray125"/>
    </fill>
    <fill>
      <patternFill patternType="solid">
        <fgColor indexed="9"/>
        <bgColor indexed="64"/>
      </patternFill>
    </fill>
    <fill>
      <patternFill patternType="solid">
        <fgColor indexed="25"/>
        <bgColor indexed="64"/>
      </patternFill>
    </fill>
    <fill>
      <patternFill patternType="solid">
        <fgColor rgb="FFC0C0C0"/>
        <bgColor indexed="64"/>
      </patternFill>
    </fill>
    <fill>
      <patternFill patternType="solid">
        <fgColor rgb="FFFFFF99"/>
        <bgColor indexed="64"/>
      </patternFill>
    </fill>
    <fill>
      <patternFill patternType="solid">
        <fgColor rgb="FFFF0000"/>
        <bgColor indexed="64"/>
      </patternFill>
    </fill>
    <fill>
      <patternFill patternType="solid">
        <fgColor rgb="FFFFCC00"/>
        <bgColor indexed="64"/>
      </patternFill>
    </fill>
    <fill>
      <patternFill patternType="solid">
        <fgColor rgb="FFFF6600"/>
        <bgColor indexed="64"/>
      </patternFill>
    </fill>
    <fill>
      <patternFill patternType="solid">
        <fgColor rgb="FF00FF00"/>
        <bgColor indexed="64"/>
      </patternFill>
    </fill>
    <fill>
      <patternFill patternType="solid">
        <fgColor rgb="FFCCFFF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rgb="FFDFE5E6"/>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FFC000"/>
        <bgColor indexed="64"/>
      </patternFill>
    </fill>
  </fills>
  <borders count="230">
    <border>
      <left/>
      <right/>
      <top/>
      <bottom/>
      <diagonal/>
    </border>
    <border>
      <left/>
      <right/>
      <top style="hair">
        <color indexed="22"/>
      </top>
      <bottom style="hair">
        <color indexed="22"/>
      </bottom>
      <diagonal/>
    </border>
    <border>
      <left style="thin">
        <color indexed="26"/>
      </left>
      <right style="thin">
        <color indexed="26"/>
      </right>
      <top style="thin">
        <color indexed="26"/>
      </top>
      <bottom style="thin">
        <color indexed="26"/>
      </bottom>
      <diagonal/>
    </border>
    <border>
      <left style="thin">
        <color indexed="26"/>
      </left>
      <right style="thin">
        <color indexed="26"/>
      </right>
      <top style="thin">
        <color auto="1"/>
      </top>
      <bottom style="thin">
        <color indexed="10"/>
      </bottom>
      <diagonal/>
    </border>
    <border>
      <left style="thin">
        <color rgb="FFCCFFFF"/>
      </left>
      <right style="thin">
        <color auto="1"/>
      </right>
      <top/>
      <bottom/>
      <diagonal/>
    </border>
    <border>
      <left style="thin">
        <color rgb="FFCCFFFF"/>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top style="thin">
        <color auto="1"/>
      </top>
      <bottom/>
      <diagonal/>
    </border>
    <border>
      <left style="thin">
        <color rgb="FFCCFFFF"/>
      </left>
      <right style="thin">
        <color auto="1"/>
      </right>
      <top style="thin">
        <color auto="1"/>
      </top>
      <bottom style="thin">
        <color auto="1"/>
      </bottom>
      <diagonal/>
    </border>
    <border>
      <left/>
      <right style="thin">
        <color rgb="FFCCFFFF"/>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theme="0" tint="-0.34998626667073579"/>
      </right>
      <top style="thin">
        <color auto="1"/>
      </top>
      <bottom style="thin">
        <color theme="0" tint="-0.14996795556505021"/>
      </bottom>
      <diagonal/>
    </border>
    <border>
      <left style="thin">
        <color auto="1"/>
      </left>
      <right style="thin">
        <color theme="0" tint="-0.34998626667073579"/>
      </right>
      <top style="thin">
        <color theme="0" tint="-0.14996795556505021"/>
      </top>
      <bottom style="thin">
        <color theme="0" tint="-0.14996795556505021"/>
      </bottom>
      <diagonal/>
    </border>
    <border>
      <left style="thin">
        <color auto="1"/>
      </left>
      <right style="thin">
        <color theme="0" tint="-0.34998626667073579"/>
      </right>
      <top/>
      <bottom style="thin">
        <color auto="1"/>
      </bottom>
      <diagonal/>
    </border>
    <border>
      <left/>
      <right style="thin">
        <color indexed="47"/>
      </right>
      <top style="thin">
        <color auto="1"/>
      </top>
      <bottom style="thin">
        <color theme="0" tint="-0.14996795556505021"/>
      </bottom>
      <diagonal/>
    </border>
    <border>
      <left style="thin">
        <color indexed="47"/>
      </left>
      <right style="thin">
        <color indexed="47"/>
      </right>
      <top style="thin">
        <color auto="1"/>
      </top>
      <bottom style="thin">
        <color theme="0" tint="-0.14996795556505021"/>
      </bottom>
      <diagonal/>
    </border>
    <border>
      <left/>
      <right style="thin">
        <color indexed="47"/>
      </right>
      <top style="thin">
        <color theme="0" tint="-0.14996795556505021"/>
      </top>
      <bottom style="thin">
        <color theme="0" tint="-0.14996795556505021"/>
      </bottom>
      <diagonal/>
    </border>
    <border>
      <left style="thin">
        <color indexed="47"/>
      </left>
      <right style="thin">
        <color indexed="47"/>
      </right>
      <top style="thin">
        <color theme="0" tint="-0.14996795556505021"/>
      </top>
      <bottom style="thin">
        <color theme="0" tint="-0.14996795556505021"/>
      </bottom>
      <diagonal/>
    </border>
    <border>
      <left/>
      <right style="thin">
        <color indexed="47"/>
      </right>
      <top/>
      <bottom style="thin">
        <color auto="1"/>
      </bottom>
      <diagonal/>
    </border>
    <border>
      <left style="thin">
        <color indexed="47"/>
      </left>
      <right style="thin">
        <color indexed="47"/>
      </right>
      <top/>
      <bottom style="thin">
        <color auto="1"/>
      </bottom>
      <diagonal/>
    </border>
    <border>
      <left style="thin">
        <color auto="1"/>
      </left>
      <right style="thin">
        <color theme="0" tint="-0.24994659260841701"/>
      </right>
      <top style="thin">
        <color auto="1"/>
      </top>
      <bottom style="thin">
        <color theme="0" tint="-0.14996795556505021"/>
      </bottom>
      <diagonal/>
    </border>
    <border>
      <left style="thin">
        <color auto="1"/>
      </left>
      <right style="thin">
        <color theme="0" tint="-0.24994659260841701"/>
      </right>
      <top style="thin">
        <color theme="0" tint="-0.14996795556505021"/>
      </top>
      <bottom style="thin">
        <color theme="0" tint="-0.14996795556505021"/>
      </bottom>
      <diagonal/>
    </border>
    <border>
      <left/>
      <right style="thin">
        <color auto="1"/>
      </right>
      <top style="thin">
        <color auto="1"/>
      </top>
      <bottom style="thin">
        <color theme="0" tint="-0.14996795556505021"/>
      </bottom>
      <diagonal/>
    </border>
    <border>
      <left/>
      <right style="thin">
        <color auto="1"/>
      </right>
      <top style="thin">
        <color theme="0" tint="-0.14996795556505021"/>
      </top>
      <bottom style="thin">
        <color theme="0" tint="-0.14996795556505021"/>
      </bottom>
      <diagonal/>
    </border>
    <border>
      <left/>
      <right style="thin">
        <color auto="1"/>
      </right>
      <top style="thin">
        <color theme="0" tint="-0.14996795556505021"/>
      </top>
      <bottom style="thin">
        <color auto="1"/>
      </bottom>
      <diagonal/>
    </border>
    <border>
      <left/>
      <right style="thin">
        <color auto="1"/>
      </right>
      <top style="thin">
        <color auto="1"/>
      </top>
      <bottom/>
      <diagonal/>
    </border>
    <border>
      <left/>
      <right style="thin">
        <color auto="1"/>
      </right>
      <top/>
      <bottom/>
      <diagonal/>
    </border>
    <border>
      <left style="thin">
        <color auto="1"/>
      </left>
      <right style="thin">
        <color theme="0" tint="-0.24994659260841701"/>
      </right>
      <top style="thin">
        <color theme="0" tint="-0.14996795556505021"/>
      </top>
      <bottom style="thin">
        <color auto="1"/>
      </bottom>
      <diagonal/>
    </border>
    <border>
      <left style="thin">
        <color auto="1"/>
      </left>
      <right style="thin">
        <color theme="0" tint="-0.249977111117893"/>
      </right>
      <top style="thin">
        <color auto="1"/>
      </top>
      <bottom style="thin">
        <color auto="1"/>
      </bottom>
      <diagonal/>
    </border>
    <border>
      <left style="thin">
        <color auto="1"/>
      </left>
      <right style="thin">
        <color auto="1"/>
      </right>
      <top style="thin">
        <color auto="1"/>
      </top>
      <bottom style="thin">
        <color theme="0" tint="-0.249977111117893"/>
      </bottom>
      <diagonal/>
    </border>
    <border>
      <left style="thin">
        <color auto="1"/>
      </left>
      <right/>
      <top style="thin">
        <color auto="1"/>
      </top>
      <bottom style="thin">
        <color theme="0" tint="-0.249977111117893"/>
      </bottom>
      <diagonal/>
    </border>
    <border>
      <left/>
      <right style="thin">
        <color auto="1"/>
      </right>
      <top style="thin">
        <color auto="1"/>
      </top>
      <bottom style="thin">
        <color theme="0" tint="-0.249977111117893"/>
      </bottom>
      <diagonal/>
    </border>
    <border>
      <left/>
      <right/>
      <top/>
      <bottom style="thin">
        <color theme="0" tint="-0.14999847407452621"/>
      </bottom>
      <diagonal/>
    </border>
    <border>
      <left/>
      <right style="thin">
        <color rgb="FFCCFFFF"/>
      </right>
      <top/>
      <bottom style="thin">
        <color theme="0" tint="-0.14999847407452621"/>
      </bottom>
      <diagonal/>
    </border>
    <border>
      <left/>
      <right/>
      <top style="thin">
        <color theme="0" tint="-0.14999847407452621"/>
      </top>
      <bottom style="thin">
        <color theme="0" tint="-0.14999847407452621"/>
      </bottom>
      <diagonal/>
    </border>
    <border>
      <left/>
      <right style="thin">
        <color auto="1"/>
      </right>
      <top style="thin">
        <color theme="0" tint="-0.14999847407452621"/>
      </top>
      <bottom style="thin">
        <color theme="0" tint="-0.14999847407452621"/>
      </bottom>
      <diagonal/>
    </border>
    <border>
      <left/>
      <right style="thin">
        <color auto="1"/>
      </right>
      <top/>
      <bottom style="thin">
        <color theme="0" tint="-0.14999847407452621"/>
      </bottom>
      <diagonal/>
    </border>
    <border>
      <left style="thin">
        <color auto="1"/>
      </left>
      <right style="thin">
        <color theme="0" tint="-0.249977111117893"/>
      </right>
      <top/>
      <bottom style="thin">
        <color auto="1"/>
      </bottom>
      <diagonal/>
    </border>
    <border>
      <left/>
      <right style="thin">
        <color theme="0" tint="-0.14999847407452621"/>
      </right>
      <top style="thin">
        <color auto="1"/>
      </top>
      <bottom style="thin">
        <color auto="1"/>
      </bottom>
      <diagonal/>
    </border>
    <border>
      <left style="thin">
        <color auto="1"/>
      </left>
      <right style="thin">
        <color theme="0" tint="-0.14999847407452621"/>
      </right>
      <top style="thin">
        <color auto="1"/>
      </top>
      <bottom style="thin">
        <color theme="0" tint="-0.249977111117893"/>
      </bottom>
      <diagonal/>
    </border>
    <border>
      <left style="thin">
        <color rgb="FFCCFFFF"/>
      </left>
      <right style="thin">
        <color theme="0" tint="-0.14999847407452621"/>
      </right>
      <top/>
      <bottom style="thin">
        <color theme="0" tint="-0.14999847407452621"/>
      </bottom>
      <diagonal/>
    </border>
    <border>
      <left style="thin">
        <color rgb="FFCCFFFF"/>
      </left>
      <right style="thin">
        <color theme="0" tint="-0.14999847407452621"/>
      </right>
      <top style="thin">
        <color theme="0" tint="-0.14999847407452621"/>
      </top>
      <bottom style="thin">
        <color theme="0" tint="-0.14999847407452621"/>
      </bottom>
      <diagonal/>
    </border>
    <border>
      <left style="thin">
        <color rgb="FFCCFFFF"/>
      </left>
      <right style="thin">
        <color theme="0" tint="-0.14999847407452621"/>
      </right>
      <top/>
      <bottom style="thin">
        <color auto="1"/>
      </bottom>
      <diagonal/>
    </border>
    <border>
      <left/>
      <right style="thin">
        <color theme="0" tint="-0.14999847407452621"/>
      </right>
      <top style="thin">
        <color auto="1"/>
      </top>
      <bottom style="thin">
        <color theme="0" tint="-0.249977111117893"/>
      </bottom>
      <diagonal/>
    </border>
    <border>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thin">
        <color theme="0" tint="-0.14999847407452621"/>
      </right>
      <top/>
      <bottom style="thin">
        <color auto="1"/>
      </bottom>
      <diagonal/>
    </border>
    <border>
      <left/>
      <right style="thin">
        <color theme="0" tint="-0.14999847407452621"/>
      </right>
      <top/>
      <bottom/>
      <diagonal/>
    </border>
    <border>
      <left/>
      <right/>
      <top style="thin">
        <color auto="1"/>
      </top>
      <bottom style="thin">
        <color theme="0" tint="-0.249977111117893"/>
      </bottom>
      <diagonal/>
    </border>
    <border>
      <left style="thin">
        <color auto="1"/>
      </left>
      <right style="thin">
        <color theme="0" tint="-0.14999847407452621"/>
      </right>
      <top style="thin">
        <color theme="0" tint="-0.14999847407452621"/>
      </top>
      <bottom style="thin">
        <color auto="1"/>
      </bottom>
      <diagonal/>
    </border>
    <border>
      <left/>
      <right style="thin">
        <color theme="0" tint="-0.14999847407452621"/>
      </right>
      <top style="thin">
        <color theme="0" tint="-0.14999847407452621"/>
      </top>
      <bottom style="thin">
        <color auto="1"/>
      </bottom>
      <diagonal/>
    </border>
    <border>
      <left style="thin">
        <color theme="0" tint="-0.14999847407452621"/>
      </left>
      <right style="thin">
        <color auto="1"/>
      </right>
      <top style="thin">
        <color auto="1"/>
      </top>
      <bottom style="thin">
        <color theme="0" tint="-0.249977111117893"/>
      </bottom>
      <diagonal/>
    </border>
    <border>
      <left style="thin">
        <color theme="0" tint="-0.14999847407452621"/>
      </left>
      <right style="thin">
        <color theme="0" tint="-0.14999847407452621"/>
      </right>
      <top style="thin">
        <color auto="1"/>
      </top>
      <bottom/>
      <diagonal/>
    </border>
    <border>
      <left style="thin">
        <color theme="0" tint="-0.14999847407452621"/>
      </left>
      <right style="thin">
        <color theme="0" tint="-0.14999847407452621"/>
      </right>
      <top style="thin">
        <color auto="1"/>
      </top>
      <bottom style="thin">
        <color theme="0" tint="-0.249977111117893"/>
      </bottom>
      <diagonal/>
    </border>
    <border>
      <left style="thin">
        <color theme="0" tint="-0.14999847407452621"/>
      </left>
      <right style="thin">
        <color theme="0" tint="-0.14999847407452621"/>
      </right>
      <top/>
      <bottom/>
      <diagonal/>
    </border>
    <border>
      <left style="thin">
        <color auto="1"/>
      </left>
      <right style="thin">
        <color theme="0" tint="-0.14999847407452621"/>
      </right>
      <top style="thin">
        <color auto="1"/>
      </top>
      <bottom style="thin">
        <color theme="0" tint="-0.14999847407452621"/>
      </bottom>
      <diagonal/>
    </border>
    <border>
      <left style="thin">
        <color theme="0" tint="-0.14999847407452621"/>
      </left>
      <right style="thin">
        <color theme="0" tint="-0.14999847407452621"/>
      </right>
      <top style="thin">
        <color auto="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auto="1"/>
      </top>
      <bottom/>
      <diagonal/>
    </border>
    <border>
      <left style="thin">
        <color auto="1"/>
      </left>
      <right style="thin">
        <color auto="1"/>
      </right>
      <top style="thin">
        <color theme="0" tint="-0.14999847407452621"/>
      </top>
      <bottom style="thin">
        <color theme="0" tint="-0.14999847407452621"/>
      </bottom>
      <diagonal/>
    </border>
    <border>
      <left style="thin">
        <color auto="1"/>
      </left>
      <right style="thin">
        <color theme="0" tint="-0.14999847407452621"/>
      </right>
      <top/>
      <bottom/>
      <diagonal/>
    </border>
    <border>
      <left style="thin">
        <color rgb="FFCCFFFF"/>
      </left>
      <right style="thin">
        <color theme="0" tint="-0.14999847407452621"/>
      </right>
      <top/>
      <bottom/>
      <diagonal/>
    </border>
    <border>
      <left style="thin">
        <color auto="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auto="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top/>
      <bottom style="thin">
        <color theme="0" tint="-0.14999847407452621"/>
      </bottom>
      <diagonal/>
    </border>
    <border>
      <left/>
      <right style="thin">
        <color theme="0" tint="-0.14999847407452621"/>
      </right>
      <top style="thin">
        <color rgb="FFCCFFFF"/>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theme="0" tint="-0.14999847407452621"/>
      </top>
      <bottom/>
      <diagonal/>
    </border>
    <border>
      <left style="thin">
        <color auto="1"/>
      </left>
      <right style="thin">
        <color theme="0" tint="-0.14999847407452621"/>
      </right>
      <top/>
      <bottom style="thin">
        <color theme="0" tint="-0.14999847407452621"/>
      </bottom>
      <diagonal/>
    </border>
    <border>
      <left style="thin">
        <color theme="0" tint="-0.14999847407452621"/>
      </left>
      <right style="thin">
        <color auto="1"/>
      </right>
      <top/>
      <bottom style="thin">
        <color theme="0" tint="-0.14999847407452621"/>
      </bottom>
      <diagonal/>
    </border>
    <border>
      <left style="thin">
        <color auto="1"/>
      </left>
      <right style="thin">
        <color rgb="FFCCFFFF"/>
      </right>
      <top/>
      <bottom style="thin">
        <color auto="1"/>
      </bottom>
      <diagonal/>
    </border>
    <border>
      <left/>
      <right style="thin">
        <color rgb="FFCCFFFF"/>
      </right>
      <top/>
      <bottom style="thin">
        <color auto="1"/>
      </bottom>
      <diagonal/>
    </border>
    <border>
      <left style="thin">
        <color rgb="FFCCFFFF"/>
      </left>
      <right style="thin">
        <color auto="1"/>
      </right>
      <top/>
      <bottom style="thin">
        <color theme="0" tint="-0.14999847407452621"/>
      </bottom>
      <diagonal/>
    </border>
    <border>
      <left style="thin">
        <color auto="1"/>
      </left>
      <right/>
      <top style="thin">
        <color theme="0" tint="-0.249977111117893"/>
      </top>
      <bottom style="thin">
        <color theme="0" tint="-0.14999847407452621"/>
      </bottom>
      <diagonal/>
    </border>
    <border>
      <left style="thin">
        <color rgb="FFCCFFFF"/>
      </left>
      <right style="thin">
        <color theme="0" tint="-0.14999847407452621"/>
      </right>
      <top style="thin">
        <color theme="0" tint="-0.249977111117893"/>
      </top>
      <bottom style="thin">
        <color theme="0" tint="-0.14999847407452621"/>
      </bottom>
      <diagonal/>
    </border>
    <border>
      <left/>
      <right/>
      <top style="thin">
        <color theme="0" tint="-0.249977111117893"/>
      </top>
      <bottom style="thin">
        <color theme="0" tint="-0.14999847407452621"/>
      </bottom>
      <diagonal/>
    </border>
    <border>
      <left style="thin">
        <color rgb="FFCCFFFF"/>
      </left>
      <right style="thin">
        <color auto="1"/>
      </right>
      <top style="thin">
        <color theme="0" tint="-0.249977111117893"/>
      </top>
      <bottom style="thin">
        <color theme="0" tint="-0.14999847407452621"/>
      </bottom>
      <diagonal/>
    </border>
    <border>
      <left style="thin">
        <color auto="1"/>
      </left>
      <right style="thin">
        <color theme="0" tint="-0.14999847407452621"/>
      </right>
      <top style="thin">
        <color auto="1"/>
      </top>
      <bottom style="thin">
        <color auto="1"/>
      </bottom>
      <diagonal/>
    </border>
    <border>
      <left style="thin">
        <color auto="1"/>
      </left>
      <right style="thin">
        <color theme="0" tint="-0.14999847407452621"/>
      </right>
      <top/>
      <bottom style="thin">
        <color auto="1"/>
      </bottom>
      <diagonal/>
    </border>
    <border>
      <left style="thin">
        <color auto="1"/>
      </left>
      <right style="thin">
        <color theme="0" tint="-0.14999847407452621"/>
      </right>
      <top style="thin">
        <color rgb="FFCCFFFF"/>
      </top>
      <bottom style="thin">
        <color theme="0" tint="-0.14999847407452621"/>
      </bottom>
      <diagonal/>
    </border>
    <border>
      <left/>
      <right style="thin">
        <color rgb="FFCCFFFF"/>
      </right>
      <top style="thin">
        <color theme="0" tint="-0.14999847407452621"/>
      </top>
      <bottom style="thin">
        <color theme="0" tint="-0.14999847407452621"/>
      </bottom>
      <diagonal/>
    </border>
    <border>
      <left style="thin">
        <color rgb="FFCCFFFF"/>
      </left>
      <right style="thin">
        <color auto="1"/>
      </right>
      <top style="thin">
        <color theme="0" tint="-0.14999847407452621"/>
      </top>
      <bottom style="thin">
        <color theme="0" tint="-0.14999847407452621"/>
      </bottom>
      <diagonal/>
    </border>
    <border>
      <left/>
      <right style="thin">
        <color auto="1"/>
      </right>
      <top/>
      <bottom style="thin">
        <color auto="1"/>
      </bottom>
      <diagonal/>
    </border>
    <border>
      <left/>
      <right style="thin">
        <color theme="0" tint="-0.249977111117893"/>
      </right>
      <top style="thin">
        <color auto="1"/>
      </top>
      <bottom style="thin">
        <color auto="1"/>
      </bottom>
      <diagonal/>
    </border>
    <border>
      <left style="thin">
        <color theme="0" tint="-0.14999847407452621"/>
      </left>
      <right style="thin">
        <color theme="0" tint="-0.14999847407452621"/>
      </right>
      <top style="thin">
        <color theme="0" tint="-0.14999847407452621"/>
      </top>
      <bottom style="thin">
        <color auto="1"/>
      </bottom>
      <diagonal/>
    </border>
    <border>
      <left style="thin">
        <color theme="0" tint="-0.14999847407452621"/>
      </left>
      <right style="thin">
        <color theme="0" tint="-0.14999847407452621"/>
      </right>
      <top/>
      <bottom style="thin">
        <color auto="1"/>
      </bottom>
      <diagonal/>
    </border>
    <border>
      <left style="thin">
        <color theme="0" tint="-0.14999847407452621"/>
      </left>
      <right style="thin">
        <color rgb="FFCCFFFF"/>
      </right>
      <top style="thin">
        <color theme="0" tint="-0.14999847407452621"/>
      </top>
      <bottom style="thin">
        <color theme="0" tint="-0.14999847407452621"/>
      </bottom>
      <diagonal/>
    </border>
    <border>
      <left/>
      <right style="thin">
        <color auto="1"/>
      </right>
      <top style="thin">
        <color theme="0" tint="-0.249977111117893"/>
      </top>
      <bottom style="thin">
        <color theme="0" tint="-0.14999847407452621"/>
      </bottom>
      <diagonal/>
    </border>
    <border>
      <left style="thin">
        <color auto="1"/>
      </left>
      <right style="thin">
        <color theme="0" tint="-0.14999847407452621"/>
      </right>
      <top style="thin">
        <color theme="0" tint="-0.249977111117893"/>
      </top>
      <bottom style="thin">
        <color theme="0" tint="-0.14999847407452621"/>
      </bottom>
      <diagonal/>
    </border>
    <border>
      <left/>
      <right/>
      <top style="thin">
        <color auto="1"/>
      </top>
      <bottom/>
      <diagonal/>
    </border>
    <border>
      <left style="thin">
        <color auto="1"/>
      </left>
      <right style="thin">
        <color auto="1"/>
      </right>
      <top/>
      <bottom style="thin">
        <color theme="0" tint="-0.14999847407452621"/>
      </bottom>
      <diagonal/>
    </border>
    <border>
      <left/>
      <right style="thin">
        <color rgb="FFCCFFFF"/>
      </right>
      <top style="thin">
        <color auto="1"/>
      </top>
      <bottom style="thin">
        <color auto="1"/>
      </bottom>
      <diagonal/>
    </border>
    <border>
      <left style="thin">
        <color rgb="FFCCFFFF"/>
      </left>
      <right style="thin">
        <color theme="0" tint="-0.14999847407452621"/>
      </right>
      <top style="thin">
        <color auto="1"/>
      </top>
      <bottom style="thin">
        <color auto="1"/>
      </bottom>
      <diagonal/>
    </border>
    <border>
      <left style="thin">
        <color theme="0" tint="-0.14999847407452621"/>
      </left>
      <right style="thin">
        <color rgb="FFCCFFFF"/>
      </right>
      <top style="thin">
        <color auto="1"/>
      </top>
      <bottom style="thin">
        <color auto="1"/>
      </bottom>
      <diagonal/>
    </border>
    <border>
      <left style="thin">
        <color theme="0" tint="-0.14999847407452621"/>
      </left>
      <right/>
      <top style="thin">
        <color auto="1"/>
      </top>
      <bottom style="thin">
        <color auto="1"/>
      </bottom>
      <diagonal/>
    </border>
    <border>
      <left style="thin">
        <color theme="0" tint="-0.14999847407452621"/>
      </left>
      <right style="thin">
        <color auto="1"/>
      </right>
      <top style="thin">
        <color auto="1"/>
      </top>
      <bottom style="thin">
        <color auto="1"/>
      </bottom>
      <diagonal/>
    </border>
    <border>
      <left style="thin">
        <color theme="0" tint="-0.14999847407452621"/>
      </left>
      <right style="thin">
        <color theme="0" tint="-0.14999847407452621"/>
      </right>
      <top style="thin">
        <color auto="1"/>
      </top>
      <bottom style="thin">
        <color auto="1"/>
      </bottom>
      <diagonal/>
    </border>
    <border>
      <left style="thin">
        <color theme="0" tint="-0.14999847407452621"/>
      </left>
      <right style="thin">
        <color auto="1"/>
      </right>
      <top style="thin">
        <color theme="0" tint="-0.14999847407452621"/>
      </top>
      <bottom/>
      <diagonal/>
    </border>
    <border>
      <left style="thin">
        <color auto="1"/>
      </left>
      <right style="thin">
        <color auto="1"/>
      </right>
      <top/>
      <bottom/>
      <diagonal/>
    </border>
    <border>
      <left style="thin">
        <color auto="1"/>
      </left>
      <right style="thin">
        <color theme="0" tint="-0.14999847407452621"/>
      </right>
      <top/>
      <bottom style="thin">
        <color theme="0" tint="-0.249977111117893"/>
      </bottom>
      <diagonal/>
    </border>
    <border>
      <left style="thin">
        <color theme="0" tint="-0.14999847407452621"/>
      </left>
      <right style="thin">
        <color theme="0" tint="-0.14999847407452621"/>
      </right>
      <top/>
      <bottom style="thin">
        <color theme="0" tint="-0.249977111117893"/>
      </bottom>
      <diagonal/>
    </border>
    <border>
      <left/>
      <right style="thin">
        <color theme="0" tint="-0.14999847407452621"/>
      </right>
      <top/>
      <bottom style="thin">
        <color theme="0" tint="-0.249977111117893"/>
      </bottom>
      <diagonal/>
    </border>
    <border>
      <left/>
      <right style="thin">
        <color auto="1"/>
      </right>
      <top/>
      <bottom style="thin">
        <color theme="0" tint="-0.249977111117893"/>
      </bottom>
      <diagonal/>
    </border>
    <border>
      <left style="thin">
        <color auto="1"/>
      </left>
      <right style="thin">
        <color theme="0" tint="-0.14999847407452621"/>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auto="1"/>
      </right>
      <top style="thin">
        <color theme="0" tint="-0.249977111117893"/>
      </top>
      <bottom style="thin">
        <color theme="0" tint="-0.249977111117893"/>
      </bottom>
      <diagonal/>
    </border>
    <border>
      <left style="thin">
        <color auto="1"/>
      </left>
      <right style="thin">
        <color auto="1"/>
      </right>
      <top style="thin">
        <color theme="0" tint="-0.14999847407452621"/>
      </top>
      <bottom/>
      <diagonal/>
    </border>
    <border>
      <left/>
      <right style="thin">
        <color auto="1"/>
      </right>
      <top style="thin">
        <color auto="1"/>
      </top>
      <bottom style="thin">
        <color theme="0" tint="-0.14999847407452621"/>
      </bottom>
      <diagonal/>
    </border>
    <border>
      <left style="thin">
        <color theme="0" tint="-0.14999847407452621"/>
      </left>
      <right style="thin">
        <color auto="1"/>
      </right>
      <top style="thin">
        <color auto="1"/>
      </top>
      <bottom/>
      <diagonal/>
    </border>
    <border>
      <left style="thin">
        <color auto="1"/>
      </left>
      <right style="thin">
        <color theme="0" tint="-0.249977111117893"/>
      </right>
      <top/>
      <bottom/>
      <diagonal/>
    </border>
    <border>
      <left style="thin">
        <color theme="0" tint="-0.249977111117893"/>
      </left>
      <right/>
      <top style="thin">
        <color theme="0" tint="-0.249977111117893"/>
      </top>
      <bottom style="thin">
        <color theme="0" tint="-0.249977111117893"/>
      </bottom>
      <diagonal/>
    </border>
    <border>
      <left style="thin">
        <color auto="1"/>
      </left>
      <right style="thin">
        <color theme="0" tint="-0.249977111117893"/>
      </right>
      <top style="thin">
        <color auto="1"/>
      </top>
      <bottom/>
      <diagonal/>
    </border>
    <border>
      <left style="thin">
        <color theme="0" tint="-0.14999847407452621"/>
      </left>
      <right style="thin">
        <color auto="1"/>
      </right>
      <top style="thin">
        <color theme="0" tint="-0.249977111117893"/>
      </top>
      <bottom style="thin">
        <color auto="1"/>
      </bottom>
      <diagonal/>
    </border>
    <border>
      <left style="thin">
        <color theme="0" tint="-0.14999847407452621"/>
      </left>
      <right/>
      <top style="thin">
        <color theme="0" tint="-0.249977111117893"/>
      </top>
      <bottom style="thin">
        <color auto="1"/>
      </bottom>
      <diagonal/>
    </border>
    <border>
      <left style="thin">
        <color theme="0" tint="-0.249977111117893"/>
      </left>
      <right style="thin">
        <color theme="0" tint="-0.14999847407452621"/>
      </right>
      <top style="thin">
        <color auto="1"/>
      </top>
      <bottom/>
      <diagonal/>
    </border>
    <border>
      <left style="thin">
        <color theme="0" tint="-0.249977111117893"/>
      </left>
      <right style="thin">
        <color theme="0" tint="-0.14999847407452621"/>
      </right>
      <top style="thin">
        <color theme="0" tint="-0.14999847407452621"/>
      </top>
      <bottom/>
      <diagonal/>
    </border>
    <border>
      <left style="thin">
        <color theme="0" tint="-0.249977111117893"/>
      </left>
      <right/>
      <top style="thin">
        <color theme="0" tint="-0.14999847407452621"/>
      </top>
      <bottom style="thin">
        <color auto="1"/>
      </bottom>
      <diagonal/>
    </border>
    <border>
      <left style="thin">
        <color theme="0" tint="-0.14999847407452621"/>
      </left>
      <right style="thin">
        <color auto="1"/>
      </right>
      <top/>
      <bottom style="thin">
        <color auto="1"/>
      </bottom>
      <diagonal/>
    </border>
    <border>
      <left style="thin">
        <color theme="0" tint="-0.249977111117893"/>
      </left>
      <right/>
      <top style="thin">
        <color auto="1"/>
      </top>
      <bottom style="thin">
        <color auto="1"/>
      </bottom>
      <diagonal/>
    </border>
    <border>
      <left style="thin">
        <color theme="0" tint="-0.249977111117893"/>
      </left>
      <right style="thin">
        <color auto="1"/>
      </right>
      <top style="thin">
        <color theme="0" tint="-0.14999847407452621"/>
      </top>
      <bottom style="thin">
        <color auto="1"/>
      </bottom>
      <diagonal/>
    </border>
    <border>
      <left style="thin">
        <color theme="0" tint="-0.249977111117893"/>
      </left>
      <right style="thin">
        <color auto="1"/>
      </right>
      <top style="thin">
        <color auto="1"/>
      </top>
      <bottom style="thin">
        <color theme="0" tint="-0.14999847407452621"/>
      </bottom>
      <diagonal/>
    </border>
    <border>
      <left style="thin">
        <color auto="1"/>
      </left>
      <right/>
      <top style="thin">
        <color theme="0" tint="-0.14999847407452621"/>
      </top>
      <bottom/>
      <diagonal/>
    </border>
    <border>
      <left style="thin">
        <color auto="1"/>
      </left>
      <right style="thin">
        <color theme="0" tint="-0.14999847407452621"/>
      </right>
      <top style="thin">
        <color theme="0" tint="-0.14999847407452621"/>
      </top>
      <bottom/>
      <diagonal/>
    </border>
    <border>
      <left style="thin">
        <color theme="0" tint="-0.14999847407452621"/>
      </left>
      <right style="thin">
        <color auto="1"/>
      </right>
      <top style="thin">
        <color theme="0" tint="-0.14999847407452621"/>
      </top>
      <bottom style="thin">
        <color auto="1"/>
      </bottom>
      <diagonal/>
    </border>
    <border>
      <left/>
      <right/>
      <top/>
      <bottom style="thin">
        <color theme="0" tint="-0.249977111117893"/>
      </bottom>
      <diagonal/>
    </border>
    <border>
      <left/>
      <right style="thin">
        <color auto="1"/>
      </right>
      <top style="thin">
        <color auto="1"/>
      </top>
      <bottom style="thin">
        <color auto="1"/>
      </bottom>
      <diagonal/>
    </border>
    <border>
      <left style="thin">
        <color auto="1"/>
      </left>
      <right/>
      <top style="thin">
        <color theme="0" tint="-0.14999847407452621"/>
      </top>
      <bottom style="thin">
        <color theme="0" tint="-0.1499984740745262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theme="0" tint="-0.14999847407452621"/>
      </right>
      <top style="thin">
        <color auto="1"/>
      </top>
      <bottom style="thin">
        <color theme="0" tint="-0.249977111117893"/>
      </bottom>
      <diagonal/>
    </border>
    <border>
      <left style="thin">
        <color auto="1"/>
      </left>
      <right/>
      <top style="thin">
        <color theme="0" tint="-0.249977111117893"/>
      </top>
      <bottom style="thin">
        <color theme="0" tint="-0.249977111117893"/>
      </bottom>
      <diagonal/>
    </border>
    <border>
      <left style="thin">
        <color auto="1"/>
      </left>
      <right style="thin">
        <color auto="1"/>
      </right>
      <top style="thin">
        <color theme="0" tint="-0.249977111117893"/>
      </top>
      <bottom style="thin">
        <color theme="0" tint="-0.249977111117893"/>
      </bottom>
      <diagonal/>
    </border>
    <border>
      <left style="thin">
        <color auto="1"/>
      </left>
      <right/>
      <top style="thin">
        <color auto="1"/>
      </top>
      <bottom/>
      <diagonal/>
    </border>
    <border>
      <left/>
      <right style="thin">
        <color auto="1"/>
      </right>
      <top style="thin">
        <color auto="1"/>
      </top>
      <bottom/>
      <diagonal/>
    </border>
    <border>
      <left style="thin">
        <color indexed="47"/>
      </left>
      <right style="thin">
        <color auto="1"/>
      </right>
      <top style="thin">
        <color auto="1"/>
      </top>
      <bottom style="thin">
        <color theme="0" tint="-0.14996795556505021"/>
      </bottom>
      <diagonal/>
    </border>
    <border>
      <left style="thin">
        <color indexed="47"/>
      </left>
      <right style="thin">
        <color auto="1"/>
      </right>
      <top style="thin">
        <color theme="0" tint="-0.14996795556505021"/>
      </top>
      <bottom style="thin">
        <color theme="0" tint="-0.14996795556505021"/>
      </bottom>
      <diagonal/>
    </border>
    <border>
      <left style="thin">
        <color indexed="47"/>
      </left>
      <right style="thin">
        <color auto="1"/>
      </right>
      <top/>
      <bottom style="thin">
        <color auto="1"/>
      </bottom>
      <diagonal/>
    </border>
    <border>
      <left style="thin">
        <color theme="0" tint="-0.14999847407452621"/>
      </left>
      <right style="thin">
        <color theme="0" tint="-0.14999847407452621"/>
      </right>
      <top style="thin">
        <color auto="1"/>
      </top>
      <bottom style="thin">
        <color theme="0" tint="-0.249977111117893"/>
      </bottom>
      <diagonal/>
    </border>
    <border>
      <left/>
      <right style="thin">
        <color theme="0" tint="-0.14999847407452621"/>
      </right>
      <top style="thin">
        <color auto="1"/>
      </top>
      <bottom style="thin">
        <color theme="0" tint="-0.249977111117893"/>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auto="1"/>
      </top>
      <bottom style="thin">
        <color theme="0" tint="-0.249977111117893"/>
      </bottom>
      <diagonal/>
    </border>
    <border>
      <left style="thin">
        <color theme="0" tint="-0.14999847407452621"/>
      </left>
      <right style="thin">
        <color theme="0" tint="-0.14996795556505021"/>
      </right>
      <top style="thin">
        <color auto="1"/>
      </top>
      <bottom/>
      <diagonal/>
    </border>
    <border>
      <left/>
      <right style="thin">
        <color theme="0" tint="-0.249977111117893"/>
      </right>
      <top style="thin">
        <color auto="1"/>
      </top>
      <bottom style="thin">
        <color theme="0" tint="-0.249977111117893"/>
      </bottom>
      <diagonal/>
    </border>
    <border>
      <left style="thin">
        <color theme="0" tint="-0.14999847407452621"/>
      </left>
      <right style="thin">
        <color theme="0" tint="-0.249977111117893"/>
      </right>
      <top style="thin">
        <color auto="1"/>
      </top>
      <bottom style="thin">
        <color auto="1"/>
      </bottom>
      <diagonal/>
    </border>
    <border>
      <left style="thin">
        <color theme="0" tint="-0.14999847407452621"/>
      </left>
      <right/>
      <top style="thin">
        <color auto="1"/>
      </top>
      <bottom/>
      <diagonal/>
    </border>
    <border>
      <left style="thin">
        <color theme="0" tint="-0.14999847407452621"/>
      </left>
      <right style="thin">
        <color theme="0" tint="-0.14996795556505021"/>
      </right>
      <top style="thin">
        <color theme="0" tint="-0.249977111117893"/>
      </top>
      <bottom style="thin">
        <color theme="0" tint="-0.14999847407452621"/>
      </bottom>
      <diagonal/>
    </border>
    <border>
      <left style="thin">
        <color theme="0" tint="-0.14999847407452621"/>
      </left>
      <right style="thin">
        <color theme="0" tint="-0.14996795556505021"/>
      </right>
      <top style="thin">
        <color theme="0" tint="-0.14999847407452621"/>
      </top>
      <bottom style="thin">
        <color theme="0" tint="-0.14999847407452621"/>
      </bottom>
      <diagonal/>
    </border>
    <border>
      <left style="thin">
        <color theme="0" tint="-0.14999847407452621"/>
      </left>
      <right style="thin">
        <color theme="0" tint="-0.14996795556505021"/>
      </right>
      <top/>
      <bottom style="thin">
        <color theme="0" tint="-0.14999847407452621"/>
      </bottom>
      <diagonal/>
    </border>
    <border>
      <left style="thin">
        <color theme="0" tint="-0.14999847407452621"/>
      </left>
      <right style="thin">
        <color theme="0" tint="-0.14996795556505021"/>
      </right>
      <top/>
      <bottom style="thin">
        <color auto="1"/>
      </bottom>
      <diagonal/>
    </border>
    <border>
      <left style="thin">
        <color theme="0" tint="-0.14999847407452621"/>
      </left>
      <right style="thin">
        <color theme="0" tint="-0.14996795556505021"/>
      </right>
      <top/>
      <bottom/>
      <diagonal/>
    </border>
    <border>
      <left style="thin">
        <color auto="1"/>
      </left>
      <right style="thin">
        <color theme="0" tint="-0.14999847407452621"/>
      </right>
      <top style="thin">
        <color auto="1"/>
      </top>
      <bottom/>
      <diagonal/>
    </border>
    <border>
      <left style="thin">
        <color theme="1"/>
      </left>
      <right style="thin">
        <color theme="0" tint="-0.14996795556505021"/>
      </right>
      <top style="thin">
        <color theme="1"/>
      </top>
      <bottom style="thin">
        <color theme="0" tint="-0.14996795556505021"/>
      </bottom>
      <diagonal/>
    </border>
    <border>
      <left style="thin">
        <color theme="0" tint="-0.14996795556505021"/>
      </left>
      <right style="thin">
        <color theme="0" tint="-0.14996795556505021"/>
      </right>
      <top style="thin">
        <color theme="1"/>
      </top>
      <bottom style="thin">
        <color theme="0" tint="-0.14996795556505021"/>
      </bottom>
      <diagonal/>
    </border>
    <border>
      <left style="thin">
        <color theme="0" tint="-0.14996795556505021"/>
      </left>
      <right style="thin">
        <color theme="1"/>
      </right>
      <top style="thin">
        <color theme="1"/>
      </top>
      <bottom style="thin">
        <color theme="0" tint="-0.14996795556505021"/>
      </bottom>
      <diagonal/>
    </border>
    <border>
      <left style="thin">
        <color theme="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right>
      <top style="thin">
        <color theme="0" tint="-0.14996795556505021"/>
      </top>
      <bottom style="thin">
        <color theme="0" tint="-0.14996795556505021"/>
      </bottom>
      <diagonal/>
    </border>
    <border>
      <left style="thin">
        <color theme="1"/>
      </left>
      <right style="thin">
        <color theme="0" tint="-0.14996795556505021"/>
      </right>
      <top style="thin">
        <color theme="0" tint="-0.14996795556505021"/>
      </top>
      <bottom style="thin">
        <color theme="1"/>
      </bottom>
      <diagonal/>
    </border>
    <border>
      <left style="thin">
        <color theme="0" tint="-0.14996795556505021"/>
      </left>
      <right style="thin">
        <color theme="0" tint="-0.14996795556505021"/>
      </right>
      <top style="thin">
        <color theme="0" tint="-0.14996795556505021"/>
      </top>
      <bottom style="thin">
        <color theme="1"/>
      </bottom>
      <diagonal/>
    </border>
    <border>
      <left style="thin">
        <color theme="0" tint="-0.14996795556505021"/>
      </left>
      <right style="thin">
        <color theme="1"/>
      </right>
      <top style="thin">
        <color theme="0" tint="-0.14996795556505021"/>
      </top>
      <bottom style="thin">
        <color theme="1"/>
      </bottom>
      <diagonal/>
    </border>
    <border>
      <left style="thin">
        <color auto="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auto="1"/>
      </right>
      <top style="thin">
        <color theme="0" tint="-0.14996795556505021"/>
      </top>
      <bottom style="thin">
        <color theme="0" tint="-0.14996795556505021"/>
      </bottom>
      <diagonal/>
    </border>
    <border>
      <left style="thin">
        <color auto="1"/>
      </left>
      <right style="thin">
        <color theme="0" tint="-0.14996795556505021"/>
      </right>
      <top style="thin">
        <color theme="0" tint="-0.14996795556505021"/>
      </top>
      <bottom style="thin">
        <color auto="1"/>
      </bottom>
      <diagonal/>
    </border>
    <border>
      <left style="thin">
        <color theme="0" tint="-0.14996795556505021"/>
      </left>
      <right style="thin">
        <color theme="0" tint="-0.14996795556505021"/>
      </right>
      <top style="thin">
        <color theme="0" tint="-0.14996795556505021"/>
      </top>
      <bottom style="thin">
        <color auto="1"/>
      </bottom>
      <diagonal/>
    </border>
    <border>
      <left style="thin">
        <color theme="0" tint="-0.14996795556505021"/>
      </left>
      <right style="thin">
        <color auto="1"/>
      </right>
      <top style="thin">
        <color theme="0" tint="-0.14996795556505021"/>
      </top>
      <bottom style="thin">
        <color auto="1"/>
      </bottom>
      <diagonal/>
    </border>
    <border>
      <left style="thin">
        <color theme="0" tint="-0.14996795556505021"/>
      </left>
      <right style="thin">
        <color theme="0" tint="-0.14993743705557422"/>
      </right>
      <top style="thin">
        <color theme="0" tint="-0.249977111117893"/>
      </top>
      <bottom style="thin">
        <color theme="0" tint="-0.14993743705557422"/>
      </bottom>
      <diagonal/>
    </border>
    <border>
      <left style="thin">
        <color theme="0" tint="-0.14993743705557422"/>
      </left>
      <right style="thin">
        <color auto="1"/>
      </right>
      <top style="thin">
        <color theme="0" tint="-0.249977111117893"/>
      </top>
      <bottom style="thin">
        <color theme="0" tint="-0.14993743705557422"/>
      </bottom>
      <diagonal/>
    </border>
    <border>
      <left style="thin">
        <color theme="0" tint="-0.1499679555650502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auto="1"/>
      </right>
      <top style="thin">
        <color theme="0" tint="-0.14993743705557422"/>
      </top>
      <bottom style="thin">
        <color theme="0" tint="-0.14993743705557422"/>
      </bottom>
      <diagonal/>
    </border>
    <border>
      <left style="thin">
        <color theme="0" tint="-0.14996795556505021"/>
      </left>
      <right style="thin">
        <color theme="0" tint="-0.14993743705557422"/>
      </right>
      <top style="thin">
        <color theme="0" tint="-0.14993743705557422"/>
      </top>
      <bottom style="thin">
        <color auto="1"/>
      </bottom>
      <diagonal/>
    </border>
    <border>
      <left style="thin">
        <color theme="0" tint="-0.14993743705557422"/>
      </left>
      <right style="thin">
        <color auto="1"/>
      </right>
      <top style="thin">
        <color theme="0" tint="-0.14993743705557422"/>
      </top>
      <bottom style="thin">
        <color auto="1"/>
      </bottom>
      <diagonal/>
    </border>
    <border>
      <left style="thin">
        <color auto="1"/>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auto="1"/>
      </right>
      <top/>
      <bottom style="thin">
        <color theme="0" tint="-0.14996795556505021"/>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bottom style="thin">
        <color auto="1"/>
      </bottom>
      <diagonal/>
    </border>
    <border>
      <left style="thin">
        <color auto="1"/>
      </left>
      <right style="thin">
        <color theme="0" tint="-0.14999847407452621"/>
      </right>
      <top style="thin">
        <color theme="0" tint="-0.14996795556505021"/>
      </top>
      <bottom style="thin">
        <color theme="0" tint="-0.14996795556505021"/>
      </bottom>
      <diagonal/>
    </border>
    <border>
      <left style="thin">
        <color theme="0" tint="-0.14993743705557422"/>
      </left>
      <right style="thin">
        <color auto="1"/>
      </right>
      <top/>
      <bottom style="thin">
        <color theme="0" tint="-0.14993743705557422"/>
      </bottom>
      <diagonal/>
    </border>
    <border>
      <left style="thin">
        <color theme="0" tint="-0.149998474074526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6795556505021"/>
      </right>
      <top/>
      <bottom style="thin">
        <color theme="0" tint="-0.14996795556505021"/>
      </bottom>
      <diagonal/>
    </border>
    <border>
      <left style="thin">
        <color theme="0" tint="-0.14999847407452621"/>
      </left>
      <right style="thin">
        <color theme="0" tint="-0.14999847407452621"/>
      </right>
      <top/>
      <bottom style="thin">
        <color theme="0" tint="-0.24994659260841701"/>
      </bottom>
      <diagonal/>
    </border>
    <border>
      <left style="thin">
        <color theme="0" tint="-0.14999847407452621"/>
      </left>
      <right/>
      <top/>
      <bottom style="thin">
        <color theme="0" tint="-0.24994659260841701"/>
      </bottom>
      <diagonal/>
    </border>
    <border>
      <left style="thin">
        <color theme="0" tint="-0.14999847407452621"/>
      </left>
      <right style="thin">
        <color theme="0" tint="-0.14996795556505021"/>
      </right>
      <top/>
      <bottom style="thin">
        <color theme="0" tint="-0.24994659260841701"/>
      </bottom>
      <diagonal/>
    </border>
    <border>
      <left/>
      <right style="thin">
        <color auto="1"/>
      </right>
      <top/>
      <bottom style="thin">
        <color theme="0" tint="-0.24994659260841701"/>
      </bottom>
      <diagonal/>
    </border>
    <border>
      <left/>
      <right/>
      <top style="thin">
        <color theme="0" tint="-0.14999847407452621"/>
      </top>
      <bottom style="thin">
        <color auto="1"/>
      </bottom>
      <diagonal/>
    </border>
    <border>
      <left/>
      <right style="thin">
        <color theme="0" tint="-0.249977111117893"/>
      </right>
      <top style="thin">
        <color auto="1"/>
      </top>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auto="1"/>
      </bottom>
      <diagonal/>
    </border>
    <border>
      <left style="thin">
        <color indexed="64"/>
      </left>
      <right style="thin">
        <color indexed="64"/>
      </right>
      <top style="thin">
        <color theme="0" tint="-0.34998626667073579"/>
      </top>
      <bottom style="thin">
        <color indexed="64"/>
      </bottom>
      <diagonal/>
    </border>
    <border>
      <left style="thin">
        <color indexed="64"/>
      </left>
      <right style="thin">
        <color indexed="64"/>
      </right>
      <top style="thin">
        <color theme="0" tint="-0.34998626667073579"/>
      </top>
      <bottom style="thin">
        <color theme="0" tint="-0.34998626667073579"/>
      </bottom>
      <diagonal/>
    </border>
    <border>
      <left style="thin">
        <color indexed="64"/>
      </left>
      <right style="thin">
        <color indexed="64"/>
      </right>
      <top style="thin">
        <color indexed="64"/>
      </top>
      <bottom/>
      <diagonal/>
    </border>
    <border>
      <left style="thin">
        <color theme="1"/>
      </left>
      <right style="thin">
        <color theme="0" tint="-0.34998626667073579"/>
      </right>
      <top style="thin">
        <color theme="1"/>
      </top>
      <bottom style="thin">
        <color theme="0" tint="-0.34998626667073579"/>
      </bottom>
      <diagonal/>
    </border>
    <border>
      <left style="thin">
        <color auto="1"/>
      </left>
      <right style="thin">
        <color rgb="FFD9D9D9"/>
      </right>
      <top/>
      <bottom style="thin">
        <color rgb="FFD9D9D9"/>
      </bottom>
      <diagonal/>
    </border>
    <border>
      <left style="thin">
        <color rgb="FFD9D9D9"/>
      </left>
      <right style="thin">
        <color rgb="FFD9D9D9"/>
      </right>
      <top/>
      <bottom style="thin">
        <color rgb="FFD9D9D9"/>
      </bottom>
      <diagonal/>
    </border>
    <border>
      <left style="thin">
        <color rgb="FFD9D9D9"/>
      </left>
      <right style="thin">
        <color auto="1"/>
      </right>
      <top/>
      <bottom style="thin">
        <color rgb="FFD9D9D9"/>
      </bottom>
      <diagonal/>
    </border>
    <border>
      <left style="thin">
        <color auto="1"/>
      </left>
      <right style="thin">
        <color rgb="FFD9D9D9"/>
      </right>
      <top style="thin">
        <color rgb="FFD9D9D9"/>
      </top>
      <bottom style="thin">
        <color auto="1"/>
      </bottom>
      <diagonal/>
    </border>
    <border>
      <left style="thin">
        <color rgb="FFD9D9D9"/>
      </left>
      <right style="thin">
        <color rgb="FFD9D9D9"/>
      </right>
      <top style="thin">
        <color rgb="FFD9D9D9"/>
      </top>
      <bottom style="thin">
        <color auto="1"/>
      </bottom>
      <diagonal/>
    </border>
    <border>
      <left style="thin">
        <color rgb="FFD9D9D9"/>
      </left>
      <right style="thin">
        <color auto="1"/>
      </right>
      <top style="thin">
        <color rgb="FFD9D9D9"/>
      </top>
      <bottom style="thin">
        <color auto="1"/>
      </bottom>
      <diagonal/>
    </border>
    <border>
      <left/>
      <right style="thin">
        <color auto="1"/>
      </right>
      <top style="thin">
        <color auto="1"/>
      </top>
      <bottom style="thin">
        <color theme="0" tint="-0.24994659260841701"/>
      </bottom>
      <diagonal/>
    </border>
    <border>
      <left/>
      <right style="thin">
        <color auto="1"/>
      </right>
      <top style="thin">
        <color theme="0" tint="-0.24994659260841701"/>
      </top>
      <bottom style="thin">
        <color theme="0" tint="-0.24994659260841701"/>
      </bottom>
      <diagonal/>
    </border>
    <border>
      <left/>
      <right style="thin">
        <color auto="1"/>
      </right>
      <top style="thin">
        <color theme="0" tint="-0.24994659260841701"/>
      </top>
      <bottom style="thin">
        <color auto="1"/>
      </bottom>
      <diagonal/>
    </border>
    <border>
      <left style="thin">
        <color theme="0" tint="-0.14999847407452621"/>
      </left>
      <right style="thin">
        <color auto="1"/>
      </right>
      <top/>
      <bottom/>
      <diagonal/>
    </border>
    <border>
      <left style="thin">
        <color auto="1"/>
      </left>
      <right style="thin">
        <color rgb="FFD9D9D9"/>
      </right>
      <top style="thin">
        <color rgb="FFD9D9D9"/>
      </top>
      <bottom style="thin">
        <color rgb="FFD9D9D9"/>
      </bottom>
      <diagonal/>
    </border>
    <border>
      <left style="thin">
        <color rgb="FFD9D9D9"/>
      </left>
      <right style="thin">
        <color rgb="FFD9D9D9"/>
      </right>
      <top style="thin">
        <color rgb="FFD9D9D9"/>
      </top>
      <bottom style="thin">
        <color rgb="FFD9D9D9"/>
      </bottom>
      <diagonal/>
    </border>
    <border>
      <left style="thin">
        <color rgb="FFD9D9D9"/>
      </left>
      <right style="thin">
        <color auto="1"/>
      </right>
      <top style="thin">
        <color rgb="FFD9D9D9"/>
      </top>
      <bottom style="thin">
        <color rgb="FFD9D9D9"/>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thin">
        <color rgb="FFCCFFFF"/>
      </left>
      <right/>
      <top style="thin">
        <color theme="0" tint="-0.14999847407452621"/>
      </top>
      <bottom style="thin">
        <color theme="0" tint="-0.14999847407452621"/>
      </bottom>
      <diagonal/>
    </border>
    <border>
      <left style="thin">
        <color theme="0" tint="-0.14999847407452621"/>
      </left>
      <right/>
      <top/>
      <bottom/>
      <diagonal/>
    </border>
    <border>
      <left/>
      <right style="thin">
        <color rgb="FFCCFFFF"/>
      </right>
      <top style="thin">
        <color theme="0" tint="-0.14999847407452621"/>
      </top>
      <bottom/>
      <diagonal/>
    </border>
    <border>
      <left style="thin">
        <color rgb="FFCCFFFF"/>
      </left>
      <right style="thin">
        <color theme="0" tint="-0.14999847407452621"/>
      </right>
      <top style="thin">
        <color theme="0" tint="-0.14999847407452621"/>
      </top>
      <bottom/>
      <diagonal/>
    </border>
    <border>
      <left style="thin">
        <color indexed="64"/>
      </left>
      <right style="thin">
        <color indexed="64"/>
      </right>
      <top style="thin">
        <color indexed="64"/>
      </top>
      <bottom style="thin">
        <color indexed="64"/>
      </bottom>
      <diagonal/>
    </border>
    <border>
      <left style="thin">
        <color indexed="64"/>
      </left>
      <right style="thin">
        <color auto="1"/>
      </right>
      <top style="thin">
        <color auto="1"/>
      </top>
      <bottom style="thin">
        <color theme="0" tint="-0.14996795556505021"/>
      </bottom>
      <diagonal/>
    </border>
    <border>
      <left style="thin">
        <color indexed="64"/>
      </left>
      <right style="thin">
        <color indexed="64"/>
      </right>
      <top/>
      <bottom style="thin">
        <color auto="1"/>
      </bottom>
      <diagonal/>
    </border>
  </borders>
  <cellStyleXfs count="158">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3" fillId="0" borderId="0"/>
    <xf numFmtId="164" fontId="3" fillId="0" borderId="0">
      <alignment horizontal="left"/>
    </xf>
    <xf numFmtId="165" fontId="3" fillId="0" borderId="0" applyFont="0" applyFill="0" applyBorder="0" applyAlignment="0" applyProtection="0"/>
    <xf numFmtId="49" fontId="5" fillId="0" borderId="1">
      <alignment vertical="top" wrapText="1"/>
    </xf>
    <xf numFmtId="0" fontId="3" fillId="2" borderId="2">
      <alignment horizontal="left" vertical="top" wrapText="1"/>
      <protection locked="0"/>
    </xf>
    <xf numFmtId="164" fontId="3" fillId="2" borderId="2">
      <alignment horizontal="left" vertical="top" wrapText="1"/>
      <protection locked="0"/>
    </xf>
    <xf numFmtId="0" fontId="4" fillId="3" borderId="3">
      <alignment horizontal="left" vertical="center"/>
    </xf>
    <xf numFmtId="9" fontId="26" fillId="0" borderId="0" applyFont="0" applyFill="0" applyBorder="0" applyAlignment="0" applyProtection="0"/>
    <xf numFmtId="0" fontId="40" fillId="0" borderId="0"/>
  </cellStyleXfs>
  <cellXfs count="642">
    <xf numFmtId="0" fontId="0" fillId="0" borderId="0" xfId="0"/>
    <xf numFmtId="0" fontId="8" fillId="0" borderId="0" xfId="0" applyFont="1" applyAlignment="1">
      <alignment vertical="center"/>
    </xf>
    <xf numFmtId="0" fontId="9" fillId="0" borderId="0" xfId="0" applyFont="1"/>
    <xf numFmtId="0" fontId="10" fillId="0" borderId="0" xfId="0" applyFont="1" applyAlignment="1">
      <alignment vertical="center"/>
    </xf>
    <xf numFmtId="0" fontId="0" fillId="0" borderId="0" xfId="0" applyAlignment="1"/>
    <xf numFmtId="0" fontId="0" fillId="0" borderId="0" xfId="0" applyBorder="1"/>
    <xf numFmtId="0" fontId="14" fillId="0" borderId="0" xfId="0" applyFont="1" applyAlignment="1">
      <alignment wrapText="1"/>
    </xf>
    <xf numFmtId="0" fontId="7" fillId="0" borderId="0" xfId="0" applyFont="1" applyAlignment="1">
      <alignment vertical="top"/>
    </xf>
    <xf numFmtId="0" fontId="0" fillId="0" borderId="6" xfId="0" applyBorder="1" applyAlignment="1">
      <alignment vertical="top"/>
    </xf>
    <xf numFmtId="0" fontId="0" fillId="0" borderId="7" xfId="0" applyBorder="1" applyAlignment="1">
      <alignment vertical="top"/>
    </xf>
    <xf numFmtId="0" fontId="0" fillId="0" borderId="7" xfId="0" applyBorder="1" applyAlignment="1">
      <alignment vertical="top" wrapText="1"/>
    </xf>
    <xf numFmtId="0" fontId="0" fillId="0" borderId="0" xfId="0" applyAlignment="1">
      <alignment wrapText="1"/>
    </xf>
    <xf numFmtId="0" fontId="7" fillId="0" borderId="0" xfId="0" applyFont="1" applyAlignment="1">
      <alignment vertical="top" wrapText="1"/>
    </xf>
    <xf numFmtId="0" fontId="0" fillId="4" borderId="0" xfId="0" applyFill="1"/>
    <xf numFmtId="49" fontId="0" fillId="0" borderId="0" xfId="0" applyNumberFormat="1" applyAlignment="1">
      <alignment horizontal="right"/>
    </xf>
    <xf numFmtId="0" fontId="0" fillId="0" borderId="0" xfId="0" applyAlignment="1">
      <alignment horizontal="right"/>
    </xf>
    <xf numFmtId="0" fontId="6" fillId="4" borderId="9" xfId="0" applyFont="1" applyFill="1" applyBorder="1" applyAlignment="1">
      <alignment vertical="center"/>
    </xf>
    <xf numFmtId="0" fontId="7" fillId="4" borderId="15" xfId="0" applyFont="1" applyFill="1" applyBorder="1"/>
    <xf numFmtId="167" fontId="7" fillId="0" borderId="14" xfId="0" applyNumberFormat="1" applyFont="1" applyFill="1" applyBorder="1" applyAlignment="1">
      <alignment horizontal="center" vertical="center"/>
    </xf>
    <xf numFmtId="0" fontId="7" fillId="0" borderId="0" xfId="0" applyFont="1"/>
    <xf numFmtId="0" fontId="7" fillId="0" borderId="0" xfId="0" applyFont="1" applyAlignment="1">
      <alignment vertical="center"/>
    </xf>
    <xf numFmtId="0" fontId="0" fillId="0" borderId="7" xfId="0" applyBorder="1" applyAlignment="1">
      <alignment horizontal="left" vertical="top" wrapText="1"/>
    </xf>
    <xf numFmtId="0" fontId="0" fillId="0" borderId="8" xfId="0" applyBorder="1" applyAlignment="1">
      <alignment vertical="top" wrapText="1"/>
    </xf>
    <xf numFmtId="0" fontId="14" fillId="0" borderId="0" xfId="0" applyFont="1" applyAlignment="1">
      <alignment shrinkToFit="1"/>
    </xf>
    <xf numFmtId="0" fontId="0" fillId="0" borderId="0" xfId="0" applyFill="1"/>
    <xf numFmtId="0" fontId="14" fillId="0" borderId="0" xfId="0" applyFont="1" applyFill="1" applyAlignment="1">
      <alignment wrapText="1"/>
    </xf>
    <xf numFmtId="0" fontId="9" fillId="0" borderId="0" xfId="0" applyFont="1" applyAlignment="1">
      <alignment horizontal="center" wrapText="1"/>
    </xf>
    <xf numFmtId="0" fontId="0" fillId="11" borderId="0" xfId="0" applyFill="1"/>
    <xf numFmtId="0" fontId="0" fillId="12" borderId="0" xfId="0" applyFill="1"/>
    <xf numFmtId="0" fontId="0" fillId="0" borderId="0" xfId="0" applyFill="1" applyBorder="1"/>
    <xf numFmtId="0" fontId="0" fillId="12" borderId="0" xfId="0" applyFill="1" applyAlignment="1">
      <alignment horizontal="center"/>
    </xf>
    <xf numFmtId="0" fontId="0" fillId="12" borderId="0" xfId="0" applyFill="1" applyAlignment="1"/>
    <xf numFmtId="0" fontId="0" fillId="11" borderId="0" xfId="0" applyFill="1" applyAlignment="1">
      <alignment horizontal="center"/>
    </xf>
    <xf numFmtId="0" fontId="0" fillId="11" borderId="0" xfId="0" applyFill="1" applyAlignment="1"/>
    <xf numFmtId="0" fontId="0" fillId="13" borderId="0" xfId="0" applyFill="1"/>
    <xf numFmtId="0" fontId="0" fillId="13" borderId="0" xfId="0" applyFill="1" applyAlignment="1">
      <alignment horizontal="center"/>
    </xf>
    <xf numFmtId="0" fontId="0" fillId="13" borderId="0" xfId="0" applyFill="1" applyAlignment="1"/>
    <xf numFmtId="0" fontId="0" fillId="5" borderId="0" xfId="0" applyFill="1" applyAlignment="1">
      <alignment horizontal="center"/>
    </xf>
    <xf numFmtId="0" fontId="0" fillId="5" borderId="0" xfId="0" applyFill="1" applyAlignment="1"/>
    <xf numFmtId="0" fontId="0" fillId="5" borderId="0" xfId="0" applyFill="1"/>
    <xf numFmtId="0" fontId="6" fillId="4" borderId="15" xfId="0" applyFont="1" applyFill="1" applyBorder="1" applyAlignment="1">
      <alignment vertical="center"/>
    </xf>
    <xf numFmtId="2" fontId="0" fillId="0" borderId="7" xfId="0" applyNumberFormat="1" applyBorder="1" applyAlignment="1">
      <alignment vertical="top"/>
    </xf>
    <xf numFmtId="2" fontId="0" fillId="0" borderId="7" xfId="0" applyNumberFormat="1" applyBorder="1" applyAlignment="1">
      <alignment horizontal="right" vertical="top"/>
    </xf>
    <xf numFmtId="2" fontId="7" fillId="4" borderId="16" xfId="0" applyNumberFormat="1" applyFont="1" applyFill="1" applyBorder="1" applyAlignment="1">
      <alignment horizontal="right" vertical="center"/>
    </xf>
    <xf numFmtId="0" fontId="7" fillId="4" borderId="10" xfId="0" applyFont="1" applyFill="1" applyBorder="1" applyAlignment="1">
      <alignment horizontal="right" vertical="center" wrapText="1"/>
    </xf>
    <xf numFmtId="0" fontId="7" fillId="4" borderId="16" xfId="0" applyFont="1" applyFill="1" applyBorder="1" applyAlignment="1">
      <alignment horizontal="right" vertical="center" wrapText="1"/>
    </xf>
    <xf numFmtId="0" fontId="0" fillId="0" borderId="0" xfId="0" applyAlignment="1">
      <alignment horizontal="center"/>
    </xf>
    <xf numFmtId="0" fontId="7" fillId="4" borderId="15" xfId="0" applyFont="1" applyFill="1" applyBorder="1" applyAlignment="1">
      <alignment wrapText="1"/>
    </xf>
    <xf numFmtId="0" fontId="0" fillId="0" borderId="0" xfId="0" applyAlignment="1" applyProtection="1">
      <alignment wrapText="1"/>
      <protection locked="0"/>
    </xf>
    <xf numFmtId="0" fontId="7" fillId="4" borderId="15" xfId="0" applyFont="1" applyFill="1" applyBorder="1" applyAlignment="1" applyProtection="1">
      <alignment wrapText="1"/>
      <protection locked="0"/>
    </xf>
    <xf numFmtId="0" fontId="0" fillId="0" borderId="32" xfId="0" applyBorder="1"/>
    <xf numFmtId="2" fontId="0" fillId="0" borderId="51" xfId="0" applyNumberFormat="1" applyBorder="1"/>
    <xf numFmtId="2" fontId="0" fillId="0" borderId="50" xfId="0" applyNumberFormat="1" applyBorder="1"/>
    <xf numFmtId="2" fontId="0" fillId="0" borderId="52" xfId="0" applyNumberFormat="1" applyBorder="1"/>
    <xf numFmtId="0" fontId="7" fillId="4" borderId="32" xfId="0" applyNumberFormat="1" applyFont="1" applyFill="1" applyBorder="1" applyAlignment="1">
      <alignment horizontal="left" vertical="center"/>
    </xf>
    <xf numFmtId="0" fontId="7" fillId="4" borderId="60" xfId="0" applyNumberFormat="1" applyFont="1" applyFill="1" applyBorder="1" applyAlignment="1">
      <alignment horizontal="left" vertical="center"/>
    </xf>
    <xf numFmtId="0" fontId="22" fillId="15" borderId="26" xfId="0" applyFont="1" applyFill="1" applyBorder="1" applyAlignment="1">
      <alignment horizontal="left" wrapText="1"/>
    </xf>
    <xf numFmtId="0" fontId="22" fillId="15" borderId="27" xfId="0" applyFont="1" applyFill="1" applyBorder="1" applyAlignment="1">
      <alignment horizontal="left" wrapText="1"/>
    </xf>
    <xf numFmtId="0" fontId="22" fillId="15" borderId="33" xfId="0" applyFont="1" applyFill="1" applyBorder="1" applyAlignment="1">
      <alignment horizontal="left" wrapText="1"/>
    </xf>
    <xf numFmtId="0" fontId="23" fillId="15" borderId="17" xfId="0" applyFont="1" applyFill="1" applyBorder="1" applyAlignment="1">
      <alignment horizontal="left" vertical="center" wrapText="1"/>
    </xf>
    <xf numFmtId="0" fontId="23" fillId="15" borderId="18" xfId="0" applyFont="1" applyFill="1" applyBorder="1" applyAlignment="1">
      <alignment horizontal="left" vertical="center" wrapText="1"/>
    </xf>
    <xf numFmtId="0" fontId="23" fillId="15" borderId="19" xfId="0" applyFont="1" applyFill="1" applyBorder="1" applyAlignment="1">
      <alignment horizontal="left" vertical="center" wrapText="1"/>
    </xf>
    <xf numFmtId="0" fontId="22" fillId="15" borderId="49" xfId="0" applyFont="1" applyFill="1" applyBorder="1" applyAlignment="1">
      <alignment horizontal="left" vertical="center" wrapText="1"/>
    </xf>
    <xf numFmtId="0" fontId="22" fillId="15" borderId="57" xfId="0" applyFont="1" applyFill="1" applyBorder="1" applyAlignment="1">
      <alignment horizontal="left" vertical="center" wrapText="1"/>
    </xf>
    <xf numFmtId="2" fontId="0" fillId="4" borderId="50" xfId="0" applyNumberFormat="1" applyFill="1" applyBorder="1" applyAlignment="1">
      <alignment vertical="center"/>
    </xf>
    <xf numFmtId="0" fontId="22" fillId="15" borderId="59" xfId="0" applyFont="1" applyFill="1" applyBorder="1" applyAlignment="1">
      <alignment horizontal="left" vertical="center" wrapText="1"/>
    </xf>
    <xf numFmtId="1" fontId="0" fillId="0" borderId="52" xfId="0" applyNumberFormat="1" applyBorder="1" applyAlignment="1">
      <alignment vertical="top"/>
    </xf>
    <xf numFmtId="2" fontId="0" fillId="0" borderId="52" xfId="0" applyNumberFormat="1" applyBorder="1" applyAlignment="1">
      <alignment horizontal="right" vertical="top"/>
    </xf>
    <xf numFmtId="0" fontId="7" fillId="0" borderId="66" xfId="0" applyFont="1" applyFill="1" applyBorder="1" applyAlignment="1">
      <alignment vertical="top"/>
    </xf>
    <xf numFmtId="0" fontId="7" fillId="0" borderId="60" xfId="0" applyFont="1" applyFill="1" applyBorder="1" applyAlignment="1">
      <alignment horizontal="left" vertical="top"/>
    </xf>
    <xf numFmtId="0" fontId="7" fillId="0" borderId="60" xfId="0" applyFont="1" applyFill="1" applyBorder="1" applyAlignment="1">
      <alignment horizontal="left" vertical="top" wrapText="1"/>
    </xf>
    <xf numFmtId="2" fontId="7" fillId="0" borderId="53" xfId="0" applyNumberFormat="1" applyFont="1" applyFill="1" applyBorder="1" applyAlignment="1">
      <alignment horizontal="right" vertical="top"/>
    </xf>
    <xf numFmtId="0" fontId="7" fillId="0" borderId="68" xfId="0" applyFont="1" applyFill="1" applyBorder="1" applyAlignment="1">
      <alignment vertical="top"/>
    </xf>
    <xf numFmtId="0" fontId="7" fillId="0" borderId="69" xfId="0" applyFont="1" applyFill="1" applyBorder="1" applyAlignment="1">
      <alignment horizontal="left" vertical="top"/>
    </xf>
    <xf numFmtId="0" fontId="7" fillId="0" borderId="69" xfId="0" applyFont="1" applyFill="1" applyBorder="1" applyAlignment="1">
      <alignment horizontal="left" vertical="top" wrapText="1"/>
    </xf>
    <xf numFmtId="2" fontId="7" fillId="0" borderId="51" xfId="0" applyNumberFormat="1" applyFont="1" applyFill="1" applyBorder="1" applyAlignment="1">
      <alignment horizontal="right" vertical="top"/>
    </xf>
    <xf numFmtId="2" fontId="7" fillId="0" borderId="69" xfId="0" applyNumberFormat="1" applyFont="1" applyFill="1" applyBorder="1" applyAlignment="1">
      <alignment horizontal="right" vertical="top"/>
    </xf>
    <xf numFmtId="1" fontId="7" fillId="0" borderId="51" xfId="0" applyNumberFormat="1" applyFont="1" applyFill="1" applyBorder="1" applyAlignment="1">
      <alignment horizontal="right" vertical="top"/>
    </xf>
    <xf numFmtId="2" fontId="7" fillId="5" borderId="69" xfId="0" applyNumberFormat="1" applyFont="1" applyFill="1" applyBorder="1" applyAlignment="1">
      <alignment horizontal="right" vertical="top"/>
    </xf>
    <xf numFmtId="2" fontId="7" fillId="4" borderId="51" xfId="0" applyNumberFormat="1" applyFont="1" applyFill="1" applyBorder="1" applyAlignment="1">
      <alignment horizontal="right" vertical="top"/>
    </xf>
    <xf numFmtId="2" fontId="7" fillId="5" borderId="40" xfId="0" applyNumberFormat="1" applyFont="1" applyFill="1" applyBorder="1" applyAlignment="1">
      <alignment horizontal="right" vertical="top"/>
    </xf>
    <xf numFmtId="2" fontId="7" fillId="4" borderId="47" xfId="0" applyNumberFormat="1" applyFont="1" applyFill="1" applyBorder="1" applyAlignment="1">
      <alignment horizontal="right" vertical="top"/>
    </xf>
    <xf numFmtId="2" fontId="7" fillId="4" borderId="69" xfId="0" applyNumberFormat="1" applyFont="1" applyFill="1" applyBorder="1" applyAlignment="1">
      <alignment horizontal="right" vertical="top"/>
    </xf>
    <xf numFmtId="0" fontId="7" fillId="0" borderId="41" xfId="0" applyFont="1" applyFill="1" applyBorder="1" applyAlignment="1">
      <alignment horizontal="left" vertical="top" wrapText="1"/>
    </xf>
    <xf numFmtId="2" fontId="7" fillId="5" borderId="71" xfId="0" applyNumberFormat="1" applyFont="1" applyFill="1" applyBorder="1" applyAlignment="1">
      <alignment horizontal="right" vertical="top"/>
    </xf>
    <xf numFmtId="2" fontId="7" fillId="5" borderId="38" xfId="0" applyNumberFormat="1" applyFont="1" applyFill="1" applyBorder="1" applyAlignment="1">
      <alignment horizontal="right" vertical="top"/>
    </xf>
    <xf numFmtId="2" fontId="7" fillId="4" borderId="46" xfId="0" applyNumberFormat="1" applyFont="1" applyFill="1" applyBorder="1" applyAlignment="1">
      <alignment horizontal="right" vertical="top"/>
    </xf>
    <xf numFmtId="2" fontId="7" fillId="5" borderId="74" xfId="0" applyNumberFormat="1" applyFont="1" applyFill="1" applyBorder="1" applyAlignment="1">
      <alignment horizontal="right" vertical="top"/>
    </xf>
    <xf numFmtId="2" fontId="7" fillId="4" borderId="74" xfId="0" applyNumberFormat="1" applyFont="1" applyFill="1" applyBorder="1" applyAlignment="1">
      <alignment horizontal="right" vertical="top"/>
    </xf>
    <xf numFmtId="0" fontId="7" fillId="0" borderId="42" xfId="0" applyFont="1" applyFill="1" applyBorder="1" applyAlignment="1">
      <alignment horizontal="left" vertical="top" wrapText="1"/>
    </xf>
    <xf numFmtId="2" fontId="7" fillId="4" borderId="50" xfId="0" applyNumberFormat="1" applyFont="1" applyFill="1" applyBorder="1" applyAlignment="1">
      <alignment horizontal="right" vertical="top"/>
    </xf>
    <xf numFmtId="0" fontId="7" fillId="0" borderId="74" xfId="0" applyFont="1" applyFill="1" applyBorder="1" applyAlignment="1">
      <alignment horizontal="left" vertical="top"/>
    </xf>
    <xf numFmtId="0" fontId="7" fillId="0" borderId="74" xfId="0" applyFont="1" applyFill="1" applyBorder="1" applyAlignment="1">
      <alignment horizontal="left" vertical="top" wrapText="1"/>
    </xf>
    <xf numFmtId="2" fontId="7" fillId="0" borderId="50" xfId="0" applyNumberFormat="1" applyFont="1" applyFill="1" applyBorder="1" applyAlignment="1">
      <alignment horizontal="right" vertical="top"/>
    </xf>
    <xf numFmtId="2" fontId="7" fillId="0" borderId="74" xfId="0" applyNumberFormat="1" applyFont="1" applyFill="1" applyBorder="1" applyAlignment="1">
      <alignment horizontal="right" vertical="top"/>
    </xf>
    <xf numFmtId="1" fontId="7" fillId="0" borderId="50" xfId="0" applyNumberFormat="1" applyFont="1" applyFill="1" applyBorder="1" applyAlignment="1">
      <alignment horizontal="right" vertical="top"/>
    </xf>
    <xf numFmtId="0" fontId="7" fillId="0" borderId="76" xfId="0" applyFont="1" applyFill="1" applyBorder="1" applyAlignment="1">
      <alignment vertical="top"/>
    </xf>
    <xf numFmtId="1" fontId="7" fillId="0" borderId="69" xfId="0" applyNumberFormat="1" applyFont="1" applyFill="1" applyBorder="1" applyAlignment="1">
      <alignment horizontal="right" vertical="top"/>
    </xf>
    <xf numFmtId="0" fontId="7" fillId="0" borderId="69" xfId="0" applyFont="1" applyFill="1" applyBorder="1" applyAlignment="1">
      <alignment vertical="top"/>
    </xf>
    <xf numFmtId="2" fontId="7" fillId="5" borderId="72" xfId="0" applyNumberFormat="1" applyFont="1" applyFill="1" applyBorder="1" applyAlignment="1">
      <alignment horizontal="right" vertical="top"/>
    </xf>
    <xf numFmtId="0" fontId="0" fillId="0" borderId="9" xfId="0" applyBorder="1"/>
    <xf numFmtId="0" fontId="0" fillId="0" borderId="15" xfId="0" applyBorder="1"/>
    <xf numFmtId="0" fontId="0" fillId="0" borderId="10" xfId="0" applyBorder="1"/>
    <xf numFmtId="0" fontId="22" fillId="15" borderId="36" xfId="0" applyFont="1" applyFill="1" applyBorder="1" applyAlignment="1">
      <alignment vertical="center"/>
    </xf>
    <xf numFmtId="0" fontId="22" fillId="15" borderId="54" xfId="0" applyFont="1" applyFill="1" applyBorder="1" applyAlignment="1">
      <alignment vertical="top" wrapText="1"/>
    </xf>
    <xf numFmtId="0" fontId="22" fillId="15" borderId="37" xfId="0" applyFont="1" applyFill="1" applyBorder="1" applyAlignment="1">
      <alignment vertical="top"/>
    </xf>
    <xf numFmtId="0" fontId="22" fillId="15" borderId="45" xfId="0" applyFont="1" applyFill="1" applyBorder="1" applyAlignment="1">
      <alignment horizontal="left" vertical="center" wrapText="1"/>
    </xf>
    <xf numFmtId="0" fontId="15" fillId="5" borderId="59" xfId="0" applyFont="1" applyFill="1" applyBorder="1" applyAlignment="1">
      <alignment horizontal="centerContinuous" vertical="center" wrapText="1"/>
    </xf>
    <xf numFmtId="0" fontId="22" fillId="15" borderId="59" xfId="0" applyFont="1" applyFill="1" applyBorder="1" applyAlignment="1">
      <alignment horizontal="center" vertical="center" wrapText="1"/>
    </xf>
    <xf numFmtId="0" fontId="0" fillId="0" borderId="86" xfId="0" applyBorder="1" applyAlignment="1">
      <alignment vertical="top"/>
    </xf>
    <xf numFmtId="0" fontId="0" fillId="0" borderId="52" xfId="0" applyBorder="1" applyAlignment="1">
      <alignment horizontal="left" vertical="top" wrapText="1"/>
    </xf>
    <xf numFmtId="0" fontId="7" fillId="0" borderId="53" xfId="0" applyFont="1" applyFill="1" applyBorder="1" applyAlignment="1">
      <alignment horizontal="left" vertical="top" wrapText="1"/>
    </xf>
    <xf numFmtId="1" fontId="7" fillId="0" borderId="60" xfId="0" applyNumberFormat="1" applyFont="1" applyFill="1" applyBorder="1" applyAlignment="1">
      <alignment horizontal="right" vertical="top"/>
    </xf>
    <xf numFmtId="2" fontId="7" fillId="4" borderId="14" xfId="0" applyNumberFormat="1" applyFont="1" applyFill="1" applyBorder="1" applyAlignment="1">
      <alignment horizontal="right" vertical="top"/>
    </xf>
    <xf numFmtId="0" fontId="7" fillId="0" borderId="4" xfId="0" applyFont="1" applyFill="1" applyBorder="1" applyAlignment="1">
      <alignment horizontal="left" vertical="top" wrapText="1"/>
    </xf>
    <xf numFmtId="0" fontId="7" fillId="0" borderId="87" xfId="0" applyFont="1" applyFill="1" applyBorder="1" applyAlignment="1">
      <alignment vertical="top"/>
    </xf>
    <xf numFmtId="0" fontId="7" fillId="0" borderId="50" xfId="0" applyFont="1" applyFill="1" applyBorder="1" applyAlignment="1">
      <alignment horizontal="left" vertical="top" wrapText="1"/>
    </xf>
    <xf numFmtId="1" fontId="7" fillId="0" borderId="74" xfId="0" applyNumberFormat="1" applyFont="1" applyFill="1" applyBorder="1" applyAlignment="1">
      <alignment horizontal="right" vertical="top"/>
    </xf>
    <xf numFmtId="2" fontId="7" fillId="4" borderId="39" xfId="0" applyNumberFormat="1" applyFont="1" applyFill="1" applyBorder="1" applyAlignment="1">
      <alignment horizontal="right" vertical="top"/>
    </xf>
    <xf numFmtId="0" fontId="7" fillId="0" borderId="80" xfId="0" applyFont="1" applyFill="1" applyBorder="1" applyAlignment="1">
      <alignment horizontal="left" vertical="top" wrapText="1"/>
    </xf>
    <xf numFmtId="0" fontId="7" fillId="0" borderId="51" xfId="0" applyFont="1" applyFill="1" applyBorder="1" applyAlignment="1">
      <alignment horizontal="left" vertical="top" wrapText="1"/>
    </xf>
    <xf numFmtId="2" fontId="7" fillId="4" borderId="88" xfId="0" applyNumberFormat="1" applyFont="1" applyFill="1" applyBorder="1" applyAlignment="1">
      <alignment horizontal="right" vertical="top"/>
    </xf>
    <xf numFmtId="0" fontId="7" fillId="0" borderId="89" xfId="0" applyFont="1" applyFill="1" applyBorder="1" applyAlignment="1">
      <alignment horizontal="left" vertical="top" wrapText="1"/>
    </xf>
    <xf numFmtId="0" fontId="22" fillId="15" borderId="64" xfId="0" applyFont="1" applyFill="1" applyBorder="1" applyAlignment="1">
      <alignment horizontal="left" vertical="center" wrapText="1"/>
    </xf>
    <xf numFmtId="0" fontId="22" fillId="15" borderId="58" xfId="0" applyFont="1" applyFill="1" applyBorder="1" applyAlignment="1">
      <alignment horizontal="left" vertical="center" wrapText="1"/>
    </xf>
    <xf numFmtId="0" fontId="7" fillId="0" borderId="74" xfId="0" applyFont="1" applyFill="1" applyBorder="1" applyAlignment="1">
      <alignment vertical="top"/>
    </xf>
    <xf numFmtId="0" fontId="7" fillId="0" borderId="51" xfId="0" applyFont="1" applyFill="1" applyBorder="1" applyAlignment="1">
      <alignment vertical="top"/>
    </xf>
    <xf numFmtId="0" fontId="7" fillId="0" borderId="53" xfId="0" applyFont="1" applyFill="1" applyBorder="1" applyAlignment="1">
      <alignment vertical="top"/>
    </xf>
    <xf numFmtId="0" fontId="7" fillId="0" borderId="50" xfId="0" applyFont="1" applyFill="1" applyBorder="1" applyAlignment="1">
      <alignment vertical="top"/>
    </xf>
    <xf numFmtId="0" fontId="14" fillId="0" borderId="32" xfId="0" applyFont="1" applyBorder="1" applyAlignment="1">
      <alignment wrapText="1"/>
    </xf>
    <xf numFmtId="0" fontId="14" fillId="0" borderId="32" xfId="0" applyFont="1" applyFill="1" applyBorder="1" applyAlignment="1">
      <alignment wrapText="1"/>
    </xf>
    <xf numFmtId="0" fontId="0" fillId="0" borderId="32" xfId="0" applyFill="1" applyBorder="1"/>
    <xf numFmtId="0" fontId="0" fillId="0" borderId="90" xfId="0" applyBorder="1" applyAlignment="1">
      <alignment horizontal="left" vertical="top" wrapText="1"/>
    </xf>
    <xf numFmtId="0" fontId="14" fillId="0" borderId="32" xfId="0" applyFont="1" applyFill="1" applyBorder="1" applyAlignment="1">
      <alignment shrinkToFit="1"/>
    </xf>
    <xf numFmtId="0" fontId="0" fillId="0" borderId="92" xfId="0" applyBorder="1" applyAlignment="1">
      <alignment vertical="top"/>
    </xf>
    <xf numFmtId="1" fontId="0" fillId="0" borderId="92" xfId="0" applyNumberFormat="1" applyBorder="1" applyAlignment="1">
      <alignment horizontal="right" vertical="top"/>
    </xf>
    <xf numFmtId="0" fontId="0" fillId="0" borderId="93" xfId="0" applyBorder="1" applyAlignment="1">
      <alignment horizontal="left" vertical="top" wrapText="1"/>
    </xf>
    <xf numFmtId="2" fontId="0" fillId="4" borderId="93" xfId="0" applyNumberFormat="1" applyFill="1" applyBorder="1" applyAlignment="1">
      <alignment horizontal="right" vertical="top"/>
    </xf>
    <xf numFmtId="2" fontId="0" fillId="0" borderId="92" xfId="0" applyNumberFormat="1" applyBorder="1" applyAlignment="1">
      <alignment horizontal="right" vertical="top"/>
    </xf>
    <xf numFmtId="0" fontId="22" fillId="15" borderId="37" xfId="0" applyFont="1" applyFill="1" applyBorder="1" applyAlignment="1">
      <alignment horizontal="left" vertical="center" wrapText="1"/>
    </xf>
    <xf numFmtId="0" fontId="7" fillId="0" borderId="51" xfId="0" applyFont="1" applyFill="1" applyBorder="1" applyAlignment="1">
      <alignment horizontal="left" vertical="top"/>
    </xf>
    <xf numFmtId="0" fontId="7" fillId="0" borderId="53" xfId="0" applyFont="1" applyFill="1" applyBorder="1" applyAlignment="1">
      <alignment horizontal="left" vertical="top"/>
    </xf>
    <xf numFmtId="10" fontId="7" fillId="0" borderId="69" xfId="0" applyNumberFormat="1" applyFont="1" applyFill="1" applyBorder="1" applyAlignment="1">
      <alignment horizontal="right" vertical="top"/>
    </xf>
    <xf numFmtId="10" fontId="7" fillId="0" borderId="74" xfId="0" applyNumberFormat="1" applyFont="1" applyFill="1" applyBorder="1" applyAlignment="1">
      <alignment horizontal="right" vertical="top"/>
    </xf>
    <xf numFmtId="0" fontId="7" fillId="0" borderId="50" xfId="0" applyFont="1" applyFill="1" applyBorder="1" applyAlignment="1">
      <alignment horizontal="left" vertical="top"/>
    </xf>
    <xf numFmtId="0" fontId="6" fillId="4" borderId="86" xfId="0" applyFont="1" applyFill="1" applyBorder="1" applyAlignment="1">
      <alignment horizontal="center" vertical="top"/>
    </xf>
    <xf numFmtId="0" fontId="6" fillId="5" borderId="96" xfId="0" applyFont="1" applyFill="1" applyBorder="1" applyAlignment="1">
      <alignment vertical="top"/>
    </xf>
    <xf numFmtId="0" fontId="6" fillId="5" borderId="95" xfId="0" applyFont="1" applyFill="1" applyBorder="1" applyAlignment="1">
      <alignment horizontal="center" vertical="top"/>
    </xf>
    <xf numFmtId="0" fontId="7" fillId="0" borderId="70" xfId="0" applyFont="1" applyFill="1" applyBorder="1" applyAlignment="1">
      <alignment horizontal="left" vertical="top" wrapText="1"/>
    </xf>
    <xf numFmtId="0" fontId="7" fillId="0" borderId="77" xfId="0" applyFont="1" applyFill="1" applyBorder="1" applyAlignment="1">
      <alignment horizontal="left" vertical="top" wrapText="1"/>
    </xf>
    <xf numFmtId="0" fontId="7" fillId="0" borderId="60" xfId="0" applyFont="1" applyFill="1" applyBorder="1" applyAlignment="1">
      <alignment vertical="top"/>
    </xf>
    <xf numFmtId="0" fontId="7" fillId="0" borderId="69" xfId="0" applyFont="1" applyFill="1" applyBorder="1" applyAlignment="1" applyProtection="1">
      <alignment horizontal="left" vertical="top" wrapText="1"/>
      <protection locked="0"/>
    </xf>
    <xf numFmtId="0" fontId="7" fillId="0" borderId="60" xfId="0" applyFont="1" applyFill="1" applyBorder="1" applyAlignment="1" applyProtection="1">
      <alignment horizontal="left" vertical="top" wrapText="1"/>
      <protection locked="0"/>
    </xf>
    <xf numFmtId="0" fontId="7" fillId="0" borderId="86" xfId="0" applyFont="1" applyFill="1" applyBorder="1" applyAlignment="1">
      <alignment vertical="top"/>
    </xf>
    <xf numFmtId="0" fontId="7" fillId="0" borderId="93" xfId="0" applyFont="1" applyFill="1" applyBorder="1" applyAlignment="1">
      <alignment vertical="top"/>
    </xf>
    <xf numFmtId="0" fontId="7" fillId="0" borderId="93" xfId="0" applyFont="1" applyFill="1" applyBorder="1" applyAlignment="1">
      <alignment horizontal="left" vertical="top"/>
    </xf>
    <xf numFmtId="0" fontId="7" fillId="0" borderId="93" xfId="0" applyFont="1" applyFill="1" applyBorder="1" applyAlignment="1">
      <alignment horizontal="left" vertical="top" wrapText="1"/>
    </xf>
    <xf numFmtId="0" fontId="7" fillId="0" borderId="93" xfId="0" applyFont="1" applyFill="1" applyBorder="1" applyAlignment="1" applyProtection="1">
      <alignment horizontal="left" vertical="top" wrapText="1"/>
      <protection locked="0"/>
    </xf>
    <xf numFmtId="0" fontId="7" fillId="0" borderId="74" xfId="0" applyFont="1" applyFill="1" applyBorder="1" applyAlignment="1" applyProtection="1">
      <alignment horizontal="left" vertical="top" wrapText="1"/>
      <protection locked="0"/>
    </xf>
    <xf numFmtId="10" fontId="7" fillId="4" borderId="32" xfId="0" applyNumberFormat="1" applyFont="1" applyFill="1" applyBorder="1" applyAlignment="1">
      <alignment horizontal="right" vertical="center" wrapText="1"/>
    </xf>
    <xf numFmtId="10" fontId="7" fillId="4" borderId="41" xfId="0" applyNumberFormat="1" applyFont="1" applyFill="1" applyBorder="1" applyAlignment="1">
      <alignment horizontal="right" vertical="center" wrapText="1"/>
    </xf>
    <xf numFmtId="0" fontId="7" fillId="0" borderId="32" xfId="0" applyFont="1" applyFill="1" applyBorder="1" applyAlignment="1">
      <alignment horizontal="center" vertical="center" wrapText="1"/>
    </xf>
    <xf numFmtId="1" fontId="7" fillId="14" borderId="66" xfId="0" applyNumberFormat="1" applyFont="1" applyFill="1" applyBorder="1" applyAlignment="1">
      <alignment horizontal="center" vertical="center"/>
    </xf>
    <xf numFmtId="1" fontId="7" fillId="14" borderId="86" xfId="0" applyNumberFormat="1" applyFont="1" applyFill="1" applyBorder="1" applyAlignment="1">
      <alignment horizontal="center" vertical="center"/>
    </xf>
    <xf numFmtId="2" fontId="7" fillId="4" borderId="4" xfId="0" applyNumberFormat="1" applyFont="1" applyFill="1" applyBorder="1" applyAlignment="1">
      <alignment horizontal="right" vertical="center" wrapText="1"/>
    </xf>
    <xf numFmtId="1" fontId="7" fillId="14" borderId="76" xfId="0" applyNumberFormat="1" applyFont="1" applyFill="1" applyBorder="1" applyAlignment="1">
      <alignment horizontal="center" vertical="center"/>
    </xf>
    <xf numFmtId="0" fontId="7" fillId="0" borderId="42" xfId="0" applyFont="1" applyFill="1" applyBorder="1" applyAlignment="1">
      <alignment horizontal="center" vertical="center" wrapText="1"/>
    </xf>
    <xf numFmtId="2" fontId="7" fillId="4" borderId="80" xfId="0" applyNumberFormat="1" applyFont="1" applyFill="1" applyBorder="1" applyAlignment="1">
      <alignment horizontal="right" vertical="center" wrapText="1"/>
    </xf>
    <xf numFmtId="0" fontId="7" fillId="0" borderId="65" xfId="0" applyFont="1" applyFill="1" applyBorder="1" applyAlignment="1">
      <alignment horizontal="left" vertical="top" wrapText="1"/>
    </xf>
    <xf numFmtId="167" fontId="7" fillId="0" borderId="67" xfId="0" applyNumberFormat="1" applyFont="1" applyFill="1" applyBorder="1" applyAlignment="1">
      <alignment horizontal="center" vertical="center"/>
    </xf>
    <xf numFmtId="167" fontId="7" fillId="4" borderId="99" xfId="0" applyNumberFormat="1" applyFont="1" applyFill="1" applyBorder="1" applyAlignment="1">
      <alignment horizontal="center" vertical="center"/>
    </xf>
    <xf numFmtId="167" fontId="7" fillId="0" borderId="75" xfId="0" applyNumberFormat="1" applyFont="1" applyFill="1" applyBorder="1" applyAlignment="1">
      <alignment horizontal="center" vertical="center"/>
    </xf>
    <xf numFmtId="167" fontId="7" fillId="4" borderId="100" xfId="0" applyNumberFormat="1" applyFont="1" applyFill="1" applyBorder="1" applyAlignment="1">
      <alignment horizontal="center" vertical="center"/>
    </xf>
    <xf numFmtId="167" fontId="7" fillId="4" borderId="44" xfId="0" applyNumberFormat="1" applyFont="1" applyFill="1" applyBorder="1" applyAlignment="1">
      <alignment horizontal="center" vertical="center"/>
    </xf>
    <xf numFmtId="167" fontId="7" fillId="0" borderId="53" xfId="0" applyNumberFormat="1" applyFont="1" applyFill="1" applyBorder="1" applyAlignment="1">
      <alignment horizontal="center" vertical="center"/>
    </xf>
    <xf numFmtId="167" fontId="7" fillId="0" borderId="46" xfId="0" applyNumberFormat="1" applyFont="1" applyFill="1" applyBorder="1" applyAlignment="1">
      <alignment horizontal="center" vertical="center"/>
    </xf>
    <xf numFmtId="167" fontId="7" fillId="0" borderId="50" xfId="0" applyNumberFormat="1" applyFont="1" applyFill="1" applyBorder="1" applyAlignment="1">
      <alignment horizontal="center" vertical="center"/>
    </xf>
    <xf numFmtId="167" fontId="7" fillId="0" borderId="39" xfId="0" applyNumberFormat="1" applyFont="1" applyFill="1" applyBorder="1" applyAlignment="1">
      <alignment horizontal="center" vertical="center"/>
    </xf>
    <xf numFmtId="167" fontId="7" fillId="0" borderId="47" xfId="0" applyNumberFormat="1" applyFont="1" applyFill="1" applyBorder="1" applyAlignment="1">
      <alignment horizontal="center" vertical="center"/>
    </xf>
    <xf numFmtId="167" fontId="7" fillId="0" borderId="51" xfId="0" applyNumberFormat="1" applyFont="1" applyFill="1" applyBorder="1" applyAlignment="1">
      <alignment horizontal="center" vertical="center"/>
    </xf>
    <xf numFmtId="167" fontId="7" fillId="0" borderId="88" xfId="0" applyNumberFormat="1" applyFont="1" applyFill="1" applyBorder="1" applyAlignment="1">
      <alignment horizontal="center" vertical="center"/>
    </xf>
    <xf numFmtId="167" fontId="7" fillId="0" borderId="38" xfId="0" applyNumberFormat="1" applyFont="1" applyFill="1" applyBorder="1" applyAlignment="1">
      <alignment horizontal="center" vertical="center"/>
    </xf>
    <xf numFmtId="2" fontId="7" fillId="4" borderId="51" xfId="0" applyNumberFormat="1" applyFont="1" applyFill="1" applyBorder="1" applyAlignment="1">
      <alignment horizontal="right" vertical="center"/>
    </xf>
    <xf numFmtId="167" fontId="7" fillId="0" borderId="69" xfId="0" applyNumberFormat="1" applyFont="1" applyFill="1" applyBorder="1" applyAlignment="1">
      <alignment horizontal="center" vertical="center"/>
    </xf>
    <xf numFmtId="167" fontId="7" fillId="0" borderId="86" xfId="0" applyNumberFormat="1" applyFont="1" applyFill="1" applyBorder="1" applyAlignment="1">
      <alignment horizontal="center" vertical="center"/>
    </xf>
    <xf numFmtId="167" fontId="7" fillId="0" borderId="76" xfId="0" applyNumberFormat="1" applyFont="1" applyFill="1" applyBorder="1" applyAlignment="1">
      <alignment horizontal="center" vertical="center"/>
    </xf>
    <xf numFmtId="167" fontId="7" fillId="0" borderId="74" xfId="0" applyNumberFormat="1" applyFont="1" applyFill="1" applyBorder="1" applyAlignment="1">
      <alignment horizontal="center" vertical="center"/>
    </xf>
    <xf numFmtId="167" fontId="7" fillId="4" borderId="9" xfId="0" applyNumberFormat="1" applyFont="1" applyFill="1" applyBorder="1" applyAlignment="1">
      <alignment horizontal="center" vertical="center"/>
    </xf>
    <xf numFmtId="167" fontId="7" fillId="4" borderId="101" xfId="0" applyNumberFormat="1" applyFont="1" applyFill="1" applyBorder="1" applyAlignment="1">
      <alignment horizontal="center" vertical="center"/>
    </xf>
    <xf numFmtId="167" fontId="7" fillId="4" borderId="102" xfId="0" applyNumberFormat="1" applyFont="1" applyFill="1" applyBorder="1" applyAlignment="1">
      <alignment horizontal="center" vertical="center"/>
    </xf>
    <xf numFmtId="167" fontId="7" fillId="0" borderId="0" xfId="0" applyNumberFormat="1" applyFont="1" applyFill="1" applyBorder="1" applyAlignment="1">
      <alignment horizontal="center" vertical="center"/>
    </xf>
    <xf numFmtId="167" fontId="7" fillId="0" borderId="92" xfId="0" applyNumberFormat="1" applyFont="1" applyFill="1" applyBorder="1" applyAlignment="1">
      <alignment horizontal="center" vertical="center"/>
    </xf>
    <xf numFmtId="167" fontId="7" fillId="0" borderId="63" xfId="0" applyNumberFormat="1" applyFont="1" applyFill="1" applyBorder="1" applyAlignment="1">
      <alignment horizontal="center" vertical="center"/>
    </xf>
    <xf numFmtId="167" fontId="7" fillId="0" borderId="94" xfId="0" applyNumberFormat="1" applyFont="1" applyFill="1" applyBorder="1" applyAlignment="1">
      <alignment horizontal="center" vertical="center"/>
    </xf>
    <xf numFmtId="167" fontId="7" fillId="0" borderId="60" xfId="0" applyNumberFormat="1" applyFont="1" applyFill="1" applyBorder="1" applyAlignment="1">
      <alignment horizontal="center" vertical="center"/>
    </xf>
    <xf numFmtId="167" fontId="7" fillId="4" borderId="104" xfId="0" applyNumberFormat="1" applyFont="1" applyFill="1" applyBorder="1" applyAlignment="1">
      <alignment horizontal="center" vertical="center"/>
    </xf>
    <xf numFmtId="0" fontId="14" fillId="0" borderId="38" xfId="0" applyFont="1" applyFill="1" applyBorder="1" applyAlignment="1">
      <alignment wrapText="1"/>
    </xf>
    <xf numFmtId="0" fontId="7" fillId="0" borderId="98" xfId="0" applyFont="1" applyFill="1" applyBorder="1" applyAlignment="1">
      <alignment horizontal="left" vertical="top" wrapText="1"/>
    </xf>
    <xf numFmtId="2" fontId="7" fillId="4" borderId="89" xfId="0" applyNumberFormat="1" applyFont="1" applyFill="1" applyBorder="1" applyAlignment="1">
      <alignment horizontal="right" vertical="center" wrapText="1"/>
    </xf>
    <xf numFmtId="0" fontId="7" fillId="0" borderId="41" xfId="0" applyFont="1" applyFill="1" applyBorder="1" applyAlignment="1">
      <alignment horizontal="center" vertical="center" wrapText="1"/>
    </xf>
    <xf numFmtId="1" fontId="7" fillId="14" borderId="68" xfId="0" applyNumberFormat="1" applyFont="1" applyFill="1" applyBorder="1" applyAlignment="1">
      <alignment horizontal="center" vertical="center"/>
    </xf>
    <xf numFmtId="167" fontId="7" fillId="4" borderId="85" xfId="0" applyNumberFormat="1" applyFont="1" applyFill="1" applyBorder="1" applyAlignment="1">
      <alignment horizontal="center" vertical="center"/>
    </xf>
    <xf numFmtId="1" fontId="7" fillId="14" borderId="50" xfId="0" applyNumberFormat="1" applyFont="1" applyFill="1" applyBorder="1" applyAlignment="1">
      <alignment horizontal="center" vertical="center"/>
    </xf>
    <xf numFmtId="0" fontId="7" fillId="0" borderId="106" xfId="0" applyFont="1" applyFill="1" applyBorder="1" applyAlignment="1">
      <alignment horizontal="left" vertical="top" wrapText="1"/>
    </xf>
    <xf numFmtId="10" fontId="7" fillId="4" borderId="38" xfId="0" applyNumberFormat="1" applyFont="1" applyFill="1" applyBorder="1" applyAlignment="1">
      <alignment horizontal="right" vertical="center" wrapText="1"/>
    </xf>
    <xf numFmtId="0" fontId="7" fillId="4" borderId="103" xfId="0" applyFont="1" applyFill="1" applyBorder="1" applyAlignment="1">
      <alignment horizontal="right" vertical="center"/>
    </xf>
    <xf numFmtId="0" fontId="7" fillId="4" borderId="103" xfId="0" applyFont="1" applyFill="1" applyBorder="1" applyAlignment="1">
      <alignment horizontal="center" vertical="center"/>
    </xf>
    <xf numFmtId="2" fontId="7" fillId="4" borderId="56" xfId="0" applyNumberFormat="1" applyFont="1" applyFill="1" applyBorder="1" applyAlignment="1">
      <alignment horizontal="right" vertical="center"/>
    </xf>
    <xf numFmtId="2" fontId="7" fillId="4" borderId="53" xfId="0" applyNumberFormat="1" applyFont="1" applyFill="1" applyBorder="1" applyAlignment="1">
      <alignment horizontal="right" vertical="center"/>
    </xf>
    <xf numFmtId="167" fontId="7" fillId="0" borderId="68" xfId="0" applyNumberFormat="1" applyFont="1" applyFill="1" applyBorder="1" applyAlignment="1">
      <alignment horizontal="center" vertical="center"/>
    </xf>
    <xf numFmtId="167" fontId="7" fillId="0" borderId="66" xfId="0" applyNumberFormat="1" applyFont="1" applyFill="1" applyBorder="1" applyAlignment="1">
      <alignment horizontal="center" vertical="center"/>
    </xf>
    <xf numFmtId="0" fontId="7" fillId="0" borderId="79" xfId="0" applyFont="1" applyFill="1" applyBorder="1" applyAlignment="1">
      <alignment vertical="top"/>
    </xf>
    <xf numFmtId="0" fontId="7" fillId="0" borderId="67" xfId="0" applyFont="1" applyFill="1" applyBorder="1" applyAlignment="1">
      <alignment horizontal="left" vertical="top"/>
    </xf>
    <xf numFmtId="10" fontId="7" fillId="4" borderId="42" xfId="0" applyNumberFormat="1" applyFont="1" applyFill="1" applyBorder="1" applyAlignment="1">
      <alignment horizontal="right" vertical="center" wrapText="1"/>
    </xf>
    <xf numFmtId="2" fontId="7" fillId="4" borderId="98" xfId="0" applyNumberFormat="1" applyFont="1" applyFill="1" applyBorder="1" applyAlignment="1">
      <alignment horizontal="right" vertical="center" wrapText="1"/>
    </xf>
    <xf numFmtId="0" fontId="6" fillId="5" borderId="111" xfId="0" applyFont="1" applyFill="1" applyBorder="1" applyAlignment="1">
      <alignment vertical="center"/>
    </xf>
    <xf numFmtId="0" fontId="6" fillId="5" borderId="112" xfId="0" applyFont="1" applyFill="1" applyBorder="1" applyAlignment="1">
      <alignment vertical="center"/>
    </xf>
    <xf numFmtId="0" fontId="6" fillId="5" borderId="113" xfId="0" applyFont="1" applyFill="1" applyBorder="1" applyAlignment="1">
      <alignment horizontal="left" vertical="center"/>
    </xf>
    <xf numFmtId="0" fontId="6" fillId="5" borderId="113" xfId="0" applyFont="1" applyFill="1" applyBorder="1" applyAlignment="1">
      <alignment horizontal="left" vertical="center" wrapText="1"/>
    </xf>
    <xf numFmtId="0" fontId="6" fillId="5" borderId="113" xfId="0" applyFont="1" applyFill="1" applyBorder="1" applyAlignment="1" applyProtection="1">
      <alignment horizontal="left" vertical="center" wrapText="1"/>
      <protection locked="0"/>
    </xf>
    <xf numFmtId="0" fontId="6" fillId="5" borderId="114" xfId="0" applyFont="1" applyFill="1" applyBorder="1" applyAlignment="1">
      <alignment horizontal="left" vertical="center" wrapText="1"/>
    </xf>
    <xf numFmtId="0" fontId="6" fillId="5" borderId="113" xfId="0" applyFont="1" applyFill="1" applyBorder="1" applyAlignment="1">
      <alignment horizontal="center" vertical="center"/>
    </xf>
    <xf numFmtId="0" fontId="6" fillId="5" borderId="36" xfId="0" applyFont="1" applyFill="1" applyBorder="1" applyAlignment="1">
      <alignment vertical="center"/>
    </xf>
    <xf numFmtId="0" fontId="6" fillId="5" borderId="54" xfId="0" applyFont="1" applyFill="1" applyBorder="1" applyAlignment="1">
      <alignment vertical="center"/>
    </xf>
    <xf numFmtId="0" fontId="6" fillId="5" borderId="54" xfId="0" applyFont="1" applyFill="1" applyBorder="1" applyAlignment="1">
      <alignment horizontal="left" vertical="center"/>
    </xf>
    <xf numFmtId="0" fontId="6" fillId="5" borderId="54" xfId="0" applyFont="1" applyFill="1" applyBorder="1" applyAlignment="1">
      <alignment horizontal="left" vertical="center" wrapText="1"/>
    </xf>
    <xf numFmtId="0" fontId="6" fillId="5" borderId="54" xfId="0" applyFont="1" applyFill="1" applyBorder="1" applyAlignment="1" applyProtection="1">
      <alignment horizontal="left" vertical="center" wrapText="1"/>
      <protection locked="0"/>
    </xf>
    <xf numFmtId="0" fontId="6" fillId="5" borderId="49" xfId="0" applyFont="1" applyFill="1" applyBorder="1" applyAlignment="1">
      <alignment horizontal="left" vertical="center"/>
    </xf>
    <xf numFmtId="0" fontId="6" fillId="5" borderId="37" xfId="0" applyFont="1" applyFill="1" applyBorder="1" applyAlignment="1">
      <alignment horizontal="left" vertical="center" wrapText="1"/>
    </xf>
    <xf numFmtId="0" fontId="6" fillId="5" borderId="54" xfId="0" applyFont="1" applyFill="1" applyBorder="1" applyAlignment="1">
      <alignment horizontal="center" vertical="center"/>
    </xf>
    <xf numFmtId="0" fontId="6" fillId="5" borderId="35" xfId="0" applyFont="1" applyFill="1" applyBorder="1" applyAlignment="1">
      <alignment horizontal="left" vertical="center" wrapText="1"/>
    </xf>
    <xf numFmtId="0" fontId="7" fillId="0" borderId="73" xfId="0" applyFont="1" applyFill="1" applyBorder="1" applyAlignment="1">
      <alignment vertical="top"/>
    </xf>
    <xf numFmtId="0" fontId="7" fillId="0" borderId="52" xfId="0" applyFont="1" applyFill="1" applyBorder="1" applyAlignment="1">
      <alignment vertical="top"/>
    </xf>
    <xf numFmtId="1" fontId="7" fillId="14" borderId="53" xfId="0" applyNumberFormat="1" applyFont="1" applyFill="1" applyBorder="1" applyAlignment="1">
      <alignment horizontal="center" vertical="center"/>
    </xf>
    <xf numFmtId="0" fontId="7" fillId="0" borderId="115" xfId="0" applyFont="1" applyFill="1" applyBorder="1" applyAlignment="1">
      <alignment horizontal="left" vertical="top" wrapText="1"/>
    </xf>
    <xf numFmtId="0" fontId="19" fillId="12" borderId="59" xfId="0" applyFont="1" applyFill="1" applyBorder="1" applyAlignment="1">
      <alignment horizontal="center" textRotation="90" wrapText="1"/>
    </xf>
    <xf numFmtId="0" fontId="19" fillId="12" borderId="110" xfId="0" applyFont="1" applyFill="1" applyBorder="1" applyAlignment="1">
      <alignment horizontal="center" textRotation="90" wrapText="1"/>
    </xf>
    <xf numFmtId="0" fontId="7" fillId="0" borderId="42" xfId="0" applyFont="1" applyBorder="1" applyAlignment="1">
      <alignment vertical="center" wrapText="1"/>
    </xf>
    <xf numFmtId="0" fontId="7" fillId="0" borderId="90" xfId="0" applyFont="1" applyBorder="1" applyAlignment="1">
      <alignment vertical="center" wrapText="1"/>
    </xf>
    <xf numFmtId="43" fontId="7" fillId="0" borderId="76" xfId="0" applyNumberFormat="1" applyFont="1" applyBorder="1" applyAlignment="1">
      <alignment horizontal="right" vertical="center" wrapText="1"/>
    </xf>
    <xf numFmtId="43" fontId="7" fillId="0" borderId="86" xfId="0" applyNumberFormat="1" applyFont="1" applyBorder="1" applyAlignment="1">
      <alignment horizontal="right" vertical="center" wrapText="1"/>
    </xf>
    <xf numFmtId="0" fontId="22" fillId="15" borderId="107" xfId="0" applyFont="1" applyFill="1" applyBorder="1" applyAlignment="1">
      <alignment horizontal="left" wrapText="1"/>
    </xf>
    <xf numFmtId="0" fontId="22" fillId="15" borderId="108" xfId="0" applyFont="1" applyFill="1" applyBorder="1" applyAlignment="1">
      <alignment horizontal="left" wrapText="1"/>
    </xf>
    <xf numFmtId="168" fontId="24" fillId="15" borderId="108" xfId="0" applyNumberFormat="1" applyFont="1" applyFill="1" applyBorder="1" applyAlignment="1">
      <alignment horizontal="center" textRotation="90" wrapText="1"/>
    </xf>
    <xf numFmtId="0" fontId="22" fillId="15" borderId="58" xfId="0" applyFont="1" applyFill="1" applyBorder="1" applyAlignment="1">
      <alignment horizontal="left" vertical="center" textRotation="90" wrapText="1"/>
    </xf>
    <xf numFmtId="0" fontId="22" fillId="15" borderId="108" xfId="0" applyFont="1" applyFill="1" applyBorder="1" applyAlignment="1">
      <alignment horizontal="center" textRotation="90" wrapText="1"/>
    </xf>
    <xf numFmtId="0" fontId="6" fillId="15" borderId="9" xfId="0" applyFont="1" applyFill="1" applyBorder="1" applyAlignment="1">
      <alignment vertical="center"/>
    </xf>
    <xf numFmtId="0" fontId="22" fillId="15" borderId="104" xfId="0" applyFont="1" applyFill="1" applyBorder="1" applyAlignment="1">
      <alignment horizontal="left" vertical="center" wrapText="1"/>
    </xf>
    <xf numFmtId="167" fontId="6" fillId="15" borderId="85" xfId="0" applyNumberFormat="1" applyFont="1" applyFill="1" applyBorder="1" applyAlignment="1">
      <alignment horizontal="center" vertical="center"/>
    </xf>
    <xf numFmtId="167" fontId="6" fillId="15" borderId="104" xfId="0" applyNumberFormat="1" applyFont="1" applyFill="1" applyBorder="1" applyAlignment="1">
      <alignment horizontal="center" vertical="center"/>
    </xf>
    <xf numFmtId="167" fontId="6" fillId="15" borderId="99" xfId="0" applyNumberFormat="1" applyFont="1" applyFill="1" applyBorder="1" applyAlignment="1">
      <alignment horizontal="center" vertical="center"/>
    </xf>
    <xf numFmtId="167" fontId="6" fillId="15" borderId="100" xfId="0" applyNumberFormat="1" applyFont="1" applyFill="1" applyBorder="1" applyAlignment="1">
      <alignment horizontal="center" vertical="center"/>
    </xf>
    <xf numFmtId="167" fontId="6" fillId="15" borderId="44" xfId="0" applyNumberFormat="1" applyFont="1" applyFill="1" applyBorder="1" applyAlignment="1">
      <alignment horizontal="center" vertical="center"/>
    </xf>
    <xf numFmtId="2" fontId="6" fillId="15" borderId="16" xfId="0" applyNumberFormat="1" applyFont="1" applyFill="1" applyBorder="1" applyAlignment="1">
      <alignment horizontal="right" vertical="center"/>
    </xf>
    <xf numFmtId="2" fontId="6" fillId="15" borderId="13" xfId="0" applyNumberFormat="1" applyFont="1" applyFill="1" applyBorder="1" applyAlignment="1">
      <alignment horizontal="right" vertical="center" wrapText="1"/>
    </xf>
    <xf numFmtId="168" fontId="24" fillId="15" borderId="109" xfId="0" applyNumberFormat="1" applyFont="1" applyFill="1" applyBorder="1" applyAlignment="1">
      <alignment horizontal="center" textRotation="90" wrapText="1"/>
    </xf>
    <xf numFmtId="0" fontId="22" fillId="15" borderId="64" xfId="0" applyFont="1" applyFill="1" applyBorder="1" applyAlignment="1">
      <alignment horizontal="left" vertical="center" textRotation="90" wrapText="1"/>
    </xf>
    <xf numFmtId="0" fontId="22" fillId="15" borderId="109" xfId="0" applyFont="1" applyFill="1" applyBorder="1" applyAlignment="1">
      <alignment horizontal="center" textRotation="90" wrapText="1"/>
    </xf>
    <xf numFmtId="0" fontId="6" fillId="15" borderId="12" xfId="0" applyFont="1" applyFill="1" applyBorder="1" applyAlignment="1">
      <alignment vertical="center"/>
    </xf>
    <xf numFmtId="0" fontId="6" fillId="15" borderId="118" xfId="0" applyFont="1" applyFill="1" applyBorder="1" applyAlignment="1">
      <alignment vertical="center"/>
    </xf>
    <xf numFmtId="0" fontId="6" fillId="15" borderId="43" xfId="0" applyFont="1" applyFill="1" applyBorder="1" applyAlignment="1">
      <alignment vertical="center"/>
    </xf>
    <xf numFmtId="0" fontId="6" fillId="5" borderId="119" xfId="0" applyFont="1" applyFill="1" applyBorder="1" applyAlignment="1">
      <alignment horizontal="center" vertical="center"/>
    </xf>
    <xf numFmtId="0" fontId="6" fillId="5" borderId="114" xfId="0" applyFont="1" applyFill="1" applyBorder="1" applyAlignment="1">
      <alignment horizontal="center" vertical="center"/>
    </xf>
    <xf numFmtId="0" fontId="6" fillId="15" borderId="34" xfId="0" applyFont="1" applyFill="1" applyBorder="1" applyAlignment="1">
      <alignment vertical="center"/>
    </xf>
    <xf numFmtId="0" fontId="6" fillId="15" borderId="120" xfId="0" applyFont="1" applyFill="1" applyBorder="1" applyAlignment="1">
      <alignment vertical="center"/>
    </xf>
    <xf numFmtId="0" fontId="6" fillId="15" borderId="37" xfId="0" applyFont="1" applyFill="1" applyBorder="1" applyAlignment="1">
      <alignment vertical="center"/>
    </xf>
    <xf numFmtId="2" fontId="7" fillId="4" borderId="7" xfId="0" applyNumberFormat="1" applyFont="1" applyFill="1" applyBorder="1" applyAlignment="1">
      <alignment vertical="center"/>
    </xf>
    <xf numFmtId="2" fontId="7" fillId="4" borderId="122" xfId="0" applyNumberFormat="1" applyFont="1" applyFill="1" applyBorder="1" applyAlignment="1">
      <alignment vertical="center"/>
    </xf>
    <xf numFmtId="2" fontId="7" fillId="4" borderId="121" xfId="0" applyNumberFormat="1" applyFont="1" applyFill="1" applyBorder="1" applyAlignment="1">
      <alignment vertical="center"/>
    </xf>
    <xf numFmtId="2" fontId="7" fillId="4" borderId="103" xfId="0" applyNumberFormat="1" applyFont="1" applyFill="1" applyBorder="1" applyAlignment="1">
      <alignment vertical="center"/>
    </xf>
    <xf numFmtId="167" fontId="7" fillId="4" borderId="103" xfId="0" applyNumberFormat="1" applyFont="1" applyFill="1" applyBorder="1" applyAlignment="1">
      <alignment vertical="center"/>
    </xf>
    <xf numFmtId="2" fontId="7" fillId="4" borderId="123" xfId="0" applyNumberFormat="1" applyFont="1" applyFill="1" applyBorder="1" applyAlignment="1">
      <alignment vertical="center"/>
    </xf>
    <xf numFmtId="2" fontId="7" fillId="4" borderId="124" xfId="0" applyNumberFormat="1" applyFont="1" applyFill="1" applyBorder="1" applyAlignment="1">
      <alignment vertical="center"/>
    </xf>
    <xf numFmtId="10" fontId="7" fillId="4" borderId="125" xfId="0" applyNumberFormat="1" applyFont="1" applyFill="1" applyBorder="1" applyAlignment="1">
      <alignment vertical="center"/>
    </xf>
    <xf numFmtId="10" fontId="7" fillId="4" borderId="92" xfId="0" applyNumberFormat="1" applyFont="1" applyFill="1" applyBorder="1" applyAlignment="1">
      <alignment vertical="center"/>
    </xf>
    <xf numFmtId="2" fontId="7" fillId="4" borderId="74" xfId="0" applyNumberFormat="1" applyFont="1" applyFill="1" applyBorder="1" applyAlignment="1">
      <alignment vertical="center"/>
    </xf>
    <xf numFmtId="2" fontId="7" fillId="4" borderId="62" xfId="0" applyNumberFormat="1" applyFont="1" applyFill="1" applyBorder="1" applyAlignment="1">
      <alignment vertical="center"/>
    </xf>
    <xf numFmtId="2" fontId="7" fillId="4" borderId="117" xfId="0" applyNumberFormat="1" applyFont="1" applyFill="1" applyBorder="1" applyAlignment="1">
      <alignment vertical="center"/>
    </xf>
    <xf numFmtId="10" fontId="7" fillId="4" borderId="126" xfId="0" applyNumberFormat="1" applyFont="1" applyFill="1" applyBorder="1" applyAlignment="1">
      <alignment vertical="center"/>
    </xf>
    <xf numFmtId="2" fontId="7" fillId="4" borderId="70" xfId="0" applyNumberFormat="1" applyFont="1" applyFill="1" applyBorder="1" applyAlignment="1">
      <alignment vertical="center"/>
    </xf>
    <xf numFmtId="167" fontId="7" fillId="4" borderId="15" xfId="0" applyNumberFormat="1" applyFont="1" applyFill="1" applyBorder="1" applyAlignment="1">
      <alignment vertical="center"/>
    </xf>
    <xf numFmtId="167" fontId="7" fillId="4" borderId="104" xfId="0" applyNumberFormat="1" applyFont="1" applyFill="1" applyBorder="1" applyAlignment="1">
      <alignment vertical="center"/>
    </xf>
    <xf numFmtId="2" fontId="7" fillId="4" borderId="127" xfId="0" applyNumberFormat="1" applyFont="1" applyFill="1" applyBorder="1" applyAlignment="1">
      <alignment vertical="center"/>
    </xf>
    <xf numFmtId="2" fontId="7" fillId="4" borderId="104" xfId="0" applyNumberFormat="1" applyFont="1" applyFill="1" applyBorder="1" applyAlignment="1">
      <alignment vertical="center"/>
    </xf>
    <xf numFmtId="2" fontId="7" fillId="4" borderId="15" xfId="0" applyNumberFormat="1" applyFont="1" applyFill="1" applyBorder="1" applyAlignment="1">
      <alignment vertical="center"/>
    </xf>
    <xf numFmtId="2" fontId="7" fillId="4" borderId="32" xfId="0" applyNumberFormat="1" applyFont="1" applyFill="1" applyBorder="1" applyAlignment="1">
      <alignment vertical="center"/>
    </xf>
    <xf numFmtId="2" fontId="7" fillId="4" borderId="128" xfId="0" applyNumberFormat="1" applyFont="1" applyFill="1" applyBorder="1" applyAlignment="1">
      <alignment vertical="center"/>
    </xf>
    <xf numFmtId="10" fontId="7" fillId="4" borderId="90" xfId="0" applyNumberFormat="1" applyFont="1" applyFill="1" applyBorder="1" applyAlignment="1">
      <alignment vertical="center"/>
    </xf>
    <xf numFmtId="2" fontId="7" fillId="4" borderId="129" xfId="0" applyNumberFormat="1" applyFont="1" applyFill="1" applyBorder="1" applyAlignment="1">
      <alignment vertical="center"/>
    </xf>
    <xf numFmtId="9" fontId="7" fillId="4" borderId="130" xfId="0" applyNumberFormat="1" applyFont="1" applyFill="1" applyBorder="1" applyAlignment="1">
      <alignment vertical="center"/>
    </xf>
    <xf numFmtId="0" fontId="7" fillId="9" borderId="70" xfId="0" applyFont="1" applyFill="1" applyBorder="1" applyAlignment="1">
      <alignment horizontal="center" vertical="center"/>
    </xf>
    <xf numFmtId="9" fontId="7" fillId="4" borderId="61" xfId="0" applyNumberFormat="1" applyFont="1" applyFill="1" applyBorder="1" applyAlignment="1">
      <alignment vertical="center"/>
    </xf>
    <xf numFmtId="9" fontId="7" fillId="4" borderId="66" xfId="0" applyNumberFormat="1" applyFont="1" applyFill="1" applyBorder="1" applyAlignment="1">
      <alignment vertical="center"/>
    </xf>
    <xf numFmtId="9" fontId="7" fillId="4" borderId="68" xfId="0" applyNumberFormat="1" applyFont="1" applyFill="1" applyBorder="1" applyAlignment="1">
      <alignment vertical="center"/>
    </xf>
    <xf numFmtId="9" fontId="7" fillId="4" borderId="131" xfId="0" applyNumberFormat="1" applyFont="1" applyFill="1" applyBorder="1" applyAlignment="1">
      <alignment vertical="center"/>
    </xf>
    <xf numFmtId="9" fontId="7" fillId="4" borderId="55" xfId="0" applyNumberFormat="1" applyFont="1" applyFill="1" applyBorder="1" applyAlignment="1">
      <alignment vertical="center"/>
    </xf>
    <xf numFmtId="0" fontId="7" fillId="7" borderId="105" xfId="0" applyFont="1" applyFill="1" applyBorder="1" applyAlignment="1">
      <alignment horizontal="center" vertical="center"/>
    </xf>
    <xf numFmtId="0" fontId="7" fillId="8" borderId="105" xfId="0" applyFont="1" applyFill="1" applyBorder="1" applyAlignment="1">
      <alignment horizontal="center" vertical="center"/>
    </xf>
    <xf numFmtId="0" fontId="7" fillId="6" borderId="132" xfId="0" applyFont="1" applyFill="1" applyBorder="1" applyAlignment="1">
      <alignment horizontal="center" vertical="center"/>
    </xf>
    <xf numFmtId="0" fontId="7" fillId="7" borderId="70" xfId="0" applyFont="1" applyFill="1" applyBorder="1" applyAlignment="1">
      <alignment horizontal="center" vertical="center"/>
    </xf>
    <xf numFmtId="0" fontId="7" fillId="6" borderId="31" xfId="0" applyFont="1" applyFill="1" applyBorder="1" applyAlignment="1">
      <alignment horizontal="center" vertical="center"/>
    </xf>
    <xf numFmtId="0" fontId="7" fillId="8" borderId="70" xfId="0" applyFont="1" applyFill="1" applyBorder="1" applyAlignment="1">
      <alignment horizontal="center" vertical="center"/>
    </xf>
    <xf numFmtId="0" fontId="7" fillId="15" borderId="97" xfId="0" applyFont="1" applyFill="1" applyBorder="1"/>
    <xf numFmtId="0" fontId="7" fillId="15" borderId="11" xfId="0" applyFont="1" applyFill="1" applyBorder="1"/>
    <xf numFmtId="0" fontId="7" fillId="15" borderId="32" xfId="0" applyFont="1" applyFill="1" applyBorder="1"/>
    <xf numFmtId="0" fontId="7" fillId="15" borderId="0" xfId="0" applyFont="1" applyFill="1" applyBorder="1"/>
    <xf numFmtId="0" fontId="7" fillId="5" borderId="0" xfId="0" applyFont="1" applyFill="1" applyBorder="1"/>
    <xf numFmtId="0" fontId="7" fillId="15" borderId="6" xfId="0" applyFont="1" applyFill="1" applyBorder="1"/>
    <xf numFmtId="0" fontId="7" fillId="15" borderId="7" xfId="0" applyFont="1" applyFill="1" applyBorder="1"/>
    <xf numFmtId="0" fontId="7" fillId="15" borderId="90" xfId="0" applyFont="1" applyFill="1" applyBorder="1"/>
    <xf numFmtId="0" fontId="24" fillId="0" borderId="28" xfId="0" applyFont="1" applyBorder="1" applyAlignment="1">
      <alignment horizontal="left" vertical="top" wrapText="1"/>
    </xf>
    <xf numFmtId="0" fontId="24" fillId="0" borderId="29" xfId="0" applyFont="1" applyBorder="1" applyAlignment="1">
      <alignment horizontal="left" vertical="top" wrapText="1"/>
    </xf>
    <xf numFmtId="14" fontId="24" fillId="0" borderId="30" xfId="0" applyNumberFormat="1" applyFont="1" applyBorder="1" applyAlignment="1">
      <alignment horizontal="left" vertical="top" wrapText="1"/>
    </xf>
    <xf numFmtId="0" fontId="6" fillId="5" borderId="133" xfId="0" applyFont="1" applyFill="1" applyBorder="1" applyAlignment="1">
      <alignment horizontal="left" vertical="center"/>
    </xf>
    <xf numFmtId="0" fontId="7" fillId="0" borderId="135" xfId="0" applyFont="1" applyFill="1" applyBorder="1" applyAlignment="1">
      <alignment vertical="top"/>
    </xf>
    <xf numFmtId="2" fontId="7" fillId="4" borderId="50" xfId="0" applyNumberFormat="1" applyFont="1" applyFill="1" applyBorder="1" applyAlignment="1">
      <alignment horizontal="right" vertical="center"/>
    </xf>
    <xf numFmtId="2" fontId="7" fillId="4" borderId="52" xfId="0" applyNumberFormat="1" applyFont="1" applyFill="1" applyBorder="1" applyAlignment="1">
      <alignment horizontal="right" vertical="center"/>
    </xf>
    <xf numFmtId="2" fontId="7" fillId="4" borderId="136" xfId="0" applyNumberFormat="1" applyFont="1" applyFill="1" applyBorder="1" applyAlignment="1">
      <alignment horizontal="right" vertical="center"/>
    </xf>
    <xf numFmtId="2" fontId="7" fillId="4" borderId="44" xfId="0" applyNumberFormat="1" applyFont="1" applyFill="1" applyBorder="1" applyAlignment="1">
      <alignment horizontal="right" vertical="center"/>
    </xf>
    <xf numFmtId="2" fontId="6" fillId="15" borderId="44" xfId="0" applyNumberFormat="1" applyFont="1" applyFill="1" applyBorder="1" applyAlignment="1">
      <alignment horizontal="right" vertical="center"/>
    </xf>
    <xf numFmtId="10" fontId="7" fillId="4" borderId="40" xfId="0" applyNumberFormat="1" applyFont="1" applyFill="1" applyBorder="1" applyAlignment="1">
      <alignment horizontal="right" vertical="center" wrapText="1"/>
    </xf>
    <xf numFmtId="10" fontId="7" fillId="4" borderId="0" xfId="0" applyNumberFormat="1" applyFont="1" applyFill="1" applyBorder="1" applyAlignment="1">
      <alignment horizontal="right" vertical="center" wrapText="1"/>
    </xf>
    <xf numFmtId="10" fontId="7" fillId="4" borderId="71" xfId="0" applyNumberFormat="1" applyFont="1" applyFill="1" applyBorder="1" applyAlignment="1">
      <alignment horizontal="right" vertical="center" wrapText="1"/>
    </xf>
    <xf numFmtId="0" fontId="7" fillId="4" borderId="136" xfId="0" applyFont="1" applyFill="1" applyBorder="1" applyAlignment="1">
      <alignment horizontal="right" vertical="center"/>
    </xf>
    <xf numFmtId="0" fontId="6" fillId="15" borderId="136" xfId="0" applyFont="1" applyFill="1" applyBorder="1" applyAlignment="1">
      <alignment horizontal="right" vertical="center"/>
    </xf>
    <xf numFmtId="0" fontId="6" fillId="4" borderId="139" xfId="0" applyFont="1" applyFill="1" applyBorder="1" applyAlignment="1">
      <alignment horizontal="left" vertical="center"/>
    </xf>
    <xf numFmtId="2" fontId="6" fillId="15" borderId="137" xfId="0" applyNumberFormat="1" applyFont="1" applyFill="1" applyBorder="1" applyAlignment="1">
      <alignment horizontal="left" vertical="center"/>
    </xf>
    <xf numFmtId="0" fontId="19" fillId="12" borderId="140" xfId="0" applyFont="1" applyFill="1" applyBorder="1" applyAlignment="1">
      <alignment horizontal="center" textRotation="90" wrapText="1"/>
    </xf>
    <xf numFmtId="0" fontId="6" fillId="5" borderId="141" xfId="0" applyFont="1" applyFill="1" applyBorder="1" applyAlignment="1">
      <alignment horizontal="left" vertical="center"/>
    </xf>
    <xf numFmtId="0" fontId="6" fillId="4" borderId="138" xfId="0" applyFont="1" applyFill="1" applyBorder="1" applyAlignment="1">
      <alignment horizontal="left" vertical="center"/>
    </xf>
    <xf numFmtId="0" fontId="6" fillId="5" borderId="36" xfId="0" applyFont="1" applyFill="1" applyBorder="1" applyAlignment="1">
      <alignment horizontal="left" vertical="center"/>
    </xf>
    <xf numFmtId="0" fontId="7" fillId="0" borderId="142" xfId="0" applyFont="1" applyFill="1" applyBorder="1" applyAlignment="1">
      <alignment horizontal="left" vertical="top" wrapText="1"/>
    </xf>
    <xf numFmtId="0" fontId="10" fillId="0" borderId="0" xfId="0" applyFont="1" applyAlignment="1">
      <alignment horizontal="left"/>
    </xf>
    <xf numFmtId="0" fontId="20" fillId="0" borderId="0" xfId="0" applyFont="1" applyAlignment="1">
      <alignment horizontal="left"/>
    </xf>
    <xf numFmtId="0" fontId="10" fillId="0" borderId="0" xfId="0" applyFont="1" applyAlignment="1"/>
    <xf numFmtId="0" fontId="21" fillId="0" borderId="0" xfId="0" applyFont="1" applyAlignment="1"/>
    <xf numFmtId="0" fontId="10" fillId="0" borderId="0" xfId="0" applyFont="1" applyAlignment="1">
      <alignment horizontal="left" indent="1"/>
    </xf>
    <xf numFmtId="0" fontId="7" fillId="0" borderId="0" xfId="0" applyFont="1" applyAlignment="1">
      <alignment horizontal="left" wrapText="1" indent="1"/>
    </xf>
    <xf numFmtId="0" fontId="10" fillId="0" borderId="0" xfId="0" applyFont="1" applyAlignment="1">
      <alignment horizontal="left" wrapText="1"/>
    </xf>
    <xf numFmtId="0" fontId="20" fillId="0" borderId="0" xfId="0" applyFont="1" applyAlignment="1">
      <alignment horizontal="center" wrapText="1"/>
    </xf>
    <xf numFmtId="0" fontId="7" fillId="0" borderId="0" xfId="0" applyFont="1" applyAlignment="1">
      <alignment wrapText="1"/>
    </xf>
    <xf numFmtId="0" fontId="0" fillId="0" borderId="0" xfId="0" applyFill="1" applyAlignment="1"/>
    <xf numFmtId="0" fontId="10" fillId="0" borderId="0" xfId="0" applyFont="1"/>
    <xf numFmtId="0" fontId="16" fillId="5" borderId="0" xfId="0" applyFont="1" applyFill="1" applyBorder="1" applyAlignment="1">
      <alignment horizontal="center" vertical="center"/>
    </xf>
    <xf numFmtId="0" fontId="16" fillId="15" borderId="0" xfId="0" applyFont="1" applyFill="1" applyBorder="1" applyAlignment="1">
      <alignment horizontal="center" vertical="center"/>
    </xf>
    <xf numFmtId="0" fontId="7" fillId="15" borderId="143" xfId="0" applyFont="1" applyFill="1" applyBorder="1"/>
    <xf numFmtId="0" fontId="7" fillId="15" borderId="144" xfId="0" applyFont="1" applyFill="1" applyBorder="1"/>
    <xf numFmtId="0" fontId="7" fillId="14" borderId="0" xfId="0" applyFont="1" applyFill="1" applyBorder="1"/>
    <xf numFmtId="0" fontId="6" fillId="12" borderId="0" xfId="0" applyFont="1" applyFill="1" applyBorder="1" applyAlignment="1">
      <alignment horizontal="center" vertical="center" wrapText="1"/>
    </xf>
    <xf numFmtId="0" fontId="22" fillId="15" borderId="148" xfId="0" applyFont="1" applyFill="1" applyBorder="1" applyAlignment="1">
      <alignment horizontal="left" vertical="center" wrapText="1"/>
    </xf>
    <xf numFmtId="0" fontId="0" fillId="0" borderId="52" xfId="0" applyBorder="1" applyAlignment="1">
      <alignment vertical="top"/>
    </xf>
    <xf numFmtId="0" fontId="22" fillId="15" borderId="149" xfId="0" applyFont="1" applyFill="1" applyBorder="1" applyAlignment="1">
      <alignment horizontal="left" vertical="center" wrapText="1"/>
    </xf>
    <xf numFmtId="0" fontId="0" fillId="0" borderId="11" xfId="0" applyBorder="1"/>
    <xf numFmtId="0" fontId="6" fillId="15" borderId="58" xfId="0" applyFont="1" applyFill="1" applyBorder="1" applyAlignment="1">
      <alignment horizontal="left" vertical="top" wrapText="1"/>
    </xf>
    <xf numFmtId="0" fontId="7" fillId="4" borderId="136" xfId="0" applyFont="1" applyFill="1" applyBorder="1"/>
    <xf numFmtId="0" fontId="6" fillId="5" borderId="151" xfId="0" applyFont="1" applyFill="1" applyBorder="1" applyAlignment="1">
      <alignment horizontal="left" vertical="center" wrapText="1"/>
    </xf>
    <xf numFmtId="0" fontId="22" fillId="15" borderId="136" xfId="0" applyFont="1" applyFill="1" applyBorder="1" applyAlignment="1">
      <alignment horizontal="left" vertical="center" wrapText="1"/>
    </xf>
    <xf numFmtId="0" fontId="22" fillId="15" borderId="149" xfId="0" applyFont="1" applyFill="1" applyBorder="1" applyAlignment="1">
      <alignment horizontal="center" vertical="center" wrapText="1"/>
    </xf>
    <xf numFmtId="0" fontId="22" fillId="15" borderId="144" xfId="0" applyFont="1" applyFill="1" applyBorder="1" applyAlignment="1">
      <alignment horizontal="left" vertical="center" wrapText="1"/>
    </xf>
    <xf numFmtId="0" fontId="22" fillId="15" borderId="152" xfId="0" applyFont="1" applyFill="1" applyBorder="1" applyAlignment="1">
      <alignment horizontal="left" vertical="center" wrapText="1"/>
    </xf>
    <xf numFmtId="0" fontId="7" fillId="4" borderId="91" xfId="0" applyFont="1" applyFill="1" applyBorder="1"/>
    <xf numFmtId="0" fontId="6" fillId="5" borderId="153" xfId="0" applyFont="1" applyFill="1" applyBorder="1" applyAlignment="1">
      <alignment horizontal="left" vertical="center" wrapText="1"/>
    </xf>
    <xf numFmtId="0" fontId="22" fillId="15" borderId="154" xfId="0" applyFont="1" applyFill="1" applyBorder="1" applyAlignment="1">
      <alignment horizontal="left" vertical="center" wrapText="1"/>
    </xf>
    <xf numFmtId="0" fontId="22" fillId="15" borderId="155" xfId="0" applyFont="1" applyFill="1" applyBorder="1" applyAlignment="1">
      <alignment horizontal="left" vertical="center" wrapText="1"/>
    </xf>
    <xf numFmtId="0" fontId="7" fillId="4" borderId="136" xfId="0" applyFont="1" applyFill="1" applyBorder="1" applyAlignment="1" applyProtection="1">
      <alignment wrapText="1"/>
      <protection locked="0"/>
    </xf>
    <xf numFmtId="0" fontId="6" fillId="5" borderId="151" xfId="0" applyFont="1" applyFill="1" applyBorder="1" applyAlignment="1" applyProtection="1">
      <alignment horizontal="left" vertical="center" wrapText="1"/>
      <protection locked="0"/>
    </xf>
    <xf numFmtId="0" fontId="22" fillId="15" borderId="102" xfId="0" applyFont="1" applyFill="1" applyBorder="1" applyAlignment="1">
      <alignment horizontal="left" vertical="center" wrapText="1"/>
    </xf>
    <xf numFmtId="0" fontId="7" fillId="0" borderId="156" xfId="0" applyFont="1" applyFill="1" applyBorder="1" applyAlignment="1" applyProtection="1">
      <alignment horizontal="left" vertical="top" wrapText="1"/>
      <protection locked="0"/>
    </xf>
    <xf numFmtId="0" fontId="7" fillId="0" borderId="157" xfId="0" applyFont="1" applyFill="1" applyBorder="1" applyAlignment="1" applyProtection="1">
      <alignment horizontal="left" vertical="top" wrapText="1"/>
      <protection locked="0"/>
    </xf>
    <xf numFmtId="0" fontId="7" fillId="0" borderId="158" xfId="0" applyFont="1" applyFill="1" applyBorder="1" applyAlignment="1" applyProtection="1">
      <alignment horizontal="left" vertical="top" wrapText="1"/>
      <protection locked="0"/>
    </xf>
    <xf numFmtId="0" fontId="7" fillId="0" borderId="159" xfId="0" applyFont="1" applyFill="1" applyBorder="1" applyAlignment="1" applyProtection="1">
      <alignment horizontal="left" vertical="top" wrapText="1"/>
      <protection locked="0"/>
    </xf>
    <xf numFmtId="0" fontId="7" fillId="0" borderId="160" xfId="0" applyFont="1" applyFill="1" applyBorder="1" applyAlignment="1" applyProtection="1">
      <alignment horizontal="left" vertical="top" wrapText="1"/>
      <protection locked="0"/>
    </xf>
    <xf numFmtId="0" fontId="0" fillId="0" borderId="0" xfId="0" applyAlignment="1">
      <alignment horizontal="left"/>
    </xf>
    <xf numFmtId="0" fontId="0" fillId="0" borderId="0" xfId="0" applyAlignment="1">
      <alignment horizontal="left" indent="1"/>
    </xf>
    <xf numFmtId="0" fontId="0" fillId="0" borderId="0" xfId="0" quotePrefix="1" applyBorder="1"/>
    <xf numFmtId="0" fontId="7" fillId="0" borderId="0" xfId="0" applyFont="1" applyBorder="1"/>
    <xf numFmtId="166" fontId="7" fillId="0" borderId="144" xfId="0" applyNumberFormat="1" applyFont="1" applyBorder="1" applyAlignment="1">
      <alignment vertical="top"/>
    </xf>
    <xf numFmtId="166" fontId="7" fillId="0" borderId="134" xfId="0" applyNumberFormat="1" applyFont="1" applyBorder="1" applyAlignment="1">
      <alignment vertical="top"/>
    </xf>
    <xf numFmtId="0" fontId="6" fillId="15" borderId="85" xfId="0" applyFont="1" applyFill="1" applyBorder="1" applyAlignment="1">
      <alignment vertical="top"/>
    </xf>
    <xf numFmtId="0" fontId="6" fillId="14" borderId="137" xfId="0" applyFont="1" applyFill="1" applyBorder="1" applyAlignment="1">
      <alignment vertical="top"/>
    </xf>
    <xf numFmtId="0" fontId="27" fillId="14" borderId="0" xfId="0" applyFont="1" applyFill="1"/>
    <xf numFmtId="0" fontId="6" fillId="15" borderId="143" xfId="0" applyNumberFormat="1" applyFont="1" applyFill="1" applyBorder="1" applyAlignment="1">
      <alignment vertical="top"/>
    </xf>
    <xf numFmtId="166" fontId="7" fillId="0" borderId="136" xfId="0" applyNumberFormat="1" applyFont="1" applyBorder="1" applyAlignment="1">
      <alignment vertical="top"/>
    </xf>
    <xf numFmtId="0" fontId="6" fillId="15" borderId="138" xfId="0" applyNumberFormat="1" applyFont="1" applyFill="1" applyBorder="1" applyAlignment="1">
      <alignment vertical="top"/>
    </xf>
    <xf numFmtId="2" fontId="7" fillId="0" borderId="134" xfId="0" applyNumberFormat="1" applyFont="1" applyBorder="1" applyAlignment="1">
      <alignment vertical="top"/>
    </xf>
    <xf numFmtId="2" fontId="7" fillId="0" borderId="138" xfId="0" applyNumberFormat="1" applyFont="1" applyBorder="1" applyAlignment="1">
      <alignment horizontal="right" vertical="top"/>
    </xf>
    <xf numFmtId="166" fontId="7" fillId="0" borderId="138" xfId="0" pivotButton="1" applyNumberFormat="1" applyFont="1" applyBorder="1" applyAlignment="1">
      <alignment vertical="top"/>
    </xf>
    <xf numFmtId="166" fontId="7" fillId="0" borderId="136" xfId="0" pivotButton="1" applyNumberFormat="1" applyFont="1" applyBorder="1" applyAlignment="1">
      <alignment vertical="top"/>
    </xf>
    <xf numFmtId="0" fontId="6" fillId="15" borderId="161" xfId="0" applyFont="1" applyFill="1" applyBorder="1" applyAlignment="1">
      <alignment vertical="top"/>
    </xf>
    <xf numFmtId="0" fontId="6" fillId="15" borderId="58" xfId="0" applyFont="1" applyFill="1" applyBorder="1" applyAlignment="1">
      <alignment horizontal="left" vertical="top"/>
    </xf>
    <xf numFmtId="0" fontId="6" fillId="15" borderId="64" xfId="0" applyFont="1" applyFill="1" applyBorder="1" applyAlignment="1">
      <alignment horizontal="left" vertical="top" wrapText="1"/>
    </xf>
    <xf numFmtId="0" fontId="6" fillId="15" borderId="117" xfId="0" applyFont="1" applyFill="1" applyBorder="1" applyAlignment="1">
      <alignment horizontal="left" vertical="top" wrapText="1"/>
    </xf>
    <xf numFmtId="2" fontId="7" fillId="4" borderId="150" xfId="0" applyNumberFormat="1" applyFont="1" applyFill="1" applyBorder="1" applyAlignment="1">
      <alignment horizontal="right" vertical="top"/>
    </xf>
    <xf numFmtId="2" fontId="7" fillId="0" borderId="163" xfId="0" applyNumberFormat="1" applyFont="1" applyFill="1" applyBorder="1" applyAlignment="1">
      <alignment horizontal="right" vertical="top"/>
    </xf>
    <xf numFmtId="2" fontId="7" fillId="0" borderId="163" xfId="0" applyNumberFormat="1" applyFont="1" applyFill="1" applyBorder="1" applyAlignment="1">
      <alignment horizontal="right" vertical="top" wrapText="1"/>
    </xf>
    <xf numFmtId="2" fontId="7" fillId="4" borderId="163" xfId="0" applyNumberFormat="1" applyFont="1" applyFill="1" applyBorder="1" applyAlignment="1">
      <alignment horizontal="right" vertical="top"/>
    </xf>
    <xf numFmtId="9" fontId="24" fillId="2" borderId="163" xfId="156" applyFont="1" applyFill="1" applyBorder="1" applyAlignment="1" applyProtection="1">
      <alignment horizontal="center" vertical="center" wrapText="1"/>
    </xf>
    <xf numFmtId="2" fontId="24" fillId="2" borderId="163" xfId="0" applyNumberFormat="1" applyFont="1" applyFill="1" applyBorder="1" applyAlignment="1" applyProtection="1">
      <alignment horizontal="center" vertical="center" wrapText="1"/>
    </xf>
    <xf numFmtId="2" fontId="7" fillId="4" borderId="168" xfId="0" applyNumberFormat="1" applyFont="1" applyFill="1" applyBorder="1" applyAlignment="1">
      <alignment horizontal="right" vertical="top"/>
    </xf>
    <xf numFmtId="2" fontId="7" fillId="0" borderId="150" xfId="0" applyNumberFormat="1" applyFont="1" applyFill="1" applyBorder="1" applyAlignment="1">
      <alignment horizontal="right" vertical="top"/>
    </xf>
    <xf numFmtId="2" fontId="7" fillId="0" borderId="150" xfId="0" applyNumberFormat="1" applyFont="1" applyFill="1" applyBorder="1" applyAlignment="1">
      <alignment horizontal="right" vertical="top" wrapText="1"/>
    </xf>
    <xf numFmtId="9" fontId="24" fillId="2" borderId="150" xfId="156" applyFont="1" applyFill="1" applyBorder="1" applyAlignment="1" applyProtection="1">
      <alignment horizontal="center" vertical="center" wrapText="1"/>
    </xf>
    <xf numFmtId="2" fontId="24" fillId="2" borderId="150" xfId="0" applyNumberFormat="1" applyFont="1" applyFill="1" applyBorder="1" applyAlignment="1" applyProtection="1">
      <alignment horizontal="center" vertical="center" wrapText="1"/>
    </xf>
    <xf numFmtId="2" fontId="7" fillId="0" borderId="168" xfId="0" applyNumberFormat="1" applyFont="1" applyFill="1" applyBorder="1" applyAlignment="1">
      <alignment horizontal="right" vertical="top"/>
    </xf>
    <xf numFmtId="2" fontId="7" fillId="0" borderId="168" xfId="0" applyNumberFormat="1" applyFont="1" applyFill="1" applyBorder="1" applyAlignment="1">
      <alignment horizontal="right" vertical="top" wrapText="1"/>
    </xf>
    <xf numFmtId="9" fontId="24" fillId="2" borderId="168" xfId="156" applyFont="1" applyFill="1" applyBorder="1" applyAlignment="1" applyProtection="1">
      <alignment horizontal="center" vertical="center" wrapText="1"/>
    </xf>
    <xf numFmtId="2" fontId="24" fillId="2" borderId="168" xfId="0" applyNumberFormat="1" applyFont="1" applyFill="1" applyBorder="1" applyAlignment="1" applyProtection="1">
      <alignment horizontal="center" vertical="center" wrapText="1"/>
    </xf>
    <xf numFmtId="0" fontId="7" fillId="0" borderId="164" xfId="0" applyNumberFormat="1" applyFont="1" applyFill="1" applyBorder="1" applyAlignment="1">
      <alignment horizontal="right" vertical="top" wrapText="1"/>
    </xf>
    <xf numFmtId="0" fontId="7" fillId="0" borderId="166" xfId="0" applyNumberFormat="1" applyFont="1" applyFill="1" applyBorder="1" applyAlignment="1">
      <alignment horizontal="right" vertical="top" wrapText="1"/>
    </xf>
    <xf numFmtId="0" fontId="7" fillId="0" borderId="169" xfId="0" applyNumberFormat="1" applyFont="1" applyFill="1" applyBorder="1" applyAlignment="1">
      <alignment horizontal="right" vertical="top" wrapText="1"/>
    </xf>
    <xf numFmtId="166" fontId="7" fillId="0" borderId="165" xfId="0" applyNumberFormat="1" applyFont="1" applyBorder="1"/>
    <xf numFmtId="0" fontId="7" fillId="0" borderId="167" xfId="0" applyFont="1" applyBorder="1"/>
    <xf numFmtId="0" fontId="7" fillId="0" borderId="170" xfId="0" applyFont="1" applyBorder="1"/>
    <xf numFmtId="0" fontId="7" fillId="0" borderId="150" xfId="0" applyFont="1" applyBorder="1"/>
    <xf numFmtId="0" fontId="7" fillId="0" borderId="171" xfId="0" applyFont="1" applyBorder="1"/>
    <xf numFmtId="0" fontId="7" fillId="0" borderId="172" xfId="0" applyFont="1" applyBorder="1"/>
    <xf numFmtId="0" fontId="7" fillId="0" borderId="173" xfId="0" applyFont="1" applyBorder="1"/>
    <xf numFmtId="0" fontId="7" fillId="0" borderId="174" xfId="0" applyFont="1" applyBorder="1"/>
    <xf numFmtId="0" fontId="24" fillId="0" borderId="162" xfId="0" applyFont="1" applyBorder="1" applyAlignment="1">
      <alignment horizontal="left" vertical="top" wrapText="1"/>
    </xf>
    <xf numFmtId="0" fontId="7" fillId="0" borderId="175" xfId="0" applyFont="1" applyFill="1" applyBorder="1" applyAlignment="1">
      <alignment horizontal="left" vertical="top" wrapText="1"/>
    </xf>
    <xf numFmtId="0" fontId="7" fillId="0" borderId="176" xfId="0" applyFont="1" applyFill="1" applyBorder="1" applyAlignment="1">
      <alignment horizontal="left" vertical="top" wrapText="1"/>
    </xf>
    <xf numFmtId="0" fontId="7" fillId="0" borderId="177" xfId="0" applyFont="1" applyFill="1" applyBorder="1" applyAlignment="1">
      <alignment horizontal="left" vertical="top" wrapText="1"/>
    </xf>
    <xf numFmtId="0" fontId="7" fillId="0" borderId="178" xfId="0" applyFont="1" applyFill="1" applyBorder="1" applyAlignment="1">
      <alignment horizontal="left" vertical="top" wrapText="1"/>
    </xf>
    <xf numFmtId="0" fontId="7" fillId="0" borderId="179" xfId="0" applyFont="1" applyFill="1" applyBorder="1" applyAlignment="1">
      <alignment horizontal="left" vertical="top" wrapText="1"/>
    </xf>
    <xf numFmtId="0" fontId="7" fillId="0" borderId="180" xfId="0" applyFont="1" applyFill="1" applyBorder="1" applyAlignment="1">
      <alignment horizontal="left" vertical="top" wrapText="1"/>
    </xf>
    <xf numFmtId="166" fontId="7" fillId="0" borderId="0" xfId="0" pivotButton="1" applyNumberFormat="1" applyFont="1" applyAlignment="1">
      <alignment vertical="top"/>
    </xf>
    <xf numFmtId="166" fontId="7" fillId="0" borderId="0" xfId="0" applyNumberFormat="1" applyFont="1" applyAlignment="1">
      <alignment vertical="top"/>
    </xf>
    <xf numFmtId="2" fontId="7" fillId="0" borderId="90" xfId="0" applyNumberFormat="1" applyFont="1" applyBorder="1" applyAlignment="1">
      <alignment vertical="top"/>
    </xf>
    <xf numFmtId="0" fontId="7" fillId="0" borderId="181" xfId="0" applyFont="1" applyBorder="1"/>
    <xf numFmtId="0" fontId="7" fillId="0" borderId="182" xfId="0" applyFont="1" applyBorder="1"/>
    <xf numFmtId="0" fontId="7" fillId="0" borderId="183" xfId="0" applyFont="1" applyBorder="1"/>
    <xf numFmtId="0" fontId="22" fillId="15" borderId="184" xfId="0" applyFont="1" applyFill="1" applyBorder="1" applyAlignment="1">
      <alignment horizontal="left" wrapText="1"/>
    </xf>
    <xf numFmtId="0" fontId="22" fillId="15" borderId="185" xfId="0" applyFont="1" applyFill="1" applyBorder="1" applyAlignment="1">
      <alignment horizontal="left" wrapText="1"/>
    </xf>
    <xf numFmtId="0" fontId="22" fillId="15" borderId="186" xfId="0" applyFont="1" applyFill="1" applyBorder="1" applyAlignment="1">
      <alignment horizontal="left" wrapText="1"/>
    </xf>
    <xf numFmtId="166" fontId="7" fillId="0" borderId="6" xfId="0" pivotButton="1" applyNumberFormat="1" applyFont="1" applyBorder="1" applyAlignment="1">
      <alignment vertical="top"/>
    </xf>
    <xf numFmtId="0" fontId="7" fillId="0" borderId="116" xfId="0" applyFont="1" applyBorder="1" applyAlignment="1">
      <alignment vertical="top" wrapText="1"/>
    </xf>
    <xf numFmtId="0" fontId="7" fillId="0" borderId="42" xfId="0" applyFont="1" applyBorder="1" applyAlignment="1">
      <alignment vertical="top" wrapText="1"/>
    </xf>
    <xf numFmtId="166" fontId="7" fillId="0" borderId="188" xfId="0" applyNumberFormat="1" applyFont="1" applyBorder="1" applyAlignment="1">
      <alignment horizontal="center" vertical="center" wrapText="1"/>
    </xf>
    <xf numFmtId="0" fontId="28" fillId="0" borderId="0" xfId="0" applyFont="1"/>
    <xf numFmtId="166" fontId="7" fillId="0" borderId="161" xfId="0" applyNumberFormat="1" applyFont="1" applyBorder="1" applyAlignment="1">
      <alignment horizontal="center" vertical="center" wrapText="1"/>
    </xf>
    <xf numFmtId="0" fontId="7" fillId="0" borderId="189" xfId="0" applyFont="1" applyFill="1" applyBorder="1" applyAlignment="1">
      <alignment horizontal="left" vertical="top" wrapText="1"/>
    </xf>
    <xf numFmtId="0" fontId="7" fillId="0" borderId="190" xfId="0" applyFont="1" applyFill="1" applyBorder="1" applyAlignment="1" applyProtection="1">
      <alignment horizontal="left" vertical="top" wrapText="1"/>
      <protection locked="0"/>
    </xf>
    <xf numFmtId="0" fontId="7" fillId="0" borderId="150" xfId="0" applyFont="1" applyFill="1" applyBorder="1" applyAlignment="1">
      <alignment horizontal="left" vertical="top" wrapText="1"/>
    </xf>
    <xf numFmtId="0" fontId="7" fillId="0" borderId="171" xfId="0" applyFont="1" applyFill="1" applyBorder="1" applyAlignment="1">
      <alignment horizontal="left" vertical="top" wrapText="1"/>
    </xf>
    <xf numFmtId="0" fontId="6" fillId="5" borderId="0" xfId="0" applyFont="1" applyFill="1" applyBorder="1" applyAlignment="1" applyProtection="1">
      <alignment horizontal="left" vertical="center" wrapText="1"/>
      <protection locked="0"/>
    </xf>
    <xf numFmtId="0" fontId="6" fillId="5" borderId="0" xfId="0" applyFont="1" applyFill="1" applyBorder="1" applyAlignment="1">
      <alignment horizontal="left" vertical="center" wrapText="1"/>
    </xf>
    <xf numFmtId="0" fontId="7" fillId="0" borderId="191" xfId="0" applyFont="1" applyFill="1" applyBorder="1" applyAlignment="1">
      <alignment horizontal="left" vertical="top" wrapText="1"/>
    </xf>
    <xf numFmtId="0" fontId="7" fillId="0" borderId="182" xfId="0" applyFont="1" applyFill="1" applyBorder="1" applyAlignment="1">
      <alignment horizontal="left" vertical="top" wrapText="1"/>
    </xf>
    <xf numFmtId="0" fontId="7" fillId="0" borderId="183" xfId="0" applyFont="1" applyFill="1" applyBorder="1" applyAlignment="1">
      <alignment horizontal="left" vertical="top" wrapText="1"/>
    </xf>
    <xf numFmtId="0" fontId="22" fillId="15" borderId="192" xfId="0" applyFont="1" applyFill="1" applyBorder="1" applyAlignment="1">
      <alignment horizontal="left" wrapText="1"/>
    </xf>
    <xf numFmtId="0" fontId="22" fillId="15" borderId="193" xfId="0" applyFont="1" applyFill="1" applyBorder="1" applyAlignment="1">
      <alignment horizontal="left" wrapText="1"/>
    </xf>
    <xf numFmtId="0" fontId="22" fillId="15" borderId="194" xfId="0" applyFont="1" applyFill="1" applyBorder="1" applyAlignment="1">
      <alignment horizontal="left" wrapText="1"/>
    </xf>
    <xf numFmtId="0" fontId="22" fillId="15" borderId="195" xfId="0" applyFont="1" applyFill="1" applyBorder="1" applyAlignment="1">
      <alignment horizontal="left" wrapText="1"/>
    </xf>
    <xf numFmtId="0" fontId="15" fillId="5" borderId="81" xfId="0" applyFont="1" applyFill="1" applyBorder="1" applyAlignment="1">
      <alignment horizontal="centerContinuous"/>
    </xf>
    <xf numFmtId="0" fontId="15" fillId="5" borderId="82" xfId="0" applyFont="1" applyFill="1" applyBorder="1" applyAlignment="1">
      <alignment horizontal="centerContinuous"/>
    </xf>
    <xf numFmtId="0" fontId="15" fillId="5" borderId="83" xfId="0" applyFont="1" applyFill="1" applyBorder="1" applyAlignment="1">
      <alignment horizontal="centerContinuous"/>
    </xf>
    <xf numFmtId="0" fontId="15" fillId="5" borderId="84" xfId="0" applyFont="1" applyFill="1" applyBorder="1" applyAlignment="1">
      <alignment horizontal="centerContinuous"/>
    </xf>
    <xf numFmtId="2" fontId="0" fillId="4" borderId="78" xfId="0" applyNumberFormat="1" applyFill="1" applyBorder="1" applyAlignment="1">
      <alignment horizontal="centerContinuous"/>
    </xf>
    <xf numFmtId="2" fontId="0" fillId="4" borderId="48" xfId="0" applyNumberFormat="1" applyFill="1" applyBorder="1" applyAlignment="1">
      <alignment horizontal="centerContinuous"/>
    </xf>
    <xf numFmtId="2" fontId="0" fillId="4" borderId="79" xfId="0" applyNumberFormat="1" applyFill="1" applyBorder="1" applyAlignment="1">
      <alignment horizontal="centerContinuous"/>
    </xf>
    <xf numFmtId="2" fontId="0" fillId="12" borderId="79" xfId="0" applyNumberFormat="1" applyFill="1" applyBorder="1" applyAlignment="1">
      <alignment horizontal="centerContinuous"/>
    </xf>
    <xf numFmtId="2" fontId="0" fillId="12" borderId="5" xfId="0" applyNumberFormat="1" applyFill="1" applyBorder="1" applyAlignment="1">
      <alignment horizontal="centerContinuous"/>
    </xf>
    <xf numFmtId="0" fontId="7" fillId="0" borderId="0" xfId="0" applyFont="1" applyFill="1" applyBorder="1" applyAlignment="1">
      <alignment vertical="top"/>
    </xf>
    <xf numFmtId="0" fontId="22" fillId="15" borderId="197" xfId="0" applyFont="1" applyFill="1" applyBorder="1" applyAlignment="1">
      <alignment horizontal="left" vertical="center" wrapText="1"/>
    </xf>
    <xf numFmtId="0" fontId="22" fillId="15" borderId="198" xfId="0" applyFont="1" applyFill="1" applyBorder="1" applyAlignment="1">
      <alignment horizontal="left" vertical="center" wrapText="1"/>
    </xf>
    <xf numFmtId="0" fontId="22" fillId="15" borderId="199" xfId="0" applyFont="1" applyFill="1" applyBorder="1" applyAlignment="1">
      <alignment horizontal="left" vertical="center" wrapText="1"/>
    </xf>
    <xf numFmtId="0" fontId="7" fillId="0" borderId="201" xfId="0" applyFont="1" applyFill="1" applyBorder="1" applyAlignment="1">
      <alignment vertical="top"/>
    </xf>
    <xf numFmtId="0" fontId="7" fillId="0" borderId="200" xfId="0" applyFont="1" applyFill="1" applyBorder="1" applyAlignment="1">
      <alignment vertical="top"/>
    </xf>
    <xf numFmtId="0" fontId="22" fillId="15" borderId="202" xfId="0" applyFont="1" applyFill="1" applyBorder="1" applyAlignment="1">
      <alignment horizontal="left" vertical="center" wrapText="1"/>
    </xf>
    <xf numFmtId="166" fontId="7" fillId="0" borderId="202" xfId="0" applyNumberFormat="1" applyFont="1" applyBorder="1" applyAlignment="1">
      <alignment vertical="top"/>
    </xf>
    <xf numFmtId="0" fontId="22" fillId="15" borderId="203" xfId="0" applyFont="1" applyFill="1" applyBorder="1" applyAlignment="1">
      <alignment horizontal="left" vertical="center" wrapText="1"/>
    </xf>
    <xf numFmtId="0" fontId="0" fillId="0" borderId="0" xfId="0"/>
    <xf numFmtId="0" fontId="6" fillId="0" borderId="0" xfId="0" applyFont="1" applyBorder="1"/>
    <xf numFmtId="2" fontId="7" fillId="0" borderId="0" xfId="0" applyNumberFormat="1" applyFont="1" applyBorder="1" applyAlignment="1">
      <alignment horizontal="right"/>
    </xf>
    <xf numFmtId="0" fontId="7" fillId="4" borderId="0" xfId="0" applyFont="1" applyFill="1" applyBorder="1"/>
    <xf numFmtId="0" fontId="7" fillId="0" borderId="0" xfId="0" applyFont="1" applyBorder="1" applyAlignment="1">
      <alignment wrapText="1"/>
    </xf>
    <xf numFmtId="0" fontId="24" fillId="0" borderId="0" xfId="0" applyFont="1" applyBorder="1" applyAlignment="1" applyProtection="1">
      <alignment horizontal="left"/>
    </xf>
    <xf numFmtId="0" fontId="24" fillId="0" borderId="0" xfId="0" applyFont="1" applyFill="1" applyBorder="1" applyAlignment="1" applyProtection="1">
      <alignment horizontal="left"/>
    </xf>
    <xf numFmtId="14" fontId="7" fillId="0" borderId="0" xfId="0" applyNumberFormat="1" applyFont="1" applyBorder="1" applyAlignment="1">
      <alignment horizontal="right"/>
    </xf>
    <xf numFmtId="0" fontId="7" fillId="0" borderId="0" xfId="0" applyFont="1" applyBorder="1" applyAlignment="1">
      <alignment horizontal="right"/>
    </xf>
    <xf numFmtId="166" fontId="7" fillId="0" borderId="0" xfId="0" applyNumberFormat="1" applyFont="1" applyBorder="1"/>
    <xf numFmtId="0" fontId="22" fillId="16" borderId="0" xfId="0" applyFont="1" applyFill="1" applyBorder="1" applyAlignment="1" applyProtection="1">
      <alignment horizontal="left"/>
    </xf>
    <xf numFmtId="0" fontId="24" fillId="16" borderId="0" xfId="0" applyFont="1" applyFill="1" applyBorder="1" applyAlignment="1" applyProtection="1">
      <alignment horizontal="left"/>
    </xf>
    <xf numFmtId="0" fontId="37" fillId="0" borderId="0" xfId="0" applyFont="1" applyFill="1" applyBorder="1" applyAlignment="1" applyProtection="1">
      <alignment horizontal="left"/>
    </xf>
    <xf numFmtId="0" fontId="7" fillId="0" borderId="0" xfId="0" applyFont="1" applyFill="1" applyBorder="1"/>
    <xf numFmtId="0" fontId="0" fillId="0" borderId="0" xfId="0"/>
    <xf numFmtId="0" fontId="7" fillId="0" borderId="165" xfId="0" applyFont="1" applyBorder="1"/>
    <xf numFmtId="167" fontId="7" fillId="0" borderId="72" xfId="0" applyNumberFormat="1" applyFont="1" applyFill="1" applyBorder="1" applyAlignment="1">
      <alignment horizontal="center" vertical="center"/>
    </xf>
    <xf numFmtId="0" fontId="0" fillId="0" borderId="96" xfId="0" applyBorder="1"/>
    <xf numFmtId="0" fontId="24" fillId="0" borderId="40" xfId="0" applyFont="1" applyBorder="1" applyAlignment="1">
      <alignment horizontal="left" vertical="top" wrapText="1"/>
    </xf>
    <xf numFmtId="0" fontId="24" fillId="0" borderId="51" xfId="0" applyFont="1" applyBorder="1" applyAlignment="1">
      <alignment horizontal="left" vertical="top" wrapText="1"/>
    </xf>
    <xf numFmtId="0" fontId="22" fillId="15" borderId="49" xfId="0" applyFont="1" applyFill="1" applyBorder="1" applyAlignment="1">
      <alignment horizontal="left" vertical="center" wrapText="1"/>
    </xf>
    <xf numFmtId="166" fontId="7" fillId="0" borderId="97" xfId="0" applyNumberFormat="1" applyFont="1" applyBorder="1" applyAlignment="1">
      <alignment vertical="top"/>
    </xf>
    <xf numFmtId="166" fontId="7" fillId="0" borderId="138" xfId="0" applyNumberFormat="1" applyFont="1" applyBorder="1" applyAlignment="1">
      <alignment vertical="top"/>
    </xf>
    <xf numFmtId="0" fontId="0" fillId="0" borderId="206" xfId="0" applyBorder="1"/>
    <xf numFmtId="0" fontId="0" fillId="0" borderId="209" xfId="0" applyBorder="1"/>
    <xf numFmtId="0" fontId="6" fillId="15" borderId="210" xfId="0" applyFont="1" applyFill="1" applyBorder="1" applyAlignment="1">
      <alignment horizontal="center" vertical="center"/>
    </xf>
    <xf numFmtId="0" fontId="7" fillId="0" borderId="211" xfId="0" applyFont="1" applyFill="1" applyBorder="1" applyAlignment="1">
      <alignment vertical="top"/>
    </xf>
    <xf numFmtId="0" fontId="7" fillId="0" borderId="212" xfId="0" applyFont="1" applyFill="1" applyBorder="1" applyAlignment="1">
      <alignment vertical="top"/>
    </xf>
    <xf numFmtId="0" fontId="0" fillId="0" borderId="208" xfId="0" applyBorder="1"/>
    <xf numFmtId="0" fontId="0" fillId="0" borderId="205" xfId="0" applyBorder="1"/>
    <xf numFmtId="0" fontId="7" fillId="0" borderId="69" xfId="0" quotePrefix="1" applyFont="1" applyFill="1" applyBorder="1" applyAlignment="1">
      <alignment horizontal="left" vertical="top" wrapText="1"/>
    </xf>
    <xf numFmtId="0" fontId="0" fillId="0" borderId="0" xfId="0" applyBorder="1" applyAlignment="1">
      <alignment wrapText="1"/>
    </xf>
    <xf numFmtId="0" fontId="7" fillId="17" borderId="74" xfId="0" applyFont="1" applyFill="1" applyBorder="1" applyAlignment="1">
      <alignment horizontal="left" vertical="top"/>
    </xf>
    <xf numFmtId="0" fontId="7" fillId="17" borderId="74" xfId="0" applyFont="1" applyFill="1" applyBorder="1" applyAlignment="1">
      <alignment horizontal="left" vertical="top" wrapText="1"/>
    </xf>
    <xf numFmtId="2" fontId="7" fillId="17" borderId="50" xfId="0" applyNumberFormat="1" applyFont="1" applyFill="1" applyBorder="1" applyAlignment="1">
      <alignment horizontal="right" vertical="top"/>
    </xf>
    <xf numFmtId="2" fontId="7" fillId="17" borderId="74" xfId="0" applyNumberFormat="1" applyFont="1" applyFill="1" applyBorder="1" applyAlignment="1">
      <alignment horizontal="right" vertical="top"/>
    </xf>
    <xf numFmtId="1" fontId="7" fillId="17" borderId="50" xfId="0" applyNumberFormat="1" applyFont="1" applyFill="1" applyBorder="1" applyAlignment="1">
      <alignment horizontal="right" vertical="top"/>
    </xf>
    <xf numFmtId="2" fontId="7" fillId="17" borderId="38" xfId="0" applyNumberFormat="1" applyFont="1" applyFill="1" applyBorder="1" applyAlignment="1">
      <alignment horizontal="right" vertical="top"/>
    </xf>
    <xf numFmtId="2" fontId="7" fillId="17" borderId="46" xfId="0" applyNumberFormat="1" applyFont="1" applyFill="1" applyBorder="1" applyAlignment="1">
      <alignment horizontal="right" vertical="top"/>
    </xf>
    <xf numFmtId="0" fontId="7" fillId="17" borderId="42" xfId="0" applyFont="1" applyFill="1" applyBorder="1" applyAlignment="1">
      <alignment horizontal="left" vertical="top" wrapText="1"/>
    </xf>
    <xf numFmtId="0" fontId="7" fillId="18" borderId="74" xfId="0" applyFont="1" applyFill="1" applyBorder="1" applyAlignment="1">
      <alignment horizontal="left" vertical="top"/>
    </xf>
    <xf numFmtId="0" fontId="7" fillId="18" borderId="74" xfId="0" applyFont="1" applyFill="1" applyBorder="1" applyAlignment="1">
      <alignment horizontal="left" vertical="top" wrapText="1"/>
    </xf>
    <xf numFmtId="2" fontId="7" fillId="18" borderId="50" xfId="0" applyNumberFormat="1" applyFont="1" applyFill="1" applyBorder="1" applyAlignment="1">
      <alignment horizontal="right" vertical="top"/>
    </xf>
    <xf numFmtId="2" fontId="7" fillId="18" borderId="74" xfId="0" applyNumberFormat="1" applyFont="1" applyFill="1" applyBorder="1" applyAlignment="1">
      <alignment horizontal="right" vertical="top"/>
    </xf>
    <xf numFmtId="1" fontId="7" fillId="18" borderId="50" xfId="0" applyNumberFormat="1" applyFont="1" applyFill="1" applyBorder="1" applyAlignment="1">
      <alignment horizontal="right" vertical="top"/>
    </xf>
    <xf numFmtId="2" fontId="7" fillId="18" borderId="38" xfId="0" applyNumberFormat="1" applyFont="1" applyFill="1" applyBorder="1" applyAlignment="1">
      <alignment horizontal="right" vertical="top"/>
    </xf>
    <xf numFmtId="2" fontId="7" fillId="18" borderId="46" xfId="0" applyNumberFormat="1" applyFont="1" applyFill="1" applyBorder="1" applyAlignment="1">
      <alignment horizontal="right" vertical="top"/>
    </xf>
    <xf numFmtId="0" fontId="7" fillId="18" borderId="42" xfId="0" applyFont="1" applyFill="1" applyBorder="1" applyAlignment="1">
      <alignment horizontal="left" vertical="top" wrapText="1"/>
    </xf>
    <xf numFmtId="0" fontId="20" fillId="0" borderId="0" xfId="0" applyFont="1" applyAlignment="1">
      <alignment horizontal="left" wrapText="1"/>
    </xf>
    <xf numFmtId="0" fontId="7" fillId="14" borderId="74" xfId="0" applyFont="1" applyFill="1" applyBorder="1" applyAlignment="1">
      <alignment horizontal="left" vertical="top" wrapText="1"/>
    </xf>
    <xf numFmtId="0" fontId="7" fillId="14" borderId="69" xfId="0" applyFont="1" applyFill="1" applyBorder="1" applyAlignment="1">
      <alignment horizontal="left" vertical="top" wrapText="1"/>
    </xf>
    <xf numFmtId="2" fontId="7" fillId="0" borderId="69" xfId="0" applyNumberFormat="1" applyFont="1" applyBorder="1"/>
    <xf numFmtId="2" fontId="7" fillId="0" borderId="71" xfId="0" applyNumberFormat="1" applyFont="1" applyBorder="1"/>
    <xf numFmtId="0" fontId="0" fillId="0" borderId="215" xfId="0" applyBorder="1"/>
    <xf numFmtId="0" fontId="0" fillId="0" borderId="216" xfId="0" applyBorder="1"/>
    <xf numFmtId="167" fontId="7" fillId="16" borderId="76" xfId="0" applyNumberFormat="1" applyFont="1" applyFill="1" applyBorder="1" applyAlignment="1">
      <alignment horizontal="center" vertical="center"/>
    </xf>
    <xf numFmtId="167" fontId="7" fillId="16" borderId="74" xfId="0" applyNumberFormat="1" applyFont="1" applyFill="1" applyBorder="1" applyAlignment="1">
      <alignment horizontal="center" vertical="center"/>
    </xf>
    <xf numFmtId="0" fontId="0" fillId="14" borderId="0" xfId="0" applyFill="1"/>
    <xf numFmtId="167" fontId="7" fillId="14" borderId="74" xfId="0" applyNumberFormat="1" applyFont="1" applyFill="1" applyBorder="1" applyAlignment="1">
      <alignment horizontal="center" vertical="center"/>
    </xf>
    <xf numFmtId="167" fontId="7" fillId="14" borderId="39" xfId="0" applyNumberFormat="1" applyFont="1" applyFill="1" applyBorder="1" applyAlignment="1">
      <alignment horizontal="center" vertical="center"/>
    </xf>
    <xf numFmtId="167" fontId="7" fillId="14" borderId="46" xfId="0" applyNumberFormat="1" applyFont="1" applyFill="1" applyBorder="1" applyAlignment="1">
      <alignment horizontal="center" vertical="center"/>
    </xf>
    <xf numFmtId="167" fontId="7" fillId="14" borderId="69" xfId="0" applyNumberFormat="1" applyFont="1" applyFill="1" applyBorder="1" applyAlignment="1">
      <alignment horizontal="center" vertical="center"/>
    </xf>
    <xf numFmtId="167" fontId="7" fillId="14" borderId="88" xfId="0" applyNumberFormat="1" applyFont="1" applyFill="1" applyBorder="1" applyAlignment="1">
      <alignment horizontal="center" vertical="center"/>
    </xf>
    <xf numFmtId="167" fontId="7" fillId="14" borderId="47" xfId="0" applyNumberFormat="1" applyFont="1" applyFill="1" applyBorder="1" applyAlignment="1">
      <alignment horizontal="center" vertical="center"/>
    </xf>
    <xf numFmtId="167" fontId="7" fillId="14" borderId="60" xfId="0" applyNumberFormat="1" applyFont="1" applyFill="1" applyBorder="1" applyAlignment="1">
      <alignment horizontal="center" vertical="center"/>
    </xf>
    <xf numFmtId="167" fontId="7" fillId="14" borderId="14" xfId="0" applyNumberFormat="1" applyFont="1" applyFill="1" applyBorder="1" applyAlignment="1">
      <alignment horizontal="center" vertical="center"/>
    </xf>
    <xf numFmtId="0" fontId="0" fillId="21" borderId="218" xfId="0" applyFill="1" applyBorder="1"/>
    <xf numFmtId="0" fontId="0" fillId="19" borderId="221" xfId="0" applyFill="1" applyBorder="1"/>
    <xf numFmtId="14" fontId="0" fillId="0" borderId="0" xfId="0" applyNumberFormat="1"/>
    <xf numFmtId="9" fontId="0" fillId="0" borderId="0" xfId="0" applyNumberFormat="1"/>
    <xf numFmtId="0" fontId="6" fillId="23" borderId="217" xfId="0" applyFont="1" applyFill="1" applyBorder="1" applyAlignment="1">
      <alignment horizontal="center" vertical="center" wrapText="1"/>
    </xf>
    <xf numFmtId="0" fontId="7" fillId="0" borderId="0" xfId="0" applyFont="1" applyAlignment="1"/>
    <xf numFmtId="0" fontId="6" fillId="24" borderId="217" xfId="0" applyFont="1" applyFill="1" applyBorder="1" applyAlignment="1">
      <alignment horizontal="left" vertical="center"/>
    </xf>
    <xf numFmtId="0" fontId="7" fillId="24" borderId="217" xfId="0" applyFont="1" applyFill="1" applyBorder="1" applyAlignment="1">
      <alignment vertical="center" wrapText="1"/>
    </xf>
    <xf numFmtId="0" fontId="7" fillId="0" borderId="217" xfId="0" applyFont="1" applyBorder="1" applyAlignment="1">
      <alignment horizontal="center" vertical="center" wrapText="1"/>
    </xf>
    <xf numFmtId="0" fontId="7" fillId="0" borderId="217" xfId="0" applyFont="1" applyBorder="1" applyAlignment="1">
      <alignment vertical="center" wrapText="1"/>
    </xf>
    <xf numFmtId="0" fontId="6" fillId="0" borderId="0" xfId="0" applyFont="1" applyBorder="1" applyAlignment="1">
      <alignment vertical="center" wrapText="1"/>
    </xf>
    <xf numFmtId="0" fontId="24" fillId="0" borderId="217" xfId="0" applyFont="1" applyBorder="1" applyAlignment="1">
      <alignment vertical="center" wrapText="1"/>
    </xf>
    <xf numFmtId="0" fontId="24" fillId="0" borderId="0" xfId="0" applyFont="1" applyAlignment="1"/>
    <xf numFmtId="0" fontId="7" fillId="0" borderId="217" xfId="0" applyFont="1" applyBorder="1" applyAlignment="1">
      <alignment vertical="center"/>
    </xf>
    <xf numFmtId="0" fontId="7" fillId="0" borderId="0" xfId="0" applyFont="1" applyBorder="1" applyAlignment="1">
      <alignment vertical="center"/>
    </xf>
    <xf numFmtId="0" fontId="7" fillId="0" borderId="202" xfId="0" applyFont="1" applyBorder="1" applyAlignment="1">
      <alignment vertical="center" wrapText="1"/>
    </xf>
    <xf numFmtId="0" fontId="6" fillId="24" borderId="138" xfId="0" applyFont="1" applyFill="1" applyBorder="1" applyAlignment="1">
      <alignment horizontal="left" vertical="center"/>
    </xf>
    <xf numFmtId="0" fontId="7" fillId="24" borderId="134" xfId="0" applyFont="1" applyFill="1" applyBorder="1" applyAlignment="1">
      <alignment vertical="center" wrapText="1"/>
    </xf>
    <xf numFmtId="0" fontId="7" fillId="0" borderId="187" xfId="0" applyFont="1" applyBorder="1" applyAlignment="1">
      <alignment horizontal="center" vertical="center" wrapText="1"/>
    </xf>
    <xf numFmtId="0" fontId="7" fillId="0" borderId="187" xfId="0" applyFont="1" applyBorder="1" applyAlignment="1">
      <alignment vertical="center" wrapText="1"/>
    </xf>
    <xf numFmtId="0" fontId="7" fillId="0" borderId="217" xfId="0" applyFont="1" applyBorder="1" applyAlignment="1">
      <alignment horizontal="center" vertical="center"/>
    </xf>
    <xf numFmtId="0" fontId="7" fillId="0" borderId="202" xfId="0" applyFont="1" applyBorder="1" applyAlignment="1">
      <alignment horizontal="center" vertical="center"/>
    </xf>
    <xf numFmtId="0" fontId="7" fillId="0" borderId="187" xfId="0" applyFont="1" applyBorder="1" applyAlignment="1">
      <alignment horizontal="center" vertical="center"/>
    </xf>
    <xf numFmtId="1" fontId="7" fillId="25" borderId="51" xfId="0" applyNumberFormat="1" applyFont="1" applyFill="1" applyBorder="1" applyAlignment="1">
      <alignment horizontal="right" vertical="top"/>
    </xf>
    <xf numFmtId="1" fontId="7" fillId="25" borderId="50" xfId="0" applyNumberFormat="1" applyFont="1" applyFill="1" applyBorder="1" applyAlignment="1">
      <alignment horizontal="right" vertical="top"/>
    </xf>
    <xf numFmtId="167" fontId="7" fillId="14" borderId="223" xfId="0" applyNumberFormat="1" applyFont="1" applyFill="1" applyBorder="1" applyAlignment="1">
      <alignment horizontal="center" vertical="center"/>
    </xf>
    <xf numFmtId="167" fontId="7" fillId="14" borderId="72" xfId="0" applyNumberFormat="1" applyFont="1" applyFill="1" applyBorder="1" applyAlignment="1">
      <alignment horizontal="center" vertical="center"/>
    </xf>
    <xf numFmtId="167" fontId="7" fillId="14" borderId="224" xfId="0" applyNumberFormat="1" applyFont="1" applyFill="1" applyBorder="1" applyAlignment="1">
      <alignment horizontal="center" vertical="center"/>
    </xf>
    <xf numFmtId="167" fontId="7" fillId="0" borderId="225" xfId="0" applyNumberFormat="1" applyFont="1" applyFill="1" applyBorder="1" applyAlignment="1">
      <alignment horizontal="center" vertical="center"/>
    </xf>
    <xf numFmtId="167" fontId="7" fillId="14" borderId="225" xfId="0" applyNumberFormat="1" applyFont="1" applyFill="1" applyBorder="1" applyAlignment="1">
      <alignment horizontal="center" vertical="center"/>
    </xf>
    <xf numFmtId="167" fontId="7" fillId="14" borderId="226" xfId="0" applyNumberFormat="1" applyFont="1" applyFill="1" applyBorder="1" applyAlignment="1">
      <alignment horizontal="center" vertical="center"/>
    </xf>
    <xf numFmtId="167" fontId="7" fillId="14" borderId="63" xfId="0" applyNumberFormat="1" applyFont="1" applyFill="1" applyBorder="1" applyAlignment="1">
      <alignment horizontal="center" vertical="center"/>
    </xf>
    <xf numFmtId="0" fontId="37" fillId="0" borderId="74" xfId="0" applyFont="1" applyFill="1" applyBorder="1" applyAlignment="1" applyProtection="1">
      <alignment horizontal="left" vertical="top" wrapText="1"/>
      <protection locked="0"/>
    </xf>
    <xf numFmtId="2" fontId="20" fillId="12" borderId="90" xfId="0" applyNumberFormat="1" applyFont="1" applyFill="1" applyBorder="1" applyAlignment="1">
      <alignment horizontal="center" vertical="top"/>
    </xf>
    <xf numFmtId="0" fontId="20" fillId="12" borderId="10" xfId="0" applyFont="1" applyFill="1" applyBorder="1" applyAlignment="1">
      <alignment horizontal="center" vertical="center"/>
    </xf>
    <xf numFmtId="0" fontId="37" fillId="0" borderId="74" xfId="0" applyFont="1" applyFill="1" applyBorder="1" applyAlignment="1">
      <alignment vertical="top"/>
    </xf>
    <xf numFmtId="0" fontId="0" fillId="0" borderId="0" xfId="0" applyAlignment="1">
      <alignment vertical="top" wrapText="1"/>
    </xf>
    <xf numFmtId="0" fontId="41" fillId="0" borderId="217" xfId="0" applyFont="1" applyBorder="1" applyAlignment="1">
      <alignment vertical="center" wrapText="1"/>
    </xf>
    <xf numFmtId="167" fontId="24" fillId="14" borderId="88" xfId="0" applyNumberFormat="1" applyFont="1" applyFill="1" applyBorder="1" applyAlignment="1">
      <alignment horizontal="center" vertical="center"/>
    </xf>
    <xf numFmtId="167" fontId="24" fillId="0" borderId="74" xfId="0" applyNumberFormat="1" applyFont="1" applyFill="1" applyBorder="1" applyAlignment="1">
      <alignment horizontal="center" vertical="center"/>
    </xf>
    <xf numFmtId="167" fontId="24" fillId="14" borderId="71" xfId="0" applyNumberFormat="1" applyFont="1" applyFill="1" applyBorder="1" applyAlignment="1">
      <alignment horizontal="center" vertical="center"/>
    </xf>
    <xf numFmtId="0" fontId="6" fillId="15" borderId="227" xfId="0" applyNumberFormat="1" applyFont="1" applyFill="1" applyBorder="1" applyAlignment="1">
      <alignment vertical="top"/>
    </xf>
    <xf numFmtId="166" fontId="7" fillId="0" borderId="227" xfId="0" applyNumberFormat="1" applyFont="1" applyBorder="1" applyAlignment="1">
      <alignment vertical="top"/>
    </xf>
    <xf numFmtId="2" fontId="7" fillId="0" borderId="227" xfId="0" applyNumberFormat="1" applyFont="1" applyBorder="1" applyAlignment="1">
      <alignment horizontal="right" vertical="top"/>
    </xf>
    <xf numFmtId="0" fontId="6" fillId="15" borderId="228" xfId="0" applyNumberFormat="1" applyFont="1" applyFill="1" applyBorder="1" applyAlignment="1">
      <alignment vertical="top"/>
    </xf>
    <xf numFmtId="2" fontId="7" fillId="0" borderId="227" xfId="0" applyNumberFormat="1" applyFont="1" applyBorder="1" applyAlignment="1">
      <alignment vertical="top"/>
    </xf>
    <xf numFmtId="2" fontId="7" fillId="0" borderId="229" xfId="0" applyNumberFormat="1" applyFont="1" applyBorder="1" applyAlignment="1">
      <alignment vertical="top"/>
    </xf>
    <xf numFmtId="0" fontId="30" fillId="0" borderId="24" xfId="0" applyFont="1" applyBorder="1" applyAlignment="1">
      <alignment horizontal="left" vertical="top" wrapText="1"/>
    </xf>
    <xf numFmtId="0" fontId="30" fillId="0" borderId="25" xfId="0" applyFont="1" applyBorder="1" applyAlignment="1">
      <alignment horizontal="left" vertical="top" wrapText="1"/>
    </xf>
    <xf numFmtId="0" fontId="30" fillId="0" borderId="147" xfId="0" applyFont="1" applyBorder="1" applyAlignment="1">
      <alignment horizontal="left" vertical="top" wrapText="1"/>
    </xf>
    <xf numFmtId="0" fontId="24" fillId="0" borderId="20" xfId="0" applyFont="1" applyBorder="1" applyAlignment="1">
      <alignment horizontal="left" vertical="top" wrapText="1"/>
    </xf>
    <xf numFmtId="0" fontId="24" fillId="0" borderId="21" xfId="0" applyFont="1" applyBorder="1" applyAlignment="1">
      <alignment horizontal="left" vertical="top" wrapText="1"/>
    </xf>
    <xf numFmtId="0" fontId="24" fillId="0" borderId="145" xfId="0" applyFont="1" applyBorder="1" applyAlignment="1">
      <alignment horizontal="left" vertical="top" wrapText="1"/>
    </xf>
    <xf numFmtId="0" fontId="30" fillId="0" borderId="22" xfId="0" applyFont="1" applyBorder="1" applyAlignment="1">
      <alignment horizontal="left" vertical="top" wrapText="1"/>
    </xf>
    <xf numFmtId="0" fontId="30" fillId="0" borderId="23" xfId="0" applyFont="1" applyBorder="1" applyAlignment="1">
      <alignment horizontal="left" vertical="top" wrapText="1"/>
    </xf>
    <xf numFmtId="0" fontId="30" fillId="0" borderId="146" xfId="0" applyFont="1" applyBorder="1" applyAlignment="1">
      <alignment horizontal="left" vertical="top" wrapText="1"/>
    </xf>
    <xf numFmtId="0" fontId="7" fillId="0" borderId="32" xfId="0" applyFont="1" applyBorder="1" applyAlignment="1">
      <alignment horizontal="left" vertical="top" wrapText="1"/>
    </xf>
    <xf numFmtId="0" fontId="7" fillId="0" borderId="8" xfId="0" applyFont="1" applyBorder="1" applyAlignment="1">
      <alignment horizontal="left" vertical="top" wrapText="1"/>
    </xf>
    <xf numFmtId="0" fontId="24" fillId="0" borderId="40" xfId="0" applyFont="1" applyBorder="1" applyAlignment="1">
      <alignment horizontal="left" vertical="top" wrapText="1"/>
    </xf>
    <xf numFmtId="0" fontId="24" fillId="0" borderId="51" xfId="0" applyFont="1" applyBorder="1" applyAlignment="1">
      <alignment horizontal="left" vertical="top" wrapText="1"/>
    </xf>
    <xf numFmtId="0" fontId="0" fillId="0" borderId="204" xfId="0" applyBorder="1"/>
    <xf numFmtId="0" fontId="0" fillId="0" borderId="205" xfId="0" applyBorder="1"/>
    <xf numFmtId="0" fontId="22" fillId="15" borderId="36" xfId="0" applyFont="1" applyFill="1" applyBorder="1" applyAlignment="1">
      <alignment horizontal="left" vertical="center" wrapText="1"/>
    </xf>
    <xf numFmtId="0" fontId="22" fillId="15" borderId="49" xfId="0" applyFont="1" applyFill="1" applyBorder="1" applyAlignment="1">
      <alignment horizontal="left" vertical="center" wrapText="1"/>
    </xf>
    <xf numFmtId="0" fontId="6" fillId="0" borderId="38" xfId="0" applyFont="1" applyBorder="1" applyAlignment="1">
      <alignment vertical="center" wrapText="1"/>
    </xf>
    <xf numFmtId="0" fontId="6" fillId="0" borderId="50" xfId="0" applyFont="1" applyBorder="1" applyAlignment="1">
      <alignment vertical="center" wrapText="1"/>
    </xf>
    <xf numFmtId="0" fontId="22" fillId="15" borderId="54" xfId="0" applyFont="1" applyFill="1" applyBorder="1" applyAlignment="1">
      <alignment horizontal="left" vertical="center" wrapText="1"/>
    </xf>
    <xf numFmtId="0" fontId="7" fillId="4" borderId="11" xfId="0" applyFont="1" applyFill="1" applyBorder="1" applyAlignment="1">
      <alignment vertical="center"/>
    </xf>
    <xf numFmtId="0" fontId="7" fillId="4" borderId="0" xfId="0" applyFont="1" applyFill="1" applyBorder="1" applyAlignment="1">
      <alignment vertical="center"/>
    </xf>
    <xf numFmtId="0" fontId="7" fillId="4" borderId="53" xfId="0" applyFont="1" applyFill="1" applyBorder="1" applyAlignment="1">
      <alignment vertical="center"/>
    </xf>
    <xf numFmtId="0" fontId="0" fillId="0" borderId="214" xfId="0" applyBorder="1"/>
    <xf numFmtId="0" fontId="0" fillId="0" borderId="215" xfId="0" applyBorder="1"/>
    <xf numFmtId="0" fontId="22" fillId="15" borderId="149" xfId="0" applyFont="1" applyFill="1" applyBorder="1" applyAlignment="1">
      <alignment horizontal="left" vertical="center" wrapText="1"/>
    </xf>
    <xf numFmtId="0" fontId="24" fillId="0" borderId="196" xfId="0" applyFont="1" applyBorder="1" applyAlignment="1">
      <alignment horizontal="left" vertical="top" wrapText="1"/>
    </xf>
    <xf numFmtId="0" fontId="24" fillId="0" borderId="56" xfId="0" applyFont="1" applyBorder="1" applyAlignment="1">
      <alignment horizontal="left" vertical="top" wrapText="1"/>
    </xf>
    <xf numFmtId="0" fontId="7" fillId="0" borderId="105" xfId="0" applyFont="1" applyBorder="1" applyAlignment="1">
      <alignment horizontal="left" vertical="top" wrapText="1"/>
    </xf>
    <xf numFmtId="0" fontId="7" fillId="0" borderId="213" xfId="0" applyFont="1" applyBorder="1" applyAlignment="1">
      <alignment horizontal="left" vertical="top" wrapText="1"/>
    </xf>
    <xf numFmtId="0" fontId="7" fillId="0" borderId="126" xfId="0" applyFont="1" applyBorder="1" applyAlignment="1">
      <alignment horizontal="left" vertical="top" wrapText="1"/>
    </xf>
    <xf numFmtId="0" fontId="7" fillId="0" borderId="69" xfId="0" applyFont="1" applyBorder="1" applyAlignment="1">
      <alignment vertical="center" wrapText="1"/>
    </xf>
    <xf numFmtId="0" fontId="0" fillId="0" borderId="207" xfId="0" applyBorder="1"/>
    <xf numFmtId="0" fontId="0" fillId="0" borderId="208" xfId="0" applyBorder="1"/>
    <xf numFmtId="0" fontId="7" fillId="0" borderId="90" xfId="0" applyFont="1" applyBorder="1" applyAlignment="1">
      <alignment horizontal="left" vertical="top" wrapText="1"/>
    </xf>
    <xf numFmtId="0" fontId="22" fillId="15" borderId="9" xfId="0" applyFont="1" applyFill="1" applyBorder="1" applyAlignment="1">
      <alignment horizontal="left" vertical="center" wrapText="1"/>
    </xf>
    <xf numFmtId="0" fontId="22" fillId="15" borderId="91" xfId="0" applyFont="1" applyFill="1" applyBorder="1" applyAlignment="1">
      <alignment horizontal="left" vertical="center" wrapText="1"/>
    </xf>
    <xf numFmtId="0" fontId="22" fillId="15" borderId="36" xfId="0" applyFont="1" applyFill="1" applyBorder="1" applyAlignment="1">
      <alignment horizontal="center" vertical="center" wrapText="1"/>
    </xf>
    <xf numFmtId="0" fontId="22" fillId="15" borderId="37" xfId="0" applyFont="1" applyFill="1" applyBorder="1" applyAlignment="1">
      <alignment horizontal="center" vertical="center" wrapText="1"/>
    </xf>
    <xf numFmtId="0" fontId="22" fillId="15" borderId="37" xfId="0" applyFont="1" applyFill="1" applyBorder="1" applyAlignment="1">
      <alignment horizontal="left" vertical="center" wrapText="1"/>
    </xf>
    <xf numFmtId="0" fontId="22" fillId="15" borderId="138" xfId="0" applyFont="1" applyFill="1" applyBorder="1" applyAlignment="1">
      <alignment horizontal="left" vertical="center" wrapText="1"/>
    </xf>
    <xf numFmtId="0" fontId="22" fillId="15" borderId="134" xfId="0" applyFont="1" applyFill="1" applyBorder="1" applyAlignment="1">
      <alignment horizontal="left" vertical="center" wrapText="1"/>
    </xf>
    <xf numFmtId="0" fontId="22" fillId="15" borderId="10" xfId="0" applyFont="1" applyFill="1" applyBorder="1" applyAlignment="1">
      <alignment horizontal="left" vertical="center" wrapText="1"/>
    </xf>
    <xf numFmtId="0" fontId="6" fillId="15" borderId="138" xfId="0" applyFont="1" applyFill="1" applyBorder="1" applyAlignment="1">
      <alignment horizontal="center" vertical="top"/>
    </xf>
    <xf numFmtId="0" fontId="6" fillId="15" borderId="136" xfId="0" applyFont="1" applyFill="1" applyBorder="1" applyAlignment="1">
      <alignment horizontal="center" vertical="top"/>
    </xf>
    <xf numFmtId="0" fontId="6" fillId="15" borderId="134" xfId="0" applyFont="1" applyFill="1" applyBorder="1" applyAlignment="1">
      <alignment horizontal="center" vertical="top"/>
    </xf>
    <xf numFmtId="0" fontId="0" fillId="20" borderId="219" xfId="0" applyFill="1" applyBorder="1" applyAlignment="1">
      <alignment horizontal="center"/>
    </xf>
    <xf numFmtId="0" fontId="0" fillId="20" borderId="220" xfId="0" applyFill="1" applyBorder="1" applyAlignment="1">
      <alignment horizontal="center"/>
    </xf>
    <xf numFmtId="0" fontId="0" fillId="17" borderId="219" xfId="0" applyFill="1" applyBorder="1" applyAlignment="1">
      <alignment horizontal="center" vertical="center"/>
    </xf>
    <xf numFmtId="0" fontId="0" fillId="17" borderId="222" xfId="0" applyFill="1" applyBorder="1" applyAlignment="1">
      <alignment horizontal="center" vertical="center"/>
    </xf>
    <xf numFmtId="0" fontId="0" fillId="17" borderId="220" xfId="0" applyFill="1" applyBorder="1" applyAlignment="1">
      <alignment horizontal="center" vertical="center"/>
    </xf>
    <xf numFmtId="0" fontId="0" fillId="22" borderId="219" xfId="0" applyFill="1" applyBorder="1" applyAlignment="1">
      <alignment horizontal="center"/>
    </xf>
    <xf numFmtId="0" fontId="0" fillId="22" borderId="220" xfId="0" applyFill="1" applyBorder="1" applyAlignment="1">
      <alignment horizontal="center"/>
    </xf>
    <xf numFmtId="0" fontId="6" fillId="15" borderId="54" xfId="0" applyFont="1" applyFill="1" applyBorder="1" applyAlignment="1">
      <alignment horizontal="center" vertical="top"/>
    </xf>
    <xf numFmtId="0" fontId="6" fillId="15" borderId="37" xfId="0" applyFont="1" applyFill="1" applyBorder="1" applyAlignment="1">
      <alignment horizontal="center" vertical="top"/>
    </xf>
    <xf numFmtId="0" fontId="6" fillId="10" borderId="0" xfId="0" applyFont="1" applyFill="1" applyBorder="1" applyAlignment="1">
      <alignment horizontal="center" vertical="center"/>
    </xf>
    <xf numFmtId="0" fontId="7" fillId="0" borderId="227" xfId="0" applyFont="1" applyBorder="1" applyAlignment="1">
      <alignment horizontal="center" vertical="center" wrapText="1"/>
    </xf>
    <xf numFmtId="0" fontId="7" fillId="0" borderId="227" xfId="0" applyFont="1" applyBorder="1" applyAlignment="1">
      <alignment vertical="center" wrapText="1"/>
    </xf>
  </cellXfs>
  <cellStyles count="158">
    <cellStyle name="Date" xfId="150"/>
    <cellStyle name="Euro" xfId="15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Item" xfId="152"/>
    <cellStyle name="Normal" xfId="0" builtinId="0"/>
    <cellStyle name="Normal 2" xfId="149"/>
    <cellStyle name="Normal 2 2 2" xfId="157"/>
    <cellStyle name="Percent" xfId="156" builtinId="5"/>
    <cellStyle name="Table Cell" xfId="153"/>
    <cellStyle name="Table Cell Date" xfId="154"/>
    <cellStyle name="Table Heading" xfId="155"/>
  </cellStyles>
  <dxfs count="576">
    <dxf>
      <font>
        <color theme="0"/>
      </font>
      <fill>
        <patternFill>
          <bgColor rgb="FF333333"/>
        </patternFill>
      </fill>
    </dxf>
    <dxf>
      <font>
        <color theme="0"/>
      </font>
      <fill>
        <patternFill>
          <bgColor theme="0"/>
        </patternFill>
      </fill>
    </dxf>
    <dxf>
      <font>
        <condense val="0"/>
        <extend val="0"/>
        <color indexed="10"/>
      </font>
    </dxf>
    <dxf>
      <font>
        <condense val="0"/>
        <extend val="0"/>
        <color indexed="10"/>
      </font>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ill>
        <patternFill>
          <bgColor rgb="FFFF0000"/>
        </patternFill>
      </fill>
    </dxf>
    <dxf>
      <font>
        <color theme="0"/>
      </font>
      <fill>
        <patternFill>
          <bgColor rgb="FFFF0000"/>
        </patternFill>
      </fill>
    </dxf>
    <dxf>
      <font>
        <b/>
        <i val="0"/>
        <color rgb="FFFF0000"/>
      </font>
    </dxf>
    <dxf>
      <font>
        <b/>
        <i val="0"/>
        <color rgb="FFFF0000"/>
      </font>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border>
        <right style="thin">
          <color auto="1"/>
        </right>
        <vertical/>
        <horizontal/>
      </border>
    </dxf>
    <dxf>
      <fill>
        <patternFill>
          <bgColor rgb="FFEAEAEA"/>
        </patternFill>
      </fill>
    </dxf>
    <dxf>
      <border>
        <right style="thin">
          <color auto="1"/>
        </right>
        <vertical/>
        <horizontal/>
      </border>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border>
        <bottom style="thin">
          <color indexed="64"/>
        </bottom>
        <horizontal style="thin">
          <color indexed="64"/>
        </horizontal>
      </border>
    </dxf>
    <dxf>
      <border>
        <bottom style="thin">
          <color indexed="64"/>
        </bottom>
        <horizontal style="thin">
          <color indexed="64"/>
        </horizontal>
      </border>
    </dxf>
    <dxf>
      <border>
        <horizontal style="thin">
          <color auto="1"/>
        </horizontal>
      </border>
    </dxf>
    <dxf>
      <border>
        <horizontal style="thin">
          <color auto="1"/>
        </horizontal>
      </border>
    </dxf>
    <dxf>
      <border>
        <horizontal style="thin">
          <color auto="1"/>
        </horizontal>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left style="thin">
          <color indexed="64"/>
        </left>
        <right style="thin">
          <color indexed="64"/>
        </right>
        <vertical style="thin">
          <color indexed="64"/>
        </vertical>
      </border>
    </dxf>
    <dxf>
      <border>
        <left style="thin">
          <color indexed="64"/>
        </left>
        <right style="thin">
          <color indexed="64"/>
        </right>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left style="thin">
          <color indexed="64"/>
        </left>
        <right style="thin">
          <color indexed="64"/>
        </right>
        <horizontal style="thin">
          <color indexed="64"/>
        </horizontal>
      </border>
    </dxf>
    <dxf>
      <border>
        <bottom style="thin">
          <color indexed="64"/>
        </bottom>
      </border>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border>
        <right style="thin">
          <color auto="1"/>
        </right>
        <top style="thin">
          <color auto="1"/>
        </top>
        <bottom style="thin">
          <color auto="1"/>
        </bottom>
      </border>
    </dxf>
    <dxf>
      <border>
        <right style="thin">
          <color auto="1"/>
        </right>
        <top style="thin">
          <color auto="1"/>
        </top>
        <bottom style="thin">
          <color auto="1"/>
        </bottom>
      </border>
    </dxf>
    <dxf>
      <border>
        <right style="thin">
          <color auto="1"/>
        </right>
      </border>
    </dxf>
    <dxf>
      <border>
        <right style="thin">
          <color auto="1"/>
        </right>
      </border>
    </dxf>
    <dxf>
      <border>
        <top style="thin">
          <color auto="1"/>
        </top>
      </border>
    </dxf>
    <dxf>
      <border>
        <top style="thin">
          <color auto="1"/>
        </top>
      </border>
    </dxf>
    <dxf>
      <border>
        <bottom style="thin">
          <color auto="1"/>
        </bottom>
      </border>
    </dxf>
    <dxf>
      <border>
        <bottom style="thin">
          <color auto="1"/>
        </bottom>
      </border>
    </dxf>
    <dxf>
      <numFmt numFmtId="2" formatCode="0.00"/>
      <alignment horizontal="right" readingOrder="0"/>
    </dxf>
    <dxf>
      <numFmt numFmtId="2" formatCode="0.00"/>
    </dxf>
    <dxf>
      <numFmt numFmtId="166" formatCode="[$-809]dd\-mmm\-yy;@"/>
      <alignment vertical="top" readingOrder="0"/>
    </dxf>
    <dxf>
      <font>
        <sz val="10"/>
      </font>
    </dxf>
    <dxf>
      <border>
        <right style="thin">
          <color indexed="64"/>
        </right>
        <vertical style="thin">
          <color indexed="64"/>
        </vertical>
      </border>
    </dxf>
    <dxf>
      <border>
        <bottom style="thin">
          <color indexed="64"/>
        </bottom>
        <horizontal style="thin">
          <color indexed="64"/>
        </horizontal>
      </border>
    </dxf>
    <dxf>
      <border>
        <bottom style="thin">
          <color indexed="64"/>
        </bottom>
        <horizontal style="thin">
          <color indexed="64"/>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border>
    </dxf>
    <dxf>
      <border>
        <left style="thin">
          <color indexed="64"/>
        </left>
      </border>
    </dxf>
    <dxf>
      <border>
        <left style="thin">
          <color indexed="64"/>
        </left>
      </border>
    </dxf>
    <dxf>
      <border>
        <bottom style="thin">
          <color indexed="64"/>
        </bottom>
      </border>
    </dxf>
    <dxf>
      <border>
        <bottom style="thin">
          <color theme="0" tint="-0.14996795556505021"/>
        </bottom>
      </border>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border>
        <right style="thin">
          <color auto="1"/>
        </right>
        <top style="thin">
          <color auto="1"/>
        </top>
        <bottom style="thin">
          <color auto="1"/>
        </bottom>
      </border>
    </dxf>
    <dxf>
      <border>
        <right style="thin">
          <color auto="1"/>
        </right>
        <top style="thin">
          <color auto="1"/>
        </top>
        <bottom style="thin">
          <color auto="1"/>
        </bottom>
      </border>
    </dxf>
    <dxf>
      <border>
        <right style="thin">
          <color auto="1"/>
        </right>
        <top style="thin">
          <color auto="1"/>
        </top>
        <bottom style="thin">
          <color auto="1"/>
        </bottom>
      </border>
    </dxf>
    <dxf>
      <border>
        <right style="thin">
          <color auto="1"/>
        </right>
        <top style="thin">
          <color auto="1"/>
        </top>
        <bottom style="thin">
          <color auto="1"/>
        </bottom>
      </border>
    </dxf>
    <dxf>
      <border>
        <right style="thin">
          <color auto="1"/>
        </right>
      </border>
    </dxf>
    <dxf>
      <border>
        <top style="thin">
          <color auto="1"/>
        </top>
      </border>
    </dxf>
    <dxf>
      <border>
        <top style="thin">
          <color auto="1"/>
        </top>
      </border>
    </dxf>
    <dxf>
      <border>
        <bottom style="thin">
          <color auto="1"/>
        </bottom>
      </border>
    </dxf>
    <dxf>
      <border>
        <bottom style="thin">
          <color auto="1"/>
        </bottom>
      </border>
    </dxf>
    <dxf>
      <numFmt numFmtId="2" formatCode="0.00"/>
      <alignment horizontal="right" readingOrder="0"/>
    </dxf>
    <dxf>
      <numFmt numFmtId="2" formatCode="0.00"/>
    </dxf>
    <dxf>
      <numFmt numFmtId="166" formatCode="[$-809]dd\-mmm\-yy;@"/>
      <alignment vertical="top" readingOrder="0"/>
    </dxf>
    <dxf>
      <font>
        <sz val="10"/>
      </font>
    </dxf>
    <dxf>
      <border>
        <left style="thin">
          <color auto="1"/>
        </left>
        <right style="thin">
          <color auto="1"/>
        </right>
        <vertical style="thin">
          <color auto="1"/>
        </vertical>
      </border>
    </dxf>
    <dxf>
      <font>
        <b/>
        <i val="0"/>
      </font>
      <fill>
        <patternFill>
          <bgColor rgb="FFDFE5E6"/>
        </patternFill>
      </fill>
    </dxf>
    <dxf>
      <border>
        <left style="thin">
          <color auto="1"/>
        </left>
        <right style="thin">
          <color auto="1"/>
        </right>
        <top style="thin">
          <color auto="1"/>
        </top>
        <bottom style="thin">
          <color auto="1"/>
        </bottom>
        <vertical style="thin">
          <color auto="1"/>
        </vertical>
      </border>
    </dxf>
    <dxf>
      <border>
        <left style="thin">
          <color auto="1"/>
        </left>
        <right style="thin">
          <color auto="1"/>
        </right>
        <top style="thin">
          <color auto="1"/>
        </top>
        <bottom style="thin">
          <color auto="1"/>
        </bottom>
        <vertical style="thin">
          <color auto="1"/>
        </vertical>
      </border>
    </dxf>
    <dxf>
      <border>
        <left style="thin">
          <color auto="1"/>
        </left>
        <right style="thin">
          <color auto="1"/>
        </right>
        <top style="thin">
          <color auto="1"/>
        </top>
        <bottom style="thin">
          <color auto="1"/>
        </bottom>
        <vertical style="thin">
          <color auto="1"/>
        </vertic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bgColor rgb="FFDAEEF3"/>
        </patternFill>
      </fill>
    </dxf>
    <dxf>
      <border>
        <left style="thin">
          <color auto="1"/>
        </left>
        <right style="thin">
          <color auto="1"/>
        </right>
        <top style="thin">
          <color auto="1"/>
        </top>
        <bottom style="thin">
          <color auto="1"/>
        </bottom>
        <vertical style="thin">
          <color auto="1"/>
        </vertical>
      </border>
    </dxf>
    <dxf>
      <border>
        <left style="thin">
          <color auto="1"/>
        </left>
        <right style="thin">
          <color auto="1"/>
        </right>
        <vertical style="thin">
          <color auto="1"/>
        </vertical>
      </border>
    </dxf>
    <dxf>
      <border diagonalUp="1">
        <left style="thin">
          <color auto="1"/>
        </left>
        <right style="thin">
          <color auto="1"/>
        </right>
        <top style="thin">
          <color auto="1"/>
        </top>
        <bottom style="thin">
          <color auto="1"/>
        </bottom>
        <diagonal style="thin">
          <color auto="1"/>
        </diagonal>
        <vertical style="thin">
          <color auto="1"/>
        </vertical>
      </border>
    </dxf>
    <dxf>
      <font>
        <b/>
        <i val="0"/>
      </font>
      <fill>
        <patternFill>
          <fgColor rgb="FFDAEEF3"/>
          <bgColor rgb="FFDAEEF3"/>
        </patternFill>
      </fill>
    </dxf>
    <dxf>
      <font>
        <b/>
        <i val="0"/>
      </font>
      <fill>
        <patternFill>
          <bgColor rgb="FFDAEEF3"/>
        </patternFill>
      </fill>
    </dxf>
    <dxf>
      <border>
        <left style="thin">
          <color auto="1"/>
        </left>
        <right style="thin">
          <color auto="1"/>
        </right>
        <top style="thin">
          <color auto="1"/>
        </top>
        <bottom style="thin">
          <color auto="1"/>
        </bottom>
      </border>
    </dxf>
  </dxfs>
  <tableStyles count="1" defaultTableStyle="TableStyleMedium9" defaultPivotStyle="PivotStyleMedium4">
    <tableStyle name="PivotTable Style 1" table="0" count="15">
      <tableStyleElement type="wholeTable" dxfId="575"/>
      <tableStyleElement type="headerRow" dxfId="574"/>
      <tableStyleElement type="totalRow" dxfId="573"/>
      <tableStyleElement type="firstColumn" dxfId="572"/>
      <tableStyleElement type="firstColumnStripe" dxfId="571"/>
      <tableStyleElement type="secondColumnStripe" dxfId="570"/>
      <tableStyleElement type="firstHeaderCell" dxfId="569"/>
      <tableStyleElement type="firstSubtotalColumn" dxfId="568"/>
      <tableStyleElement type="secondSubtotalColumn" dxfId="567"/>
      <tableStyleElement type="thirdSubtotalColumn" dxfId="566"/>
      <tableStyleElement type="firstColumnSubheading" dxfId="565"/>
      <tableStyleElement type="secondColumnSubheading" dxfId="564"/>
      <tableStyleElement type="thirdColumnSubheading" dxfId="563"/>
      <tableStyleElement type="pageFieldLabels" dxfId="562"/>
      <tableStyleElement type="pageFieldValues" dxfId="561"/>
    </tableStyle>
  </tableStyles>
  <colors>
    <mruColors>
      <color rgb="FFDFE5E6"/>
      <color rgb="FFDAEEF3"/>
      <color rgb="FFFF6600"/>
      <color rgb="FFFFCC00"/>
      <color rgb="FFFFFF99"/>
      <color rgb="FFCCFFFF"/>
      <color rgb="FF9EB49E"/>
      <color rgb="FFC0C0C0"/>
      <color rgb="FFCFE2CE"/>
      <color rgb="FF3333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1085850</xdr:colOff>
      <xdr:row>2</xdr:row>
      <xdr:rowOff>171450</xdr:rowOff>
    </xdr:to>
    <xdr:pic>
      <xdr:nvPicPr>
        <xdr:cNvPr id="4" name="Picture 3"/>
        <xdr:cNvPicPr>
          <a:picLocks noChangeAspect="1"/>
        </xdr:cNvPicPr>
      </xdr:nvPicPr>
      <xdr:blipFill>
        <a:blip xmlns:r="http://schemas.openxmlformats.org/officeDocument/2006/relationships" r:embed="rId1"/>
        <a:stretch>
          <a:fillRect/>
        </a:stretch>
      </xdr:blipFill>
      <xdr:spPr>
        <a:xfrm>
          <a:off x="142875" y="142875"/>
          <a:ext cx="1085850" cy="4572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2819400</xdr:colOff>
          <xdr:row>1</xdr:row>
          <xdr:rowOff>66675</xdr:rowOff>
        </xdr:from>
        <xdr:to>
          <xdr:col>2</xdr:col>
          <xdr:colOff>4038600</xdr:colOff>
          <xdr:row>2</xdr:row>
          <xdr:rowOff>28575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Migrate Content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38100</xdr:rowOff>
    </xdr:from>
    <xdr:to>
      <xdr:col>1</xdr:col>
      <xdr:colOff>1216152</xdr:colOff>
      <xdr:row>0</xdr:row>
      <xdr:rowOff>400049</xdr:rowOff>
    </xdr:to>
    <xdr:pic>
      <xdr:nvPicPr>
        <xdr:cNvPr id="2" name="Picture 1"/>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219075</xdr:colOff>
      <xdr:row>1</xdr:row>
      <xdr:rowOff>95250</xdr:rowOff>
    </xdr:from>
    <xdr:to>
      <xdr:col>17</xdr:col>
      <xdr:colOff>323850</xdr:colOff>
      <xdr:row>6</xdr:row>
      <xdr:rowOff>190500</xdr:rowOff>
    </xdr:to>
    <xdr:grpSp>
      <xdr:nvGrpSpPr>
        <xdr:cNvPr id="6" name="Group 5"/>
        <xdr:cNvGrpSpPr/>
      </xdr:nvGrpSpPr>
      <xdr:grpSpPr>
        <a:xfrm>
          <a:off x="10420350" y="723900"/>
          <a:ext cx="2362200" cy="1000125"/>
          <a:chOff x="6096000" y="2466975"/>
          <a:chExt cx="2476500" cy="942975"/>
        </a:xfrm>
      </xdr:grpSpPr>
      <xdr:sp macro="" textlink="">
        <xdr:nvSpPr>
          <xdr:cNvPr id="3" name="TextBox 2"/>
          <xdr:cNvSpPr txBox="1"/>
        </xdr:nvSpPr>
        <xdr:spPr>
          <a:xfrm>
            <a:off x="6096000" y="2466975"/>
            <a:ext cx="2476500" cy="94297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4" name="Rectangle 3"/>
          <xdr:cNvSpPr/>
        </xdr:nvSpPr>
        <xdr:spPr>
          <a:xfrm>
            <a:off x="6200775" y="2809875"/>
            <a:ext cx="514350" cy="200025"/>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5" name="TextBox 4"/>
          <xdr:cNvSpPr txBox="1"/>
        </xdr:nvSpPr>
        <xdr:spPr>
          <a:xfrm>
            <a:off x="6715125" y="2809875"/>
            <a:ext cx="1857375" cy="600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r>
              <a:rPr lang="en-US" sz="900"/>
              <a:t>These are derived cells and should not be edited.  To add rows, copy from existing rows to preserve the formulas.</a:t>
            </a:r>
          </a:p>
        </xdr:txBody>
      </xdr:sp>
    </xdr:grpSp>
    <xdr:clientData/>
  </xdr:twoCellAnchor>
  <mc:AlternateContent xmlns:mc="http://schemas.openxmlformats.org/markup-compatibility/2006">
    <mc:Choice xmlns:a14="http://schemas.microsoft.com/office/drawing/2010/main" Requires="a14">
      <xdr:twoCellAnchor>
        <xdr:from>
          <xdr:col>6</xdr:col>
          <xdr:colOff>38100</xdr:colOff>
          <xdr:row>0</xdr:row>
          <xdr:rowOff>142875</xdr:rowOff>
        </xdr:from>
        <xdr:to>
          <xdr:col>7</xdr:col>
          <xdr:colOff>0</xdr:colOff>
          <xdr:row>0</xdr:row>
          <xdr:rowOff>381000</xdr:rowOff>
        </xdr:to>
        <xdr:sp macro="" textlink="">
          <xdr:nvSpPr>
            <xdr:cNvPr id="5125" name="Button 5" hidden="1">
              <a:extLst>
                <a:ext uri="{63B3BB69-23CF-44E3-9099-C40C66FF867C}">
                  <a14:compatExt spid="_x0000_s51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Add New Story Type</a:t>
              </a:r>
            </a:p>
          </xdr:txBody>
        </xdr:sp>
        <xdr:clientData fPrintsWithSheet="0"/>
      </xdr:twoCellAnchor>
    </mc:Choice>
    <mc:Fallback/>
  </mc:AlternateContent>
  <xdr:twoCellAnchor editAs="oneCell">
    <xdr:from>
      <xdr:col>1</xdr:col>
      <xdr:colOff>0</xdr:colOff>
      <xdr:row>0</xdr:row>
      <xdr:rowOff>38100</xdr:rowOff>
    </xdr:from>
    <xdr:to>
      <xdr:col>2</xdr:col>
      <xdr:colOff>644652</xdr:colOff>
      <xdr:row>0</xdr:row>
      <xdr:rowOff>400049</xdr:rowOff>
    </xdr:to>
    <xdr:pic>
      <xdr:nvPicPr>
        <xdr:cNvPr id="7" name="Picture 6"/>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30</xdr:col>
      <xdr:colOff>351869</xdr:colOff>
      <xdr:row>4</xdr:row>
      <xdr:rowOff>10582</xdr:rowOff>
    </xdr:from>
    <xdr:to>
      <xdr:col>34</xdr:col>
      <xdr:colOff>457952</xdr:colOff>
      <xdr:row>9</xdr:row>
      <xdr:rowOff>0</xdr:rowOff>
    </xdr:to>
    <xdr:grpSp>
      <xdr:nvGrpSpPr>
        <xdr:cNvPr id="2" name="Group 1"/>
        <xdr:cNvGrpSpPr/>
      </xdr:nvGrpSpPr>
      <xdr:grpSpPr>
        <a:xfrm>
          <a:off x="25334583" y="1058332"/>
          <a:ext cx="2827512" cy="1186847"/>
          <a:chOff x="12439649" y="2705099"/>
          <a:chExt cx="2824182" cy="1152525"/>
        </a:xfrm>
      </xdr:grpSpPr>
      <xdr:sp macro="" textlink="">
        <xdr:nvSpPr>
          <xdr:cNvPr id="3" name="TextBox 2"/>
          <xdr:cNvSpPr txBox="1"/>
        </xdr:nvSpPr>
        <xdr:spPr>
          <a:xfrm>
            <a:off x="12439649" y="2705099"/>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4" name="Rectangle 3"/>
          <xdr:cNvSpPr/>
        </xdr:nvSpPr>
        <xdr:spPr>
          <a:xfrm>
            <a:off x="12559256" y="3081152"/>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5" name="TextBox 4"/>
          <xdr:cNvSpPr txBox="1"/>
        </xdr:nvSpPr>
        <xdr:spPr>
          <a:xfrm>
            <a:off x="13177855" y="2959896"/>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6" name="Rectangle 5"/>
          <xdr:cNvSpPr/>
        </xdr:nvSpPr>
        <xdr:spPr>
          <a:xfrm>
            <a:off x="12559256" y="3305175"/>
            <a:ext cx="507002" cy="219364"/>
          </a:xfrm>
          <a:prstGeom prst="rect">
            <a:avLst/>
          </a:prstGeom>
          <a:solidFill>
            <a:schemeClr val="bg1">
              <a:lumMod val="95000"/>
            </a:schemeClr>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twoCellAnchor editAs="oneCell">
    <xdr:from>
      <xdr:col>1</xdr:col>
      <xdr:colOff>0</xdr:colOff>
      <xdr:row>1</xdr:row>
      <xdr:rowOff>9525</xdr:rowOff>
    </xdr:from>
    <xdr:to>
      <xdr:col>3</xdr:col>
      <xdr:colOff>311277</xdr:colOff>
      <xdr:row>1</xdr:row>
      <xdr:rowOff>371474</xdr:rowOff>
    </xdr:to>
    <xdr:pic>
      <xdr:nvPicPr>
        <xdr:cNvPr id="7" name="Picture 6"/>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11</xdr:col>
      <xdr:colOff>352426</xdr:colOff>
      <xdr:row>3</xdr:row>
      <xdr:rowOff>28576</xdr:rowOff>
    </xdr:from>
    <xdr:to>
      <xdr:col>14</xdr:col>
      <xdr:colOff>219075</xdr:colOff>
      <xdr:row>4</xdr:row>
      <xdr:rowOff>581026</xdr:rowOff>
    </xdr:to>
    <xdr:grpSp>
      <xdr:nvGrpSpPr>
        <xdr:cNvPr id="8" name="Group 7"/>
        <xdr:cNvGrpSpPr/>
      </xdr:nvGrpSpPr>
      <xdr:grpSpPr>
        <a:xfrm>
          <a:off x="13711239" y="802482"/>
          <a:ext cx="2533649" cy="957263"/>
          <a:chOff x="12439650" y="2705100"/>
          <a:chExt cx="2800351" cy="1152525"/>
        </a:xfrm>
      </xdr:grpSpPr>
      <xdr:sp macro="" textlink="">
        <xdr:nvSpPr>
          <xdr:cNvPr id="4" name="TextBox 3"/>
          <xdr:cNvSpPr txBox="1"/>
        </xdr:nvSpPr>
        <xdr:spPr>
          <a:xfrm>
            <a:off x="12439650" y="2705100"/>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5" name="Rectangle 4"/>
          <xdr:cNvSpPr/>
        </xdr:nvSpPr>
        <xdr:spPr>
          <a:xfrm>
            <a:off x="12559256" y="3081152"/>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6" name="TextBox 5"/>
          <xdr:cNvSpPr txBox="1"/>
        </xdr:nvSpPr>
        <xdr:spPr>
          <a:xfrm>
            <a:off x="13154025" y="3076575"/>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7" name="Rectangle 6"/>
          <xdr:cNvSpPr/>
        </xdr:nvSpPr>
        <xdr:spPr>
          <a:xfrm>
            <a:off x="12559256" y="3305175"/>
            <a:ext cx="507002" cy="219364"/>
          </a:xfrm>
          <a:prstGeom prst="rect">
            <a:avLst/>
          </a:prstGeom>
          <a:solidFill>
            <a:schemeClr val="bg1">
              <a:lumMod val="95000"/>
            </a:schemeClr>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twoCellAnchor editAs="oneCell">
    <xdr:from>
      <xdr:col>1</xdr:col>
      <xdr:colOff>0</xdr:colOff>
      <xdr:row>1</xdr:row>
      <xdr:rowOff>9525</xdr:rowOff>
    </xdr:from>
    <xdr:to>
      <xdr:col>2</xdr:col>
      <xdr:colOff>349377</xdr:colOff>
      <xdr:row>1</xdr:row>
      <xdr:rowOff>371474</xdr:rowOff>
    </xdr:to>
    <xdr:pic>
      <xdr:nvPicPr>
        <xdr:cNvPr id="9" name="Picture 8"/>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1295399</xdr:colOff>
      <xdr:row>5</xdr:row>
      <xdr:rowOff>0</xdr:rowOff>
    </xdr:from>
    <xdr:to>
      <xdr:col>11</xdr:col>
      <xdr:colOff>781050</xdr:colOff>
      <xdr:row>9</xdr:row>
      <xdr:rowOff>142875</xdr:rowOff>
    </xdr:to>
    <xdr:grpSp>
      <xdr:nvGrpSpPr>
        <xdr:cNvPr id="3" name="Group 2"/>
        <xdr:cNvGrpSpPr/>
      </xdr:nvGrpSpPr>
      <xdr:grpSpPr>
        <a:xfrm>
          <a:off x="10915649" y="1133475"/>
          <a:ext cx="3038476" cy="1266825"/>
          <a:chOff x="12081970" y="2943225"/>
          <a:chExt cx="2800351" cy="1152525"/>
        </a:xfrm>
      </xdr:grpSpPr>
      <xdr:sp macro="" textlink="">
        <xdr:nvSpPr>
          <xdr:cNvPr id="4" name="TextBox 3"/>
          <xdr:cNvSpPr txBox="1"/>
        </xdr:nvSpPr>
        <xdr:spPr>
          <a:xfrm>
            <a:off x="12081970" y="2943225"/>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5" name="Rectangle 4"/>
          <xdr:cNvSpPr/>
        </xdr:nvSpPr>
        <xdr:spPr>
          <a:xfrm>
            <a:off x="12201576" y="3319277"/>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6" name="TextBox 5"/>
          <xdr:cNvSpPr txBox="1"/>
        </xdr:nvSpPr>
        <xdr:spPr>
          <a:xfrm>
            <a:off x="12796345" y="3314700"/>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7" name="Rectangle 6"/>
          <xdr:cNvSpPr/>
        </xdr:nvSpPr>
        <xdr:spPr>
          <a:xfrm>
            <a:off x="12201576" y="3543300"/>
            <a:ext cx="507002" cy="219364"/>
          </a:xfrm>
          <a:prstGeom prst="rect">
            <a:avLst/>
          </a:prstGeom>
          <a:solidFill>
            <a:schemeClr val="bg1">
              <a:lumMod val="95000"/>
            </a:schemeClr>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twoCellAnchor editAs="oneCell">
    <xdr:from>
      <xdr:col>1</xdr:col>
      <xdr:colOff>228600</xdr:colOff>
      <xdr:row>1</xdr:row>
      <xdr:rowOff>28575</xdr:rowOff>
    </xdr:from>
    <xdr:to>
      <xdr:col>2</xdr:col>
      <xdr:colOff>492252</xdr:colOff>
      <xdr:row>1</xdr:row>
      <xdr:rowOff>390524</xdr:rowOff>
    </xdr:to>
    <xdr:pic>
      <xdr:nvPicPr>
        <xdr:cNvPr id="8" name="Picture 7"/>
        <xdr:cNvPicPr>
          <a:picLocks noChangeAspect="1"/>
        </xdr:cNvPicPr>
      </xdr:nvPicPr>
      <xdr:blipFill>
        <a:blip xmlns:r="http://schemas.openxmlformats.org/officeDocument/2006/relationships" r:embed="rId1"/>
        <a:stretch>
          <a:fillRect/>
        </a:stretch>
      </xdr:blipFill>
      <xdr:spPr>
        <a:xfrm>
          <a:off x="371475" y="57150"/>
          <a:ext cx="1216152" cy="3619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238125</xdr:colOff>
          <xdr:row>0</xdr:row>
          <xdr:rowOff>0</xdr:rowOff>
        </xdr:from>
        <xdr:to>
          <xdr:col>7</xdr:col>
          <xdr:colOff>19050</xdr:colOff>
          <xdr:row>2</xdr:row>
          <xdr:rowOff>238125</xdr:rowOff>
        </xdr:to>
        <xdr:sp macro="" textlink="">
          <xdr:nvSpPr>
            <xdr:cNvPr id="11275" name="Button 11" hidden="1">
              <a:extLst>
                <a:ext uri="{63B3BB69-23CF-44E3-9099-C40C66FF867C}">
                  <a14:compatExt spid="_x0000_s112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Add New Week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247650</xdr:colOff>
          <xdr:row>0</xdr:row>
          <xdr:rowOff>0</xdr:rowOff>
        </xdr:from>
        <xdr:to>
          <xdr:col>7</xdr:col>
          <xdr:colOff>28575</xdr:colOff>
          <xdr:row>0</xdr:row>
          <xdr:rowOff>0</xdr:rowOff>
        </xdr:to>
        <xdr:sp macro="" textlink="">
          <xdr:nvSpPr>
            <xdr:cNvPr id="11276" name="Button 12" hidden="1">
              <a:extLst>
                <a:ext uri="{63B3BB69-23CF-44E3-9099-C40C66FF867C}">
                  <a14:compatExt spid="_x0000_s112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Export Data</a:t>
              </a:r>
            </a:p>
          </xdr:txBody>
        </xdr:sp>
        <xdr:clientData fPrintsWithSheet="0"/>
      </xdr:twoCellAnchor>
    </mc:Choice>
    <mc:Fallback/>
  </mc:AlternateContent>
  <xdr:twoCellAnchor editAs="oneCell">
    <xdr:from>
      <xdr:col>1</xdr:col>
      <xdr:colOff>0</xdr:colOff>
      <xdr:row>0</xdr:row>
      <xdr:rowOff>38100</xdr:rowOff>
    </xdr:from>
    <xdr:to>
      <xdr:col>3</xdr:col>
      <xdr:colOff>466058</xdr:colOff>
      <xdr:row>3</xdr:row>
      <xdr:rowOff>52386</xdr:rowOff>
    </xdr:to>
    <xdr:pic>
      <xdr:nvPicPr>
        <xdr:cNvPr id="4" name="Picture 3"/>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885825</xdr:colOff>
          <xdr:row>0</xdr:row>
          <xdr:rowOff>0</xdr:rowOff>
        </xdr:from>
        <xdr:to>
          <xdr:col>3</xdr:col>
          <xdr:colOff>1057275</xdr:colOff>
          <xdr:row>0</xdr:row>
          <xdr:rowOff>0</xdr:rowOff>
        </xdr:to>
        <xdr:sp macro="" textlink="">
          <xdr:nvSpPr>
            <xdr:cNvPr id="11278" name="Button 14" hidden="1">
              <a:extLst>
                <a:ext uri="{63B3BB69-23CF-44E3-9099-C40C66FF867C}">
                  <a14:compatExt spid="_x0000_s11278"/>
                </a:ext>
              </a:extLst>
            </xdr:cNvPr>
            <xdr:cNvSpPr/>
          </xdr:nvSpPr>
          <xdr:spPr>
            <a:xfrm>
              <a:off x="0" y="0"/>
              <a:ext cx="0" cy="0"/>
            </a:xfrm>
            <a:prstGeom prst="rect">
              <a:avLst/>
            </a:prstGeom>
          </xdr:spPr>
          <xdr:txBody>
            <a:bodyPr vertOverflow="clip" wrap="square" lIns="54864" tIns="27432" rIns="54864" bIns="27432" anchor="ctr" upright="1"/>
            <a:lstStyle/>
            <a:p>
              <a:pPr algn="ctr" rtl="0">
                <a:defRPr sz="1000"/>
              </a:pPr>
              <a:r>
                <a:rPr lang="en-US" sz="1200" b="1" i="0" u="none" strike="noStrike" baseline="0">
                  <a:solidFill>
                    <a:srgbClr val="000000"/>
                  </a:solidFill>
                  <a:latin typeface="Webdings"/>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0</xdr:row>
          <xdr:rowOff>0</xdr:rowOff>
        </xdr:from>
        <xdr:to>
          <xdr:col>3</xdr:col>
          <xdr:colOff>1057275</xdr:colOff>
          <xdr:row>2</xdr:row>
          <xdr:rowOff>295275</xdr:rowOff>
        </xdr:to>
        <xdr:sp macro="" textlink="">
          <xdr:nvSpPr>
            <xdr:cNvPr id="11279" name="Button 15" hidden="1">
              <a:extLst>
                <a:ext uri="{63B3BB69-23CF-44E3-9099-C40C66FF867C}">
                  <a14:compatExt spid="_x0000_s11279"/>
                </a:ext>
              </a:extLst>
            </xdr:cNvPr>
            <xdr:cNvSpPr/>
          </xdr:nvSpPr>
          <xdr:spPr>
            <a:xfrm>
              <a:off x="0" y="0"/>
              <a:ext cx="0" cy="0"/>
            </a:xfrm>
            <a:prstGeom prst="rect">
              <a:avLst/>
            </a:prstGeom>
          </xdr:spPr>
          <xdr:txBody>
            <a:bodyPr vertOverflow="clip" wrap="square" lIns="54864" tIns="27432" rIns="54864" bIns="27432" anchor="ctr" upright="1"/>
            <a:lstStyle/>
            <a:p>
              <a:pPr algn="ctr" rtl="0">
                <a:defRPr sz="1000"/>
              </a:pPr>
              <a:r>
                <a:rPr lang="en-US" sz="1200" b="1" i="0" u="none" strike="noStrike" baseline="0">
                  <a:solidFill>
                    <a:srgbClr val="000000"/>
                  </a:solidFill>
                  <a:latin typeface="Webdings"/>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257175</xdr:colOff>
          <xdr:row>3</xdr:row>
          <xdr:rowOff>47625</xdr:rowOff>
        </xdr:from>
        <xdr:to>
          <xdr:col>7</xdr:col>
          <xdr:colOff>47625</xdr:colOff>
          <xdr:row>4</xdr:row>
          <xdr:rowOff>0</xdr:rowOff>
        </xdr:to>
        <xdr:sp macro="" textlink="">
          <xdr:nvSpPr>
            <xdr:cNvPr id="11281" name="Button 17" hidden="1">
              <a:extLst>
                <a:ext uri="{63B3BB69-23CF-44E3-9099-C40C66FF867C}">
                  <a14:compatExt spid="_x0000_s112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Convert Allocation-Hours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0</xdr:colOff>
      <xdr:row>0</xdr:row>
      <xdr:rowOff>38100</xdr:rowOff>
    </xdr:from>
    <xdr:to>
      <xdr:col>2</xdr:col>
      <xdr:colOff>263652</xdr:colOff>
      <xdr:row>0</xdr:row>
      <xdr:rowOff>400049</xdr:rowOff>
    </xdr:to>
    <xdr:pic>
      <xdr:nvPicPr>
        <xdr:cNvPr id="2" name="Picture 1"/>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0</xdr:row>
      <xdr:rowOff>38100</xdr:rowOff>
    </xdr:from>
    <xdr:to>
      <xdr:col>1</xdr:col>
      <xdr:colOff>1216152</xdr:colOff>
      <xdr:row>0</xdr:row>
      <xdr:rowOff>400049</xdr:rowOff>
    </xdr:to>
    <xdr:pic>
      <xdr:nvPicPr>
        <xdr:cNvPr id="2" name="Picture 1"/>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764BIT" refreshedDate="42698.840912731481" createdVersion="4" refreshedVersion="4" minRefreshableVersion="3" recordCount="95">
  <cacheSource type="worksheet">
    <worksheetSource name="stories_pivot_range"/>
  </cacheSource>
  <cacheFields count="21">
    <cacheField name="Category" numFmtId="0">
      <sharedItems containsBlank="1" count="5">
        <s v="DISCOVERY"/>
        <m/>
        <s v="Category" u="1"/>
        <s v="asdsa" u="1"/>
        <s v="assa" u="1"/>
      </sharedItems>
    </cacheField>
    <cacheField name="Sub Category" numFmtId="0">
      <sharedItems containsBlank="1" count="33">
        <m/>
        <s v="WORKSHOPS/INTERVIEWS - BUSINESS STAKEHOLDERS"/>
        <s v="WORKSHOPS/INTERVIEWS - TECHNOLOGY STAKEHOLDERS"/>
        <s v="DEFINE MATURITY MODEL"/>
        <s v="REVIEW TEAMSITE 8.2 PLATFORM/ARTIFACTS"/>
        <s v="REVIEW EXISTING SITES/PAGES"/>
        <s v="MAP SITES TO MATURITY MODEL"/>
        <s v="REVIEW INFRASTRUCTURE SETUP"/>
        <s v="REVIEW QA PROCESS"/>
        <s v="REVIEW FRONTEND TECHNOLOGY/FRAMEWORKS"/>
        <s v="REVIEW SEO IMPLEMENTATION"/>
        <s v="REVIEW ANALYTICS IMPLEMENTATION"/>
        <s v="Ramp Up" u="1"/>
        <s v="Review for in progress site" u="1"/>
        <s v="Infra Support" u="1"/>
        <s v="Discovery - Business Needs" u="1"/>
        <s v="Review sample Component &amp; Template to identify best practice followed" u="1"/>
        <s v="Review for back logged sites " u="1"/>
        <s v="CMS Maturity model" u="1"/>
        <s v="Discovery - Technical" u="1"/>
        <s v="Sub Category" u="1"/>
        <s v="Plotting current state against  Maturity model" u="1"/>
        <s v="Review SEO compatibility " u="1"/>
        <s v="Review Frontend " u="1"/>
        <s v="Review Teamsite 8.2 Component &amp; Template to identify best practice followed" u="1"/>
        <s v="Review CMS Platform" u="1"/>
        <s v="Review Analytics  " u="1"/>
        <s v="Review Individual Site" u="1"/>
        <s v="Review Infra Setup" u="1"/>
        <s v="sad" u="1"/>
        <s v="Review CMS Teamsite 8.2 Platform" u="1"/>
        <s v="Review for development in progress site" u="1"/>
        <s v="sa" u="1"/>
      </sharedItems>
    </cacheField>
    <cacheField name="Phase" numFmtId="0">
      <sharedItems containsBlank="1" count="7">
        <m/>
        <s v="DISCOVER"/>
        <s v="DEFINE"/>
        <s v="ANALYSIS"/>
        <s v="OPTIMIZATION"/>
        <s v="RAMP UP" u="1"/>
        <s v="None" u="1"/>
      </sharedItems>
    </cacheField>
    <cacheField name="Track" numFmtId="0">
      <sharedItems containsBlank="1" count="9">
        <m/>
        <s v="CMS"/>
        <s v="BUSINESS ANALYST"/>
        <s v="QA"/>
        <s v="SITE DEV"/>
        <s v="SEO"/>
        <s v="ANALYTICS"/>
        <s v="INFRA"/>
        <s v="None" u="1"/>
      </sharedItems>
    </cacheField>
    <cacheField name="Story Name" numFmtId="0">
      <sharedItems containsBlank="1"/>
    </cacheField>
    <cacheField name="Description" numFmtId="0">
      <sharedItems containsBlank="1"/>
    </cacheField>
    <cacheField name="Scope Reference" numFmtId="0">
      <sharedItems containsNonDate="0" containsString="0" containsBlank="1"/>
    </cacheField>
    <cacheField name="Epic Link" numFmtId="0">
      <sharedItems containsNonDate="0" containsString="0" containsBlank="1"/>
    </cacheField>
    <cacheField name="In/Out" numFmtId="0">
      <sharedItems containsBlank="1"/>
    </cacheField>
    <cacheField name="Release" numFmtId="0">
      <sharedItems containsNonDate="0" containsBlank="1" count="2">
        <m/>
        <s v="None" u="1"/>
      </sharedItems>
    </cacheField>
    <cacheField name="Story Type" numFmtId="0">
      <sharedItems containsBlank="1"/>
    </cacheField>
    <cacheField name="ABP" numFmtId="2">
      <sharedItems containsString="0" containsBlank="1" containsNumber="1" minValue="0.25" maxValue="13.5"/>
    </cacheField>
    <cacheField name="HP" numFmtId="2">
      <sharedItems containsString="0" containsBlank="1" containsNumber="1" minValue="0.5" maxValue="20"/>
    </cacheField>
    <cacheField name="Multiplier" numFmtId="1">
      <sharedItems containsString="0" containsBlank="1" containsNumber="1" containsInteger="1" minValue="1" maxValue="6"/>
    </cacheField>
    <cacheField name="ABP Calc" numFmtId="2">
      <sharedItems containsBlank="1" containsMixedTypes="1" containsNumber="1" minValue="0.5" maxValue="13.5"/>
    </cacheField>
    <cacheField name="ABP2" numFmtId="2">
      <sharedItems containsString="0" containsBlank="1" containsNumber="1" minValue="0.5" maxValue="13.5"/>
    </cacheField>
    <cacheField name="HP Calc" numFmtId="2">
      <sharedItems containsString="0" containsBlank="1" containsNumber="1" minValue="0.5" maxValue="20"/>
    </cacheField>
    <cacheField name="HP2" numFmtId="2">
      <sharedItems containsString="0" containsBlank="1" containsNumber="1" minValue="1" maxValue="20"/>
    </cacheField>
    <cacheField name="Buffered Calc" numFmtId="2">
      <sharedItems containsNonDate="0" containsString="0" containsBlank="1"/>
    </cacheField>
    <cacheField name="Buffered" numFmtId="2">
      <sharedItems containsBlank="1" containsMixedTypes="1" containsNumber="1" minValue="0.8" maxValue="16.8"/>
    </cacheField>
    <cacheField name="Note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5">
  <r>
    <x v="0"/>
    <x v="0"/>
    <x v="0"/>
    <x v="0"/>
    <m/>
    <m/>
    <m/>
    <m/>
    <m/>
    <x v="0"/>
    <m/>
    <m/>
    <m/>
    <m/>
    <m/>
    <m/>
    <m/>
    <m/>
    <m/>
    <s v=""/>
    <m/>
  </r>
  <r>
    <x v="1"/>
    <x v="1"/>
    <x v="0"/>
    <x v="0"/>
    <m/>
    <m/>
    <m/>
    <m/>
    <m/>
    <x v="0"/>
    <m/>
    <m/>
    <m/>
    <m/>
    <m/>
    <m/>
    <m/>
    <m/>
    <m/>
    <m/>
    <m/>
  </r>
  <r>
    <x v="1"/>
    <x v="0"/>
    <x v="1"/>
    <x v="1"/>
    <s v="Ramp Up"/>
    <m/>
    <m/>
    <m/>
    <s v="In"/>
    <x v="0"/>
    <s v="RAMP UP"/>
    <n v="2"/>
    <n v="4"/>
    <n v="1"/>
    <n v="2"/>
    <n v="2"/>
    <n v="3"/>
    <n v="4"/>
    <m/>
    <n v="3"/>
    <m/>
  </r>
  <r>
    <x v="1"/>
    <x v="0"/>
    <x v="1"/>
    <x v="1"/>
    <s v="Prepare questionnaire"/>
    <m/>
    <m/>
    <m/>
    <s v="In"/>
    <x v="0"/>
    <s v="STAKEHOLDER INTERVIEWS - PREPARE"/>
    <n v="1.125"/>
    <n v="2.25"/>
    <n v="1"/>
    <n v="2"/>
    <n v="1.125"/>
    <n v="3"/>
    <n v="2.25"/>
    <m/>
    <n v="1.7"/>
    <m/>
  </r>
  <r>
    <x v="1"/>
    <x v="0"/>
    <x v="1"/>
    <x v="1"/>
    <s v="Interviews with Global Digital Group"/>
    <m/>
    <m/>
    <m/>
    <s v="In"/>
    <x v="0"/>
    <s v="STAKEHOLDER INTERVIEWS - CONDUCT"/>
    <n v="0.45"/>
    <n v="0.55000000000000004"/>
    <n v="6"/>
    <n v="0.5"/>
    <n v="2.7"/>
    <n v="0.5"/>
    <n v="3.3000000000000003"/>
    <m/>
    <n v="3"/>
    <s v="Assuming 6 Interviews"/>
  </r>
  <r>
    <x v="1"/>
    <x v="0"/>
    <x v="1"/>
    <x v="1"/>
    <s v="Review backlog stories created by Global Digital group"/>
    <m/>
    <m/>
    <m/>
    <s v="In"/>
    <x v="0"/>
    <m/>
    <n v="1"/>
    <n v="1.5"/>
    <n v="1"/>
    <m/>
    <n v="1"/>
    <m/>
    <n v="1.5"/>
    <m/>
    <n v="1.3"/>
    <m/>
  </r>
  <r>
    <x v="1"/>
    <x v="0"/>
    <x v="1"/>
    <x v="1"/>
    <s v="Consolidate Requirements from discovery phase for developing Maturity Model"/>
    <m/>
    <m/>
    <m/>
    <s v="In"/>
    <x v="0"/>
    <m/>
    <n v="1.5"/>
    <n v="2.5"/>
    <n v="1"/>
    <m/>
    <n v="1.5"/>
    <m/>
    <n v="2.5"/>
    <m/>
    <n v="2"/>
    <m/>
  </r>
  <r>
    <x v="1"/>
    <x v="0"/>
    <x v="1"/>
    <x v="2"/>
    <s v="Ramp Up"/>
    <m/>
    <m/>
    <m/>
    <s v="In"/>
    <x v="0"/>
    <s v="RAMP UP"/>
    <n v="2"/>
    <n v="4"/>
    <n v="1"/>
    <n v="2"/>
    <n v="2"/>
    <n v="3"/>
    <n v="4"/>
    <m/>
    <n v="3"/>
    <m/>
  </r>
  <r>
    <x v="1"/>
    <x v="0"/>
    <x v="1"/>
    <x v="2"/>
    <s v="Prepare questionnaire"/>
    <m/>
    <m/>
    <m/>
    <s v="In"/>
    <x v="0"/>
    <s v="STAKEHOLDER INTERVIEWS - PREPARE"/>
    <n v="1.125"/>
    <n v="2.25"/>
    <n v="1"/>
    <n v="2"/>
    <n v="1.125"/>
    <n v="3"/>
    <n v="2.25"/>
    <m/>
    <n v="1.7"/>
    <m/>
  </r>
  <r>
    <x v="1"/>
    <x v="0"/>
    <x v="1"/>
    <x v="2"/>
    <s v="Interviews with Global Digital Group"/>
    <m/>
    <m/>
    <m/>
    <s v="In"/>
    <x v="0"/>
    <s v="STAKEHOLDER INTERVIEWS - CONDUCT"/>
    <n v="0.45"/>
    <n v="0.55000000000000004"/>
    <n v="6"/>
    <n v="5"/>
    <n v="2.7"/>
    <n v="5"/>
    <n v="3.3000000000000003"/>
    <m/>
    <n v="3"/>
    <s v="Assuming 6 Interviews"/>
  </r>
  <r>
    <x v="1"/>
    <x v="0"/>
    <x v="1"/>
    <x v="2"/>
    <s v="Coordinating Discovery phase to come up with proposed org design, operating Model"/>
    <m/>
    <m/>
    <m/>
    <s v="In"/>
    <x v="0"/>
    <m/>
    <n v="1.5"/>
    <n v="2.5"/>
    <n v="1"/>
    <m/>
    <n v="1.5"/>
    <m/>
    <n v="2.5"/>
    <m/>
    <n v="2"/>
    <m/>
  </r>
  <r>
    <x v="1"/>
    <x v="0"/>
    <x v="1"/>
    <x v="3"/>
    <s v="Ramp Up"/>
    <m/>
    <m/>
    <m/>
    <s v="In"/>
    <x v="0"/>
    <s v="RAMP UP"/>
    <n v="2"/>
    <n v="4"/>
    <n v="1"/>
    <n v="2"/>
    <n v="2"/>
    <n v="3"/>
    <n v="4"/>
    <m/>
    <n v="3"/>
    <m/>
  </r>
  <r>
    <x v="1"/>
    <x v="0"/>
    <x v="1"/>
    <x v="3"/>
    <s v="Prepare questionnaire"/>
    <m/>
    <m/>
    <m/>
    <s v="In"/>
    <x v="0"/>
    <s v="STAKEHOLDER INTERVIEWS - PREPARE"/>
    <n v="1.125"/>
    <n v="2.25"/>
    <n v="1"/>
    <n v="2"/>
    <n v="1.125"/>
    <n v="3"/>
    <n v="2.25"/>
    <m/>
    <n v="1.7"/>
    <m/>
  </r>
  <r>
    <x v="1"/>
    <x v="0"/>
    <x v="1"/>
    <x v="3"/>
    <s v="Consolidate Requirements from discovery phase for developing Maturity Model"/>
    <m/>
    <m/>
    <m/>
    <s v="In"/>
    <x v="0"/>
    <m/>
    <n v="1.5"/>
    <n v="2.5"/>
    <n v="1"/>
    <m/>
    <n v="1.5"/>
    <m/>
    <n v="2.5"/>
    <m/>
    <n v="2"/>
    <m/>
  </r>
  <r>
    <x v="1"/>
    <x v="0"/>
    <x v="1"/>
    <x v="4"/>
    <s v="Ramp Up"/>
    <m/>
    <m/>
    <m/>
    <s v="In"/>
    <x v="0"/>
    <s v="RAMP UP"/>
    <n v="2"/>
    <n v="4"/>
    <n v="1"/>
    <n v="2"/>
    <n v="2"/>
    <n v="3"/>
    <n v="4"/>
    <m/>
    <n v="3"/>
    <m/>
  </r>
  <r>
    <x v="1"/>
    <x v="0"/>
    <x v="1"/>
    <x v="4"/>
    <s v="Prepare questionnaire"/>
    <m/>
    <m/>
    <m/>
    <s v="In"/>
    <x v="0"/>
    <s v="STAKEHOLDER INTERVIEWS - PREPARE"/>
    <n v="1.125"/>
    <n v="2.25"/>
    <n v="1"/>
    <n v="2"/>
    <n v="1.125"/>
    <n v="3"/>
    <n v="2.25"/>
    <m/>
    <n v="1.7"/>
    <m/>
  </r>
  <r>
    <x v="1"/>
    <x v="0"/>
    <x v="1"/>
    <x v="4"/>
    <s v="Consolidate Requirements from discovery phase for developing Maturity Model"/>
    <m/>
    <m/>
    <m/>
    <s v="In"/>
    <x v="0"/>
    <m/>
    <n v="1.5"/>
    <n v="2.5"/>
    <n v="1"/>
    <m/>
    <n v="1.5"/>
    <m/>
    <n v="2.5"/>
    <m/>
    <n v="2"/>
    <m/>
  </r>
  <r>
    <x v="1"/>
    <x v="0"/>
    <x v="1"/>
    <x v="5"/>
    <s v="Ramp Up"/>
    <m/>
    <m/>
    <m/>
    <s v="In"/>
    <x v="0"/>
    <s v="RAMP UP"/>
    <n v="2"/>
    <n v="4"/>
    <n v="1"/>
    <n v="2"/>
    <n v="2"/>
    <n v="3"/>
    <n v="4"/>
    <m/>
    <n v="3"/>
    <m/>
  </r>
  <r>
    <x v="1"/>
    <x v="0"/>
    <x v="1"/>
    <x v="5"/>
    <s v="Prepare questionnaire"/>
    <m/>
    <m/>
    <m/>
    <s v="In"/>
    <x v="0"/>
    <s v="STAKEHOLDER INTERVIEWS - PREPARE"/>
    <n v="1.125"/>
    <n v="2.25"/>
    <n v="1"/>
    <n v="2"/>
    <n v="1.125"/>
    <n v="3"/>
    <n v="2.25"/>
    <m/>
    <n v="1.7"/>
    <m/>
  </r>
  <r>
    <x v="1"/>
    <x v="0"/>
    <x v="1"/>
    <x v="5"/>
    <s v="Consolidate Requirements from discovery phase for developing Maturity Model"/>
    <m/>
    <m/>
    <m/>
    <s v="In"/>
    <x v="0"/>
    <m/>
    <n v="1.5"/>
    <n v="2.5"/>
    <n v="1"/>
    <m/>
    <n v="1.5"/>
    <m/>
    <n v="2.5"/>
    <m/>
    <n v="2"/>
    <m/>
  </r>
  <r>
    <x v="1"/>
    <x v="0"/>
    <x v="1"/>
    <x v="6"/>
    <s v="Ramp Up"/>
    <m/>
    <m/>
    <m/>
    <s v="In"/>
    <x v="0"/>
    <s v="RAMP UP"/>
    <n v="2"/>
    <n v="4"/>
    <n v="1"/>
    <n v="2"/>
    <n v="2"/>
    <n v="3"/>
    <n v="4"/>
    <m/>
    <n v="3"/>
    <m/>
  </r>
  <r>
    <x v="1"/>
    <x v="0"/>
    <x v="1"/>
    <x v="6"/>
    <s v="Prepare questionnaire"/>
    <m/>
    <m/>
    <m/>
    <s v="In"/>
    <x v="0"/>
    <s v="STAKEHOLDER INTERVIEWS - PREPARE"/>
    <n v="1.125"/>
    <n v="2.25"/>
    <n v="1"/>
    <n v="2"/>
    <n v="1.125"/>
    <n v="3"/>
    <n v="2.25"/>
    <m/>
    <n v="1.7"/>
    <m/>
  </r>
  <r>
    <x v="1"/>
    <x v="0"/>
    <x v="1"/>
    <x v="6"/>
    <s v="Consolidate Requirements from discovery phase for developing Maturity Model"/>
    <m/>
    <m/>
    <m/>
    <s v="In"/>
    <x v="0"/>
    <m/>
    <n v="1.5"/>
    <n v="2.5"/>
    <n v="1"/>
    <m/>
    <n v="1.5"/>
    <m/>
    <n v="2.5"/>
    <m/>
    <n v="2"/>
    <m/>
  </r>
  <r>
    <x v="1"/>
    <x v="2"/>
    <x v="0"/>
    <x v="0"/>
    <m/>
    <m/>
    <m/>
    <m/>
    <m/>
    <x v="0"/>
    <m/>
    <m/>
    <m/>
    <m/>
    <m/>
    <m/>
    <m/>
    <m/>
    <m/>
    <m/>
    <m/>
  </r>
  <r>
    <x v="1"/>
    <x v="0"/>
    <x v="1"/>
    <x v="1"/>
    <s v="Prepare questionnaire"/>
    <m/>
    <m/>
    <m/>
    <s v="In"/>
    <x v="0"/>
    <s v="STAKEHOLDER INTERVIEWS - PREPARE"/>
    <n v="1.125"/>
    <n v="2.25"/>
    <n v="1"/>
    <n v="2"/>
    <n v="1.125"/>
    <n v="3"/>
    <n v="2.25"/>
    <m/>
    <n v="1.7"/>
    <m/>
  </r>
  <r>
    <x v="1"/>
    <x v="0"/>
    <x v="1"/>
    <x v="1"/>
    <s v="Interviews with Technology Group"/>
    <m/>
    <m/>
    <m/>
    <s v="In"/>
    <x v="0"/>
    <s v="STAKEHOLDER INTERVIEWS - CONDUCT"/>
    <n v="0.45"/>
    <n v="0.55000000000000004"/>
    <n v="6"/>
    <n v="0.5"/>
    <n v="2.7"/>
    <n v="0.5"/>
    <n v="3.3000000000000003"/>
    <m/>
    <n v="3"/>
    <s v="Assuming 6 Interviews"/>
  </r>
  <r>
    <x v="1"/>
    <x v="0"/>
    <x v="1"/>
    <x v="1"/>
    <s v="Consolidate Requirements from discovery phase for developing Maturity Model"/>
    <m/>
    <m/>
    <m/>
    <s v="In"/>
    <x v="0"/>
    <m/>
    <n v="1.5"/>
    <n v="2.5"/>
    <n v="1"/>
    <m/>
    <n v="1.5"/>
    <m/>
    <n v="2.5"/>
    <m/>
    <n v="2"/>
    <m/>
  </r>
  <r>
    <x v="1"/>
    <x v="0"/>
    <x v="1"/>
    <x v="2"/>
    <s v="Coordinating Discovery phase to come up with proposed org design, operating Model"/>
    <m/>
    <m/>
    <m/>
    <s v="In"/>
    <x v="0"/>
    <m/>
    <n v="1"/>
    <n v="2"/>
    <n v="1"/>
    <m/>
    <n v="1"/>
    <m/>
    <n v="2"/>
    <m/>
    <n v="1.5"/>
    <m/>
  </r>
  <r>
    <x v="1"/>
    <x v="0"/>
    <x v="1"/>
    <x v="3"/>
    <s v="Prepare questionnaire"/>
    <m/>
    <m/>
    <m/>
    <s v="In"/>
    <x v="0"/>
    <s v="STAKEHOLDER INTERVIEWS - PREPARE"/>
    <n v="1.125"/>
    <n v="2.25"/>
    <n v="1"/>
    <n v="2"/>
    <n v="1.125"/>
    <n v="3"/>
    <n v="2.25"/>
    <m/>
    <n v="1.7"/>
    <m/>
  </r>
  <r>
    <x v="1"/>
    <x v="0"/>
    <x v="1"/>
    <x v="3"/>
    <s v="Consolidate Requirements from discovery phase for developing Maturity Model"/>
    <m/>
    <m/>
    <m/>
    <s v="In"/>
    <x v="0"/>
    <m/>
    <n v="1.5"/>
    <n v="2.5"/>
    <n v="1"/>
    <m/>
    <n v="1.5"/>
    <m/>
    <n v="2.5"/>
    <m/>
    <n v="2"/>
    <m/>
  </r>
  <r>
    <x v="1"/>
    <x v="0"/>
    <x v="1"/>
    <x v="4"/>
    <s v="Prepare questionnaire"/>
    <m/>
    <m/>
    <m/>
    <s v="In"/>
    <x v="0"/>
    <s v="STAKEHOLDER INTERVIEWS - PREPARE"/>
    <n v="1.125"/>
    <n v="2.25"/>
    <n v="1"/>
    <n v="2"/>
    <n v="1.125"/>
    <n v="3"/>
    <n v="2.25"/>
    <m/>
    <n v="1.7"/>
    <m/>
  </r>
  <r>
    <x v="1"/>
    <x v="0"/>
    <x v="1"/>
    <x v="4"/>
    <s v="Consolidate Requirements from discovery phase for developing Maturity Model"/>
    <m/>
    <m/>
    <m/>
    <s v="In"/>
    <x v="0"/>
    <m/>
    <n v="1.5"/>
    <n v="2.5"/>
    <n v="1"/>
    <m/>
    <n v="1.5"/>
    <m/>
    <n v="2.5"/>
    <m/>
    <n v="2"/>
    <m/>
  </r>
  <r>
    <x v="1"/>
    <x v="0"/>
    <x v="1"/>
    <x v="5"/>
    <s v="Prepare questionnaire"/>
    <m/>
    <m/>
    <m/>
    <s v="In"/>
    <x v="0"/>
    <s v="STAKEHOLDER INTERVIEWS - PREPARE"/>
    <n v="1.125"/>
    <n v="2.25"/>
    <n v="1"/>
    <n v="2"/>
    <n v="1.125"/>
    <n v="3"/>
    <n v="2.25"/>
    <m/>
    <n v="1.7"/>
    <m/>
  </r>
  <r>
    <x v="1"/>
    <x v="0"/>
    <x v="1"/>
    <x v="5"/>
    <s v="Consolidate Requirements from discovery phase for developing Maturity Model"/>
    <m/>
    <m/>
    <m/>
    <s v="In"/>
    <x v="0"/>
    <m/>
    <n v="1.5"/>
    <n v="2.5"/>
    <n v="1"/>
    <m/>
    <n v="1.5"/>
    <m/>
    <n v="2.5"/>
    <m/>
    <n v="2"/>
    <m/>
  </r>
  <r>
    <x v="1"/>
    <x v="0"/>
    <x v="1"/>
    <x v="6"/>
    <s v="Prepare questionnaire"/>
    <m/>
    <m/>
    <m/>
    <s v="In"/>
    <x v="0"/>
    <s v="STAKEHOLDER INTERVIEWS - PREPARE"/>
    <n v="1.125"/>
    <n v="2.25"/>
    <n v="1"/>
    <n v="2"/>
    <n v="1.125"/>
    <n v="3"/>
    <n v="2.25"/>
    <m/>
    <n v="1.7"/>
    <m/>
  </r>
  <r>
    <x v="1"/>
    <x v="0"/>
    <x v="1"/>
    <x v="6"/>
    <s v="Consolidate Requirements from discovery phase for developing Maturity Model"/>
    <m/>
    <m/>
    <m/>
    <s v="In"/>
    <x v="0"/>
    <m/>
    <n v="1.5"/>
    <n v="2.5"/>
    <n v="1"/>
    <m/>
    <n v="1.5"/>
    <m/>
    <n v="2.5"/>
    <m/>
    <n v="2"/>
    <m/>
  </r>
  <r>
    <x v="1"/>
    <x v="0"/>
    <x v="1"/>
    <x v="7"/>
    <s v="Prepare questionnaire"/>
    <m/>
    <m/>
    <m/>
    <s v="In"/>
    <x v="0"/>
    <s v="STAKEHOLDER INTERVIEWS - PREPARE"/>
    <n v="1.125"/>
    <n v="2.25"/>
    <n v="1"/>
    <n v="2"/>
    <n v="1.125"/>
    <n v="3"/>
    <n v="2.25"/>
    <m/>
    <n v="1.7"/>
    <m/>
  </r>
  <r>
    <x v="1"/>
    <x v="0"/>
    <x v="1"/>
    <x v="7"/>
    <s v="Consolidate Requirements from discovery phase for developing Maturity Model"/>
    <m/>
    <m/>
    <m/>
    <s v="In"/>
    <x v="0"/>
    <m/>
    <n v="1.5"/>
    <n v="2.5"/>
    <n v="1"/>
    <m/>
    <n v="1.5"/>
    <m/>
    <n v="2.5"/>
    <m/>
    <n v="2"/>
    <m/>
  </r>
  <r>
    <x v="1"/>
    <x v="3"/>
    <x v="0"/>
    <x v="0"/>
    <m/>
    <m/>
    <m/>
    <m/>
    <m/>
    <x v="0"/>
    <m/>
    <m/>
    <m/>
    <m/>
    <m/>
    <m/>
    <m/>
    <m/>
    <m/>
    <m/>
    <m/>
  </r>
  <r>
    <x v="1"/>
    <x v="0"/>
    <x v="2"/>
    <x v="1"/>
    <s v="Define CMS Maturity model based on the interview findings"/>
    <m/>
    <m/>
    <m/>
    <s v="In"/>
    <x v="0"/>
    <m/>
    <n v="3"/>
    <n v="4"/>
    <n v="1"/>
    <m/>
    <n v="3"/>
    <m/>
    <n v="4"/>
    <m/>
    <n v="3.5"/>
    <m/>
  </r>
  <r>
    <x v="1"/>
    <x v="0"/>
    <x v="2"/>
    <x v="1"/>
    <s v="Review CMS Maturity model &amp; incorporate feedback"/>
    <m/>
    <m/>
    <m/>
    <s v="In"/>
    <x v="0"/>
    <m/>
    <n v="1"/>
    <n v="2"/>
    <n v="1"/>
    <m/>
    <n v="1"/>
    <m/>
    <n v="2"/>
    <m/>
    <n v="1.5"/>
    <m/>
  </r>
  <r>
    <x v="1"/>
    <x v="0"/>
    <x v="2"/>
    <x v="2"/>
    <s v="Define Maturity model (org design, operating model, training maturity)"/>
    <m/>
    <m/>
    <m/>
    <s v="In"/>
    <x v="0"/>
    <m/>
    <n v="3"/>
    <n v="4"/>
    <n v="1"/>
    <m/>
    <n v="3"/>
    <m/>
    <n v="4"/>
    <m/>
    <n v="3.5"/>
    <m/>
  </r>
  <r>
    <x v="1"/>
    <x v="0"/>
    <x v="2"/>
    <x v="2"/>
    <s v="Review Maturity model &amp; incorporate feedback"/>
    <m/>
    <m/>
    <m/>
    <s v="In"/>
    <x v="0"/>
    <m/>
    <n v="1"/>
    <n v="2"/>
    <n v="1"/>
    <m/>
    <n v="1"/>
    <m/>
    <n v="2"/>
    <m/>
    <n v="1.5"/>
    <m/>
  </r>
  <r>
    <x v="1"/>
    <x v="4"/>
    <x v="0"/>
    <x v="0"/>
    <m/>
    <m/>
    <m/>
    <m/>
    <m/>
    <x v="0"/>
    <m/>
    <m/>
    <m/>
    <m/>
    <m/>
    <m/>
    <m/>
    <m/>
    <m/>
    <m/>
    <m/>
  </r>
  <r>
    <x v="1"/>
    <x v="0"/>
    <x v="3"/>
    <x v="1"/>
    <s v="Review Technical architecture documents"/>
    <s v="Solution architecture (Overall solution, CMS/CDA Integration, Mobile solution, Caching, Workflows, Translation, etc..)_x000a_Physical architecture (Infra structure details, Hosting, CDN, etc..)"/>
    <m/>
    <m/>
    <s v="In"/>
    <x v="0"/>
    <m/>
    <n v="2"/>
    <n v="3"/>
    <n v="1"/>
    <m/>
    <n v="2"/>
    <m/>
    <n v="3"/>
    <m/>
    <n v="2.5"/>
    <m/>
  </r>
  <r>
    <x v="1"/>
    <x v="0"/>
    <x v="3"/>
    <x v="1"/>
    <s v="Review Authoring experience to support global team"/>
    <m/>
    <m/>
    <m/>
    <s v="In"/>
    <x v="0"/>
    <m/>
    <n v="1"/>
    <n v="1.5"/>
    <n v="1"/>
    <m/>
    <n v="1"/>
    <m/>
    <n v="1.5"/>
    <m/>
    <n v="1.3"/>
    <m/>
  </r>
  <r>
    <x v="1"/>
    <x v="0"/>
    <x v="3"/>
    <x v="1"/>
    <s v="Review site structure and localization support"/>
    <m/>
    <m/>
    <m/>
    <s v="In"/>
    <x v="0"/>
    <m/>
    <n v="1"/>
    <n v="1.5"/>
    <n v="1"/>
    <m/>
    <n v="1"/>
    <m/>
    <n v="1.5"/>
    <m/>
    <n v="1.3"/>
    <m/>
  </r>
  <r>
    <x v="1"/>
    <x v="0"/>
    <x v="3"/>
    <x v="1"/>
    <s v="Review content storage &amp; Rollback approach"/>
    <m/>
    <m/>
    <m/>
    <s v="In"/>
    <x v="0"/>
    <m/>
    <n v="0.5"/>
    <n v="1"/>
    <n v="1"/>
    <m/>
    <n v="0.5"/>
    <m/>
    <n v="1"/>
    <m/>
    <n v="0.8"/>
    <m/>
  </r>
  <r>
    <x v="1"/>
    <x v="0"/>
    <x v="3"/>
    <x v="1"/>
    <s v="Review and capture approach for Multi channel support"/>
    <s v="Responsieve Site Support - Mobile &amp; tablet"/>
    <m/>
    <m/>
    <s v="In"/>
    <x v="0"/>
    <m/>
    <n v="0.5"/>
    <n v="1"/>
    <n v="1"/>
    <m/>
    <n v="0.5"/>
    <m/>
    <n v="1"/>
    <m/>
    <n v="0.8"/>
    <m/>
  </r>
  <r>
    <x v="1"/>
    <x v="0"/>
    <x v="3"/>
    <x v="1"/>
    <s v="Review existing Publishing model &amp; Governance"/>
    <m/>
    <m/>
    <m/>
    <s v="In"/>
    <x v="0"/>
    <m/>
    <n v="1.5"/>
    <n v="2.5"/>
    <n v="1"/>
    <m/>
    <n v="1.5"/>
    <m/>
    <n v="2.5"/>
    <m/>
    <n v="2"/>
    <m/>
  </r>
  <r>
    <x v="1"/>
    <x v="0"/>
    <x v="3"/>
    <x v="1"/>
    <s v="Review content Distribution approach "/>
    <s v="3rd party portals, mobile applications, APIs as well as digital assistant interfaces"/>
    <m/>
    <m/>
    <s v="In"/>
    <x v="0"/>
    <m/>
    <n v="1"/>
    <n v="1.5"/>
    <n v="1"/>
    <m/>
    <n v="1"/>
    <m/>
    <n v="1.5"/>
    <m/>
    <n v="1.3"/>
    <m/>
  </r>
  <r>
    <x v="1"/>
    <x v="0"/>
    <x v="3"/>
    <x v="1"/>
    <s v="Review approach for Digital Factsheet, Interactieve charting &amp; fund/performance comparison"/>
    <m/>
    <m/>
    <m/>
    <s v="In"/>
    <x v="0"/>
    <m/>
    <n v="1.5"/>
    <n v="2"/>
    <n v="1"/>
    <m/>
    <n v="1.5"/>
    <m/>
    <n v="2"/>
    <m/>
    <n v="1.8"/>
    <m/>
  </r>
  <r>
    <x v="1"/>
    <x v="0"/>
    <x v="3"/>
    <x v="1"/>
    <s v="Review Personalization &amp; content targeting approach"/>
    <s v="Marketo’s rules engine integration"/>
    <m/>
    <m/>
    <s v="In"/>
    <x v="0"/>
    <m/>
    <n v="1.5"/>
    <n v="2"/>
    <n v="1"/>
    <m/>
    <n v="1.5"/>
    <m/>
    <n v="2"/>
    <m/>
    <n v="1.8"/>
    <m/>
  </r>
  <r>
    <x v="1"/>
    <x v="0"/>
    <x v="3"/>
    <x v="1"/>
    <s v="Review 3rd Party Integration approach"/>
    <s v="PIM, DAM, SEO, Analytics,  etc.."/>
    <m/>
    <m/>
    <s v="In"/>
    <x v="0"/>
    <m/>
    <n v="1"/>
    <n v="1.5"/>
    <n v="1"/>
    <m/>
    <n v="1"/>
    <m/>
    <n v="1.5"/>
    <m/>
    <n v="1.3"/>
    <m/>
  </r>
  <r>
    <x v="1"/>
    <x v="0"/>
    <x v="3"/>
    <x v="1"/>
    <s v="Review approach to support DAM "/>
    <s v="Mediabin or any other DAM tool integration"/>
    <m/>
    <m/>
    <s v="In"/>
    <x v="0"/>
    <m/>
    <n v="1"/>
    <n v="1.5"/>
    <n v="1"/>
    <m/>
    <n v="1"/>
    <m/>
    <n v="1.5"/>
    <m/>
    <n v="1.3"/>
    <m/>
  </r>
  <r>
    <x v="1"/>
    <x v="0"/>
    <x v="3"/>
    <x v="1"/>
    <s v="Review Non Functional requirement"/>
    <s v="High availability, scalability, Page response time, Backups,etc.."/>
    <m/>
    <m/>
    <s v="In"/>
    <x v="0"/>
    <m/>
    <n v="1"/>
    <n v="1.5"/>
    <n v="1"/>
    <m/>
    <n v="1"/>
    <m/>
    <n v="1.5"/>
    <m/>
    <n v="1.3"/>
    <m/>
  </r>
  <r>
    <x v="1"/>
    <x v="0"/>
    <x v="3"/>
    <x v="1"/>
    <s v="Review approach to support compliance needs"/>
    <s v="WCAG, PII storage"/>
    <m/>
    <m/>
    <s v="In"/>
    <x v="0"/>
    <m/>
    <n v="0.5"/>
    <n v="1"/>
    <n v="1"/>
    <m/>
    <n v="0.5"/>
    <m/>
    <n v="1"/>
    <m/>
    <n v="0.8"/>
    <m/>
  </r>
  <r>
    <x v="1"/>
    <x v="0"/>
    <x v="3"/>
    <x v="1"/>
    <s v="Review IDOL configuration and setup"/>
    <m/>
    <m/>
    <m/>
    <s v="In"/>
    <x v="0"/>
    <m/>
    <n v="1"/>
    <n v="1.5"/>
    <n v="1"/>
    <m/>
    <n v="1"/>
    <m/>
    <n v="1.5"/>
    <m/>
    <n v="1.3"/>
    <m/>
  </r>
  <r>
    <x v="1"/>
    <x v="0"/>
    <x v="3"/>
    <x v="1"/>
    <s v="Review Workflows"/>
    <m/>
    <m/>
    <m/>
    <s v="In"/>
    <x v="0"/>
    <m/>
    <n v="1"/>
    <n v="1.5"/>
    <n v="1"/>
    <m/>
    <n v="1"/>
    <m/>
    <n v="1.5"/>
    <m/>
    <n v="1.3"/>
    <m/>
  </r>
  <r>
    <x v="1"/>
    <x v="0"/>
    <x v="3"/>
    <x v="1"/>
    <s v="Review 4 templates and 2 different layout "/>
    <m/>
    <m/>
    <m/>
    <s v="In"/>
    <x v="0"/>
    <m/>
    <n v="0.25"/>
    <n v="0.5"/>
    <n v="6"/>
    <m/>
    <n v="1.5"/>
    <m/>
    <n v="3"/>
    <m/>
    <n v="2.2999999999999998"/>
    <m/>
  </r>
  <r>
    <x v="1"/>
    <x v="0"/>
    <x v="3"/>
    <x v="1"/>
    <s v="Review 2 High complexity existing components "/>
    <s v="Technical design &amp; code will be reviewed to identify Content Model, Authoring Experience, Componentization, CMS development best practice followed as per CMS maturity model"/>
    <m/>
    <m/>
    <s v="In"/>
    <x v="0"/>
    <m/>
    <n v="1"/>
    <n v="1.5"/>
    <n v="2"/>
    <m/>
    <n v="2"/>
    <m/>
    <n v="3"/>
    <m/>
    <n v="2.5"/>
    <m/>
  </r>
  <r>
    <x v="1"/>
    <x v="0"/>
    <x v="3"/>
    <x v="1"/>
    <s v="Review 2 Medium complexity existing components"/>
    <s v="Technical design &amp; code will be reviewed to identify Content Model, Authoring Experience, Componentization, CMS development best practice followed as per CMS maturity model"/>
    <m/>
    <m/>
    <s v="In"/>
    <x v="0"/>
    <m/>
    <n v="0.5"/>
    <n v="0.75"/>
    <n v="2"/>
    <m/>
    <n v="1"/>
    <m/>
    <n v="1.5"/>
    <m/>
    <n v="1.3"/>
    <m/>
  </r>
  <r>
    <x v="1"/>
    <x v="0"/>
    <x v="3"/>
    <x v="1"/>
    <s v="Review 3 global components ( Like Header, Footer and Hero) "/>
    <s v="Technical design &amp; code will be reviewed to identify Content Model, Authoring Experience, Componentization, CMS development best practice followed  as per CMS maturity model"/>
    <m/>
    <m/>
    <s v="In"/>
    <x v="0"/>
    <m/>
    <n v="1"/>
    <n v="2"/>
    <n v="3"/>
    <m/>
    <n v="3"/>
    <m/>
    <n v="6"/>
    <m/>
    <n v="4.5"/>
    <m/>
  </r>
  <r>
    <x v="1"/>
    <x v="5"/>
    <x v="0"/>
    <x v="0"/>
    <m/>
    <m/>
    <m/>
    <m/>
    <m/>
    <x v="0"/>
    <m/>
    <m/>
    <m/>
    <m/>
    <m/>
    <m/>
    <m/>
    <m/>
    <m/>
    <m/>
    <m/>
  </r>
  <r>
    <x v="1"/>
    <x v="0"/>
    <x v="3"/>
    <x v="1"/>
    <s v="Create a script to identify if pages are created following CMS best practice"/>
    <m/>
    <m/>
    <m/>
    <s v="In"/>
    <x v="0"/>
    <m/>
    <n v="2"/>
    <n v="3"/>
    <n v="1"/>
    <m/>
    <n v="2"/>
    <m/>
    <n v="3"/>
    <m/>
    <n v="2.5"/>
    <m/>
  </r>
  <r>
    <x v="1"/>
    <x v="0"/>
    <x v="3"/>
    <x v="1"/>
    <s v="Review United Kingdom site"/>
    <m/>
    <m/>
    <m/>
    <s v="In"/>
    <x v="0"/>
    <s v="Review sites on Teamsite 8.2"/>
    <n v="3.25"/>
    <n v="5.5"/>
    <n v="1"/>
    <n v="3.25"/>
    <n v="3.25"/>
    <n v="5.5"/>
    <n v="5.5"/>
    <m/>
    <n v="4.4000000000000004"/>
    <m/>
  </r>
  <r>
    <x v="1"/>
    <x v="0"/>
    <x v="3"/>
    <x v="1"/>
    <s v="Review Australian site"/>
    <m/>
    <m/>
    <m/>
    <s v="In"/>
    <x v="0"/>
    <s v="Review sites on Teamsite 8.2"/>
    <n v="3.25"/>
    <n v="5.5"/>
    <n v="1"/>
    <n v="3.25"/>
    <n v="3.25"/>
    <n v="5.5"/>
    <n v="5.5"/>
    <m/>
    <n v="4.4000000000000004"/>
    <m/>
  </r>
  <r>
    <x v="1"/>
    <x v="0"/>
    <x v="3"/>
    <x v="1"/>
    <s v="Review 22 central Europe site"/>
    <m/>
    <m/>
    <m/>
    <s v="In"/>
    <x v="0"/>
    <s v="Review sites on non Teamsite 8.2"/>
    <n v="13.5"/>
    <n v="20"/>
    <n v="1"/>
    <n v="13.5"/>
    <n v="13.5"/>
    <n v="20"/>
    <n v="20"/>
    <m/>
    <n v="16.8"/>
    <m/>
  </r>
  <r>
    <x v="1"/>
    <x v="0"/>
    <x v="3"/>
    <x v="1"/>
    <s v="Review Japan PI and Intermediary business websites"/>
    <m/>
    <m/>
    <m/>
    <s v="In"/>
    <x v="0"/>
    <s v="Review sites on non Teamsite 8.2"/>
    <n v="13.5"/>
    <n v="20"/>
    <n v="1"/>
    <n v="13.5"/>
    <n v="13.5"/>
    <n v="20"/>
    <n v="20"/>
    <m/>
    <n v="16.8"/>
    <m/>
  </r>
  <r>
    <x v="1"/>
    <x v="0"/>
    <x v="3"/>
    <x v="1"/>
    <s v="Review Global institutional website "/>
    <m/>
    <m/>
    <m/>
    <s v="In"/>
    <x v="0"/>
    <s v="Review sites on non Teamsite 8.2"/>
    <n v="13.5"/>
    <n v="20"/>
    <n v="1"/>
    <n v="13.5"/>
    <n v="13.5"/>
    <n v="20"/>
    <n v="20"/>
    <m/>
    <n v="16.8"/>
    <m/>
  </r>
  <r>
    <x v="1"/>
    <x v="6"/>
    <x v="0"/>
    <x v="0"/>
    <m/>
    <m/>
    <m/>
    <m/>
    <m/>
    <x v="0"/>
    <m/>
    <m/>
    <m/>
    <m/>
    <m/>
    <m/>
    <m/>
    <m/>
    <m/>
    <m/>
    <m/>
  </r>
  <r>
    <x v="1"/>
    <x v="0"/>
    <x v="4"/>
    <x v="1"/>
    <s v="Map current state of CMS platform against attribute of CMS maturity model"/>
    <m/>
    <m/>
    <m/>
    <s v="In"/>
    <x v="0"/>
    <m/>
    <n v="3"/>
    <n v="5"/>
    <n v="1"/>
    <m/>
    <n v="3"/>
    <m/>
    <n v="5"/>
    <m/>
    <n v="4"/>
    <m/>
  </r>
  <r>
    <x v="1"/>
    <x v="0"/>
    <x v="4"/>
    <x v="1"/>
    <s v="Map current state of scoped sites  against attribute of CMS maturity model"/>
    <m/>
    <m/>
    <m/>
    <s v="In"/>
    <x v="0"/>
    <m/>
    <n v="2"/>
    <n v="3"/>
    <n v="1"/>
    <s v=" "/>
    <n v="2"/>
    <m/>
    <n v="3"/>
    <m/>
    <n v="2.5"/>
    <m/>
  </r>
  <r>
    <x v="1"/>
    <x v="0"/>
    <x v="4"/>
    <x v="1"/>
    <s v="Provide recommendations and options on applicable areas to achieve high degree of maturity for CMS Platform"/>
    <m/>
    <m/>
    <m/>
    <s v="In"/>
    <x v="0"/>
    <m/>
    <n v="2"/>
    <n v="3"/>
    <n v="1"/>
    <m/>
    <n v="2"/>
    <m/>
    <n v="3"/>
    <m/>
    <n v="2.5"/>
    <m/>
  </r>
  <r>
    <x v="1"/>
    <x v="0"/>
    <x v="4"/>
    <x v="1"/>
    <s v="Provide recommendations and options on applicable areas to achieve high degree of maturity for individual sites"/>
    <m/>
    <m/>
    <m/>
    <s v="In"/>
    <x v="0"/>
    <m/>
    <n v="1"/>
    <n v="1.5"/>
    <n v="6"/>
    <m/>
    <n v="6"/>
    <m/>
    <n v="9"/>
    <m/>
    <n v="7.5"/>
    <m/>
  </r>
  <r>
    <x v="1"/>
    <x v="0"/>
    <x v="4"/>
    <x v="1"/>
    <s v="Session to walthough of current state and recommendation"/>
    <m/>
    <m/>
    <m/>
    <s v="In"/>
    <x v="0"/>
    <m/>
    <n v="1"/>
    <n v="1"/>
    <n v="1"/>
    <m/>
    <n v="1"/>
    <m/>
    <n v="1"/>
    <m/>
    <n v="1"/>
    <m/>
  </r>
  <r>
    <x v="1"/>
    <x v="7"/>
    <x v="0"/>
    <x v="0"/>
    <m/>
    <m/>
    <m/>
    <m/>
    <m/>
    <x v="0"/>
    <m/>
    <m/>
    <m/>
    <m/>
    <m/>
    <m/>
    <m/>
    <m/>
    <m/>
    <m/>
    <m/>
  </r>
  <r>
    <x v="1"/>
    <x v="0"/>
    <x v="3"/>
    <x v="7"/>
    <s v="Review Physical Architecture"/>
    <m/>
    <m/>
    <m/>
    <s v="In"/>
    <x v="0"/>
    <m/>
    <n v="1"/>
    <n v="2"/>
    <n v="6"/>
    <m/>
    <n v="6"/>
    <m/>
    <n v="12"/>
    <m/>
    <n v="9"/>
    <m/>
  </r>
  <r>
    <x v="1"/>
    <x v="0"/>
    <x v="3"/>
    <x v="7"/>
    <s v="Review Build &amp; Release process"/>
    <s v="CI Integration"/>
    <m/>
    <m/>
    <s v="In"/>
    <x v="0"/>
    <m/>
    <n v="1"/>
    <n v="2"/>
    <n v="6"/>
    <s v=" "/>
    <n v="6"/>
    <m/>
    <n v="12"/>
    <m/>
    <n v="9"/>
    <m/>
  </r>
  <r>
    <x v="1"/>
    <x v="0"/>
    <x v="4"/>
    <x v="7"/>
    <s v="Provide recommendations and options on applicable areas to achieve high degree of maturity"/>
    <m/>
    <m/>
    <m/>
    <s v="In"/>
    <x v="0"/>
    <m/>
    <n v="1.5"/>
    <n v="2"/>
    <n v="1"/>
    <m/>
    <n v="1.5"/>
    <m/>
    <n v="2"/>
    <m/>
    <n v="1.8"/>
    <m/>
  </r>
  <r>
    <x v="1"/>
    <x v="8"/>
    <x v="0"/>
    <x v="0"/>
    <m/>
    <m/>
    <m/>
    <m/>
    <m/>
    <x v="0"/>
    <m/>
    <m/>
    <m/>
    <m/>
    <m/>
    <m/>
    <m/>
    <m/>
    <m/>
    <m/>
    <m/>
  </r>
  <r>
    <x v="1"/>
    <x v="0"/>
    <x v="3"/>
    <x v="3"/>
    <s v="Review QA Strategy document"/>
    <m/>
    <m/>
    <m/>
    <s v="In"/>
    <x v="0"/>
    <m/>
    <n v="1"/>
    <n v="2"/>
    <n v="6"/>
    <m/>
    <n v="6"/>
    <m/>
    <n v="12"/>
    <m/>
    <n v="9"/>
    <m/>
  </r>
  <r>
    <x v="1"/>
    <x v="0"/>
    <x v="3"/>
    <x v="3"/>
    <s v="Review QA Process (Functionl, Creative)"/>
    <m/>
    <m/>
    <m/>
    <s v="In"/>
    <x v="0"/>
    <m/>
    <n v="0.5"/>
    <n v="1"/>
    <n v="6"/>
    <s v=" "/>
    <n v="3"/>
    <m/>
    <n v="6"/>
    <m/>
    <n v="4.5"/>
    <m/>
  </r>
  <r>
    <x v="1"/>
    <x v="0"/>
    <x v="4"/>
    <x v="3"/>
    <s v="Provide recommendations and options on applicable areas to achieve high degree of maturity"/>
    <m/>
    <m/>
    <m/>
    <s v="In"/>
    <x v="0"/>
    <m/>
    <n v="1.5"/>
    <n v="2"/>
    <n v="1"/>
    <m/>
    <n v="1.5"/>
    <m/>
    <n v="2"/>
    <m/>
    <n v="1.8"/>
    <m/>
  </r>
  <r>
    <x v="1"/>
    <x v="9"/>
    <x v="0"/>
    <x v="0"/>
    <m/>
    <m/>
    <m/>
    <m/>
    <m/>
    <x v="0"/>
    <m/>
    <m/>
    <m/>
    <m/>
    <m/>
    <m/>
    <m/>
    <m/>
    <m/>
    <m/>
    <m/>
  </r>
  <r>
    <x v="1"/>
    <x v="0"/>
    <x v="3"/>
    <x v="4"/>
    <s v="Review Framework used for front end development"/>
    <s v="HTML5 adoption, JS Framework, CSS preprocessor, CSS Responsive framework "/>
    <m/>
    <m/>
    <s v="In"/>
    <x v="0"/>
    <m/>
    <n v="1"/>
    <n v="2"/>
    <n v="6"/>
    <m/>
    <n v="6"/>
    <m/>
    <n v="12"/>
    <m/>
    <n v="9"/>
    <m/>
  </r>
  <r>
    <x v="1"/>
    <x v="0"/>
    <x v="3"/>
    <x v="4"/>
    <s v="Review couple of high complexity frontend component code to identify best practice followed"/>
    <s v="Componentization, Responsieveness, Compliance, Browser Support, etc"/>
    <m/>
    <m/>
    <s v="In"/>
    <x v="0"/>
    <m/>
    <n v="1.5"/>
    <n v="2"/>
    <n v="2"/>
    <s v=" "/>
    <n v="3"/>
    <m/>
    <n v="4"/>
    <m/>
    <n v="3.5"/>
    <m/>
  </r>
  <r>
    <x v="1"/>
    <x v="0"/>
    <x v="3"/>
    <x v="4"/>
    <s v="Review couple of Medium complexity frontend component code to identify best practice followed"/>
    <s v="Componentization, Responsieveness, Compliance, Browser Support etc"/>
    <m/>
    <m/>
    <s v="In"/>
    <x v="0"/>
    <m/>
    <n v="1"/>
    <n v="1.5"/>
    <n v="2"/>
    <s v=" "/>
    <n v="2"/>
    <m/>
    <n v="3"/>
    <m/>
    <n v="2.5"/>
    <m/>
  </r>
  <r>
    <x v="1"/>
    <x v="0"/>
    <x v="3"/>
    <x v="4"/>
    <s v="Review Analytics &amp; SEO implementation approach"/>
    <m/>
    <m/>
    <m/>
    <s v="In"/>
    <x v="0"/>
    <m/>
    <n v="1"/>
    <n v="1.5"/>
    <n v="2"/>
    <s v=" "/>
    <n v="2"/>
    <m/>
    <n v="3"/>
    <m/>
    <n v="2.5"/>
    <m/>
  </r>
  <r>
    <x v="1"/>
    <x v="0"/>
    <x v="4"/>
    <x v="4"/>
    <s v="Provide recommendations and options on applicable areas to achieve high degree of maturity"/>
    <m/>
    <m/>
    <m/>
    <s v="In"/>
    <x v="0"/>
    <m/>
    <n v="2"/>
    <n v="2.5"/>
    <n v="1"/>
    <m/>
    <n v="2"/>
    <m/>
    <n v="2.5"/>
    <m/>
    <n v="2.2999999999999998"/>
    <m/>
  </r>
  <r>
    <x v="1"/>
    <x v="10"/>
    <x v="0"/>
    <x v="0"/>
    <m/>
    <m/>
    <m/>
    <m/>
    <m/>
    <x v="0"/>
    <m/>
    <m/>
    <m/>
    <m/>
    <m/>
    <m/>
    <m/>
    <m/>
    <m/>
    <m/>
    <m/>
  </r>
  <r>
    <x v="1"/>
    <x v="0"/>
    <x v="3"/>
    <x v="5"/>
    <s v="Run sites against SEO scan tools like Power Mapper and review the result"/>
    <m/>
    <m/>
    <m/>
    <s v="In"/>
    <x v="0"/>
    <m/>
    <n v="0.5"/>
    <n v="0.75"/>
    <n v="6"/>
    <m/>
    <n v="3"/>
    <m/>
    <n v="4.5"/>
    <m/>
    <n v="3.8"/>
    <m/>
  </r>
  <r>
    <x v="1"/>
    <x v="0"/>
    <x v="3"/>
    <x v="5"/>
    <s v="Review 10 sample pages from each site against SEO guidline to identify the gap - Manual"/>
    <m/>
    <m/>
    <m/>
    <s v="In"/>
    <x v="0"/>
    <m/>
    <n v="1"/>
    <n v="1.5"/>
    <n v="6"/>
    <s v=" "/>
    <n v="6"/>
    <m/>
    <n v="9"/>
    <m/>
    <n v="7.5"/>
    <m/>
  </r>
  <r>
    <x v="1"/>
    <x v="0"/>
    <x v="4"/>
    <x v="5"/>
    <s v="Provide recommendations and options on applicable areas to achieve high degree of maturity"/>
    <m/>
    <m/>
    <m/>
    <s v="In"/>
    <x v="0"/>
    <m/>
    <n v="1.5"/>
    <n v="2"/>
    <n v="1"/>
    <m/>
    <n v="1.5"/>
    <m/>
    <n v="2"/>
    <m/>
    <n v="1.8"/>
    <m/>
  </r>
  <r>
    <x v="1"/>
    <x v="11"/>
    <x v="0"/>
    <x v="0"/>
    <m/>
    <m/>
    <m/>
    <m/>
    <m/>
    <x v="0"/>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957" applyNumberFormats="0" applyBorderFormats="0" applyFontFormats="0" applyPatternFormats="0" applyAlignmentFormats="0" applyWidthHeightFormats="1" dataCaption="Values" updatedVersion="4" minRefreshableVersion="3" useAutoFormatting="1" itemPrintTitles="1" createdVersion="4" indent="0" compact="0" compactData="0" gridDropZones="1" multipleFieldFilters="0">
  <location ref="O9:Q24" firstHeaderRow="2" firstDataRow="2" firstDataCol="2" rowPageCount="3" colPageCount="1"/>
  <pivotFields count="21">
    <pivotField axis="axisRow" compact="0" outline="0" showAll="0" defaultSubtotal="0">
      <items count="5">
        <item x="1"/>
        <item m="1" x="3"/>
        <item m="1" x="4"/>
        <item m="1" x="2"/>
        <item x="0"/>
      </items>
    </pivotField>
    <pivotField axis="axisRow" compact="0" outline="0" showAll="0" defaultSubtotal="0">
      <items count="33">
        <item x="0"/>
        <item m="1" x="29"/>
        <item m="1" x="32"/>
        <item m="1" x="20"/>
        <item m="1" x="15"/>
        <item m="1" x="18"/>
        <item m="1" x="25"/>
        <item m="1" x="13"/>
        <item m="1" x="17"/>
        <item m="1" x="21"/>
        <item m="1" x="12"/>
        <item m="1" x="31"/>
        <item m="1" x="16"/>
        <item m="1" x="27"/>
        <item m="1" x="28"/>
        <item x="8"/>
        <item m="1" x="23"/>
        <item m="1" x="22"/>
        <item m="1" x="26"/>
        <item m="1" x="30"/>
        <item m="1" x="24"/>
        <item m="1" x="14"/>
        <item m="1" x="19"/>
        <item x="1"/>
        <item x="2"/>
        <item x="3"/>
        <item x="4"/>
        <item x="5"/>
        <item x="6"/>
        <item x="7"/>
        <item x="9"/>
        <item x="10"/>
        <item x="11"/>
      </items>
    </pivotField>
    <pivotField axis="axisPage" compact="0" outline="0" multipleItemSelectionAllowed="1" showAll="0" defaultSubtotal="0">
      <items count="7">
        <item x="0"/>
        <item m="1" x="6"/>
        <item x="1"/>
        <item x="2"/>
        <item x="3"/>
        <item x="4"/>
        <item m="1" x="5"/>
      </items>
    </pivotField>
    <pivotField axis="axisPage" compact="0" outline="0" multipleItemSelectionAllowed="1" showAll="0" defaultSubtotal="0">
      <items count="9">
        <item x="0"/>
        <item m="1" x="8"/>
        <item x="1"/>
        <item x="7"/>
        <item x="3"/>
        <item x="4"/>
        <item x="5"/>
        <item x="6"/>
        <item x="2"/>
      </items>
    </pivotField>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0"/>
        <item m="1"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dataField="1" compact="0" outline="0" showAll="0" defaultSubtotal="0"/>
    <pivotField compact="0" outline="0" showAll="0" defaultSubtotal="0"/>
  </pivotFields>
  <rowFields count="2">
    <field x="0"/>
    <field x="1"/>
  </rowFields>
  <rowItems count="14">
    <i>
      <x/>
      <x/>
    </i>
    <i r="1">
      <x v="15"/>
    </i>
    <i r="1">
      <x v="23"/>
    </i>
    <i r="1">
      <x v="24"/>
    </i>
    <i r="1">
      <x v="25"/>
    </i>
    <i r="1">
      <x v="26"/>
    </i>
    <i r="1">
      <x v="27"/>
    </i>
    <i r="1">
      <x v="28"/>
    </i>
    <i r="1">
      <x v="29"/>
    </i>
    <i r="1">
      <x v="30"/>
    </i>
    <i r="1">
      <x v="31"/>
    </i>
    <i r="1">
      <x v="32"/>
    </i>
    <i>
      <x v="4"/>
      <x/>
    </i>
    <i t="grand">
      <x/>
    </i>
  </rowItems>
  <colItems count="1">
    <i/>
  </colItems>
  <pageFields count="3">
    <pageField fld="3" hier="-1"/>
    <pageField fld="2" hier="-1"/>
    <pageField fld="9" hier="-1"/>
  </pageFields>
  <dataFields count="1">
    <dataField name="Sum of Buffered" fld="19" baseField="0" baseItem="1" numFmtId="2"/>
  </dataFields>
  <formats count="31">
    <format dxfId="530">
      <pivotArea type="all" dataOnly="0" outline="0" fieldPosition="0"/>
    </format>
    <format dxfId="529">
      <pivotArea type="all" dataOnly="0" outline="0" fieldPosition="0"/>
    </format>
    <format dxfId="528">
      <pivotArea outline="0" collapsedLevelsAreSubtotals="1" fieldPosition="0"/>
    </format>
    <format dxfId="527">
      <pivotArea dataOnly="0" labelOnly="1" grandRow="1" outline="0" fieldPosition="0"/>
    </format>
    <format dxfId="526">
      <pivotArea grandRow="1" outline="0" collapsedLevelsAreSubtotals="1" fieldPosition="0"/>
    </format>
    <format dxfId="525">
      <pivotArea dataOnly="0" labelOnly="1" grandRow="1" outline="0" fieldPosition="0"/>
    </format>
    <format dxfId="524">
      <pivotArea type="origin" dataOnly="0" labelOnly="1" outline="0" fieldPosition="0"/>
    </format>
    <format dxfId="523">
      <pivotArea type="topRight" dataOnly="0" labelOnly="1" outline="0" fieldPosition="0"/>
    </format>
    <format dxfId="522">
      <pivotArea outline="0" collapsedLevelsAreSubtotals="1" fieldPosition="0"/>
    </format>
    <format dxfId="521">
      <pivotArea type="topRight" dataOnly="0" labelOnly="1" outline="0" fieldPosition="0"/>
    </format>
    <format dxfId="520">
      <pivotArea field="2" type="button" dataOnly="0" labelOnly="1" outline="0" axis="axisPage" fieldPosition="1"/>
    </format>
    <format dxfId="519">
      <pivotArea field="3" type="button" dataOnly="0" labelOnly="1" outline="0" axis="axisPage" fieldPosition="0"/>
    </format>
    <format dxfId="518">
      <pivotArea type="origin" dataOnly="0" labelOnly="1" outline="0" offset="A1" fieldPosition="0"/>
    </format>
    <format dxfId="517">
      <pivotArea field="2" type="button" dataOnly="0" labelOnly="1" outline="0" axis="axisPage" fieldPosition="1"/>
    </format>
    <format dxfId="516">
      <pivotArea field="3" type="button" dataOnly="0" labelOnly="1" outline="0" axis="axisPage" fieldPosition="0"/>
    </format>
    <format dxfId="515">
      <pivotArea field="3" type="button" dataOnly="0" labelOnly="1" outline="0" axis="axisPage" fieldPosition="0"/>
    </format>
    <format dxfId="514">
      <pivotArea type="all" dataOnly="0" outline="0" fieldPosition="0"/>
    </format>
    <format dxfId="513">
      <pivotArea field="0" type="button" dataOnly="0" labelOnly="1" outline="0" axis="axisRow" fieldPosition="0"/>
    </format>
    <format dxfId="512">
      <pivotArea field="1" type="button" dataOnly="0" labelOnly="1" outline="0" axis="axisRow" fieldPosition="1"/>
    </format>
    <format dxfId="511">
      <pivotArea outline="0" collapsedLevelsAreSubtotals="1" fieldPosition="0">
        <references count="2">
          <reference field="0" count="0" selected="0"/>
          <reference field="1" count="0" selected="0"/>
        </references>
      </pivotArea>
    </format>
    <format dxfId="510">
      <pivotArea dataOnly="0" labelOnly="1" outline="0" fieldPosition="0">
        <references count="1">
          <reference field="0" count="0"/>
        </references>
      </pivotArea>
    </format>
    <format dxfId="509">
      <pivotArea dataOnly="0" labelOnly="1" outline="0" offset="IV256" fieldPosition="0">
        <references count="1">
          <reference field="0" count="1">
            <x v="0"/>
          </reference>
        </references>
      </pivotArea>
    </format>
    <format dxfId="508">
      <pivotArea dataOnly="0" labelOnly="1" grandRow="1" outline="0" offset="IV256" fieldPosition="0"/>
    </format>
    <format dxfId="507">
      <pivotArea dataOnly="0" labelOnly="1" outline="0" fieldPosition="0">
        <references count="1">
          <reference field="3" count="0"/>
        </references>
      </pivotArea>
    </format>
    <format dxfId="506">
      <pivotArea dataOnly="0" labelOnly="1" outline="0" fieldPosition="0">
        <references count="1">
          <reference field="2" count="0"/>
        </references>
      </pivotArea>
    </format>
    <format dxfId="505">
      <pivotArea dataOnly="0" labelOnly="1" outline="0" fieldPosition="0">
        <references count="1">
          <reference field="9" count="0"/>
        </references>
      </pivotArea>
    </format>
    <format dxfId="504">
      <pivotArea dataOnly="0" labelOnly="1" outline="0" fieldPosition="0">
        <references count="1">
          <reference field="3" count="0"/>
        </references>
      </pivotArea>
    </format>
    <format dxfId="503">
      <pivotArea dataOnly="0" labelOnly="1" outline="0" fieldPosition="0">
        <references count="1">
          <reference field="2" count="0"/>
        </references>
      </pivotArea>
    </format>
    <format dxfId="502">
      <pivotArea dataOnly="0" labelOnly="1" outline="0" fieldPosition="0">
        <references count="1">
          <reference field="9" count="0"/>
        </references>
      </pivotArea>
    </format>
    <format dxfId="501">
      <pivotArea field="2" type="button" dataOnly="0" labelOnly="1" outline="0" axis="axisPage" fieldPosition="1"/>
    </format>
    <format dxfId="500">
      <pivotArea field="9" type="button" dataOnly="0" labelOnly="1" outline="0" axis="axisPage" fieldPosition="2"/>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957" applyNumberFormats="0" applyBorderFormats="0" applyFontFormats="0" applyPatternFormats="0" applyAlignmentFormats="0" applyWidthHeightFormats="1" dataCaption="Values" updatedVersion="4" minRefreshableVersion="3" useAutoFormatting="1" itemPrintTitles="1" createdVersion="4" indent="0" compact="0" compactData="0" gridDropZones="1" multipleFieldFilters="0">
  <location ref="S7:Y17" firstHeaderRow="1" firstDataRow="2" firstDataCol="1" rowPageCount="1" colPageCount="1"/>
  <pivotFields count="21">
    <pivotField compact="0" outline="0" showAll="0" defaultSubtotal="0">
      <items count="5">
        <item sd="0" x="1"/>
        <item m="1" x="3"/>
        <item m="1" x="4"/>
        <item m="1" x="2"/>
        <item x="0"/>
      </items>
    </pivotField>
    <pivotField compact="0" outline="0" showAll="0" defaultSubtotal="0"/>
    <pivotField axis="axisCol" compact="0" outline="0" multipleItemSelectionAllowed="1" showAll="0" defaultSubtotal="0">
      <items count="7">
        <item x="0"/>
        <item m="1" x="6"/>
        <item x="1"/>
        <item x="2"/>
        <item x="3"/>
        <item x="4"/>
        <item m="1" x="5"/>
      </items>
    </pivotField>
    <pivotField axis="axisRow" compact="0" outline="0" multipleItemSelectionAllowed="1" showAll="0" defaultSubtotal="0">
      <items count="9">
        <item x="0"/>
        <item m="1" x="8"/>
        <item x="1"/>
        <item x="7"/>
        <item x="3"/>
        <item x="4"/>
        <item x="5"/>
        <item x="6"/>
        <item x="2"/>
      </items>
    </pivotField>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0"/>
        <item m="1"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dataField="1" compact="0" outline="0" showAll="0" defaultSubtotal="0"/>
    <pivotField compact="0" outline="0" showAll="0" defaultSubtotal="0"/>
  </pivotFields>
  <rowFields count="1">
    <field x="3"/>
  </rowFields>
  <rowItems count="9">
    <i>
      <x/>
    </i>
    <i>
      <x v="2"/>
    </i>
    <i>
      <x v="3"/>
    </i>
    <i>
      <x v="4"/>
    </i>
    <i>
      <x v="5"/>
    </i>
    <i>
      <x v="6"/>
    </i>
    <i>
      <x v="7"/>
    </i>
    <i>
      <x v="8"/>
    </i>
    <i t="grand">
      <x/>
    </i>
  </rowItems>
  <colFields count="1">
    <field x="2"/>
  </colFields>
  <colItems count="6">
    <i>
      <x/>
    </i>
    <i>
      <x v="2"/>
    </i>
    <i>
      <x v="3"/>
    </i>
    <i>
      <x v="4"/>
    </i>
    <i>
      <x v="5"/>
    </i>
    <i t="grand">
      <x/>
    </i>
  </colItems>
  <pageFields count="1">
    <pageField fld="9" hier="-1"/>
  </pageFields>
  <dataFields count="1">
    <dataField name="Sum of Buffered" fld="19" baseField="0" baseItem="1" numFmtId="2"/>
  </dataFields>
  <formats count="30">
    <format dxfId="560">
      <pivotArea type="all" dataOnly="0" outline="0" fieldPosition="0"/>
    </format>
    <format dxfId="559">
      <pivotArea type="all" dataOnly="0" outline="0" fieldPosition="0"/>
    </format>
    <format dxfId="558">
      <pivotArea outline="0" collapsedLevelsAreSubtotals="1" fieldPosition="0"/>
    </format>
    <format dxfId="557">
      <pivotArea dataOnly="0" labelOnly="1" grandRow="1" outline="0" fieldPosition="0"/>
    </format>
    <format dxfId="556">
      <pivotArea grandRow="1" outline="0" collapsedLevelsAreSubtotals="1" fieldPosition="0"/>
    </format>
    <format dxfId="555">
      <pivotArea dataOnly="0" labelOnly="1" grandRow="1" outline="0" fieldPosition="0"/>
    </format>
    <format dxfId="554">
      <pivotArea type="origin" dataOnly="0" labelOnly="1" outline="0" fieldPosition="0"/>
    </format>
    <format dxfId="553">
      <pivotArea type="topRight" dataOnly="0" labelOnly="1" outline="0" fieldPosition="0"/>
    </format>
    <format dxfId="552">
      <pivotArea type="topRight" dataOnly="0" labelOnly="1" outline="0" fieldPosition="0"/>
    </format>
    <format dxfId="551">
      <pivotArea field="2" type="button" dataOnly="0" labelOnly="1" outline="0" axis="axisCol" fieldPosition="0"/>
    </format>
    <format dxfId="550">
      <pivotArea dataOnly="0" labelOnly="1" outline="0" fieldPosition="0">
        <references count="1">
          <reference field="2" count="0"/>
        </references>
      </pivotArea>
    </format>
    <format dxfId="549">
      <pivotArea field="3" type="button" dataOnly="0" labelOnly="1" outline="0" axis="axisRow" fieldPosition="0"/>
    </format>
    <format dxfId="548">
      <pivotArea dataOnly="0" labelOnly="1" outline="0" fieldPosition="0">
        <references count="1">
          <reference field="3" count="0"/>
        </references>
      </pivotArea>
    </format>
    <format dxfId="547">
      <pivotArea type="origin" dataOnly="0" labelOnly="1" outline="0" offset="A1" fieldPosition="0"/>
    </format>
    <format dxfId="546">
      <pivotArea field="2" type="button" dataOnly="0" labelOnly="1" outline="0" axis="axisCol" fieldPosition="0"/>
    </format>
    <format dxfId="545">
      <pivotArea field="3" type="button" dataOnly="0" labelOnly="1" outline="0" axis="axisRow" fieldPosition="0"/>
    </format>
    <format dxfId="544">
      <pivotArea field="2" type="button" dataOnly="0" labelOnly="1" outline="0" axis="axisCol" fieldPosition="0"/>
    </format>
    <format dxfId="543">
      <pivotArea field="3" type="button" dataOnly="0" labelOnly="1" outline="0" axis="axisRow" fieldPosition="0"/>
    </format>
    <format dxfId="542">
      <pivotArea type="origin" dataOnly="0" labelOnly="1" outline="0" fieldPosition="0"/>
    </format>
    <format dxfId="541">
      <pivotArea field="0" type="button" dataOnly="0" labelOnly="1" outline="0"/>
    </format>
    <format dxfId="540">
      <pivotArea field="2" type="button" dataOnly="0" labelOnly="1" outline="0" axis="axisCol" fieldPosition="0"/>
    </format>
    <format dxfId="539">
      <pivotArea outline="0" collapsedLevelsAreSubtotals="1" fieldPosition="0"/>
    </format>
    <format dxfId="538">
      <pivotArea field="3" type="button" dataOnly="0" labelOnly="1" outline="0" axis="axisRow" fieldPosition="0"/>
    </format>
    <format dxfId="537">
      <pivotArea dataOnly="0" labelOnly="1" outline="0" fieldPosition="0">
        <references count="1">
          <reference field="3" count="0"/>
        </references>
      </pivotArea>
    </format>
    <format dxfId="536">
      <pivotArea dataOnly="0" labelOnly="1" grandRow="1" outline="0" fieldPosition="0"/>
    </format>
    <format dxfId="535">
      <pivotArea dataOnly="0" labelOnly="1" outline="0" fieldPosition="0">
        <references count="1">
          <reference field="2" count="0"/>
        </references>
      </pivotArea>
    </format>
    <format dxfId="534">
      <pivotArea dataOnly="0" labelOnly="1" grandCol="1" outline="0" fieldPosition="0"/>
    </format>
    <format dxfId="533">
      <pivotArea outline="0" collapsedLevelsAreSubtotals="1" fieldPosition="0">
        <references count="1">
          <reference field="3" count="0" selected="0"/>
        </references>
      </pivotArea>
    </format>
    <format dxfId="532">
      <pivotArea dataOnly="0" labelOnly="1" outline="0" fieldPosition="0">
        <references count="1">
          <reference field="3" count="0"/>
        </references>
      </pivotArea>
    </format>
    <format dxfId="531">
      <pivotArea outline="0" collapsedLevelsAreSubtotals="1" fieldPosition="0">
        <references count="1">
          <reference field="2" count="0" selected="0"/>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6.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vmlDrawing" Target="../drawings/vmlDrawing9.vml"/><Relationship Id="rId1" Type="http://schemas.openxmlformats.org/officeDocument/2006/relationships/drawing" Target="../drawings/drawing5.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vmlDrawing" Target="../drawings/vmlDrawing11.vml"/><Relationship Id="rId1" Type="http://schemas.openxmlformats.org/officeDocument/2006/relationships/drawing" Target="../drawings/drawing6.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13.vml"/><Relationship Id="rId7" Type="http://schemas.openxmlformats.org/officeDocument/2006/relationships/ctrlProp" Target="../ctrlProps/ctrlProp5.xml"/><Relationship Id="rId2" Type="http://schemas.openxmlformats.org/officeDocument/2006/relationships/drawing" Target="../drawings/drawing7.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5.xml"/><Relationship Id="rId4" Type="http://schemas.openxmlformats.org/officeDocument/2006/relationships/vmlDrawing" Target="../drawings/vmlDrawing14.vml"/><Relationship Id="rId9"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vmlDrawing" Target="../drawings/vmlDrawing16.v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vmlDrawing" Target="../drawings/vmlDrawing17.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9.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20.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B1:G10"/>
  <sheetViews>
    <sheetView showGridLines="0" workbookViewId="0">
      <selection activeCell="C7" sqref="C7:E7"/>
    </sheetView>
  </sheetViews>
  <sheetFormatPr defaultColWidth="8.875" defaultRowHeight="15.75" x14ac:dyDescent="0.25"/>
  <cols>
    <col min="1" max="1" width="1.875" customWidth="1"/>
    <col min="2" max="2" width="15.625" customWidth="1"/>
    <col min="3" max="3" width="139.5" customWidth="1"/>
    <col min="4" max="4" width="1.875" customWidth="1"/>
    <col min="5" max="5" width="0.625" customWidth="1"/>
    <col min="6" max="6" width="0" hidden="1" customWidth="1"/>
  </cols>
  <sheetData>
    <row r="1" spans="2:7" ht="6" customHeight="1" x14ac:dyDescent="0.25"/>
    <row r="2" spans="2:7" ht="22.5" customHeight="1" x14ac:dyDescent="0.25">
      <c r="C2" s="1" t="s">
        <v>6</v>
      </c>
    </row>
    <row r="3" spans="2:7" ht="16.5" customHeight="1" x14ac:dyDescent="0.25">
      <c r="C3" s="3" t="str">
        <f>CONCATENATE("S|A - Estimation Tool v", tool_version_check)</f>
        <v>S|A - Estimation Tool v6.5.0</v>
      </c>
    </row>
    <row r="4" spans="2:7" ht="5.25" customHeight="1" x14ac:dyDescent="0.25"/>
    <row r="5" spans="2:7" ht="40.5" customHeight="1" x14ac:dyDescent="0.25">
      <c r="B5" s="59" t="s">
        <v>0</v>
      </c>
      <c r="C5" s="587" t="s">
        <v>5</v>
      </c>
      <c r="D5" s="588"/>
      <c r="E5" s="589"/>
      <c r="G5" t="str">
        <f>TEXT(,"")</f>
        <v/>
      </c>
    </row>
    <row r="6" spans="2:7" ht="144.75" customHeight="1" x14ac:dyDescent="0.25">
      <c r="B6" s="60" t="s">
        <v>1</v>
      </c>
      <c r="C6" s="590" t="s">
        <v>1277</v>
      </c>
      <c r="D6" s="591"/>
      <c r="E6" s="592"/>
    </row>
    <row r="7" spans="2:7" ht="375" customHeight="1" x14ac:dyDescent="0.25">
      <c r="B7" s="60" t="s">
        <v>824</v>
      </c>
      <c r="C7" s="590" t="s">
        <v>1619</v>
      </c>
      <c r="D7" s="591"/>
      <c r="E7" s="592"/>
    </row>
    <row r="8" spans="2:7" ht="183" customHeight="1" x14ac:dyDescent="0.25">
      <c r="B8" s="60" t="s">
        <v>2</v>
      </c>
      <c r="C8" s="590" t="s">
        <v>1278</v>
      </c>
      <c r="D8" s="591"/>
      <c r="E8" s="592"/>
    </row>
    <row r="9" spans="2:7" ht="53.25" customHeight="1" x14ac:dyDescent="0.25">
      <c r="B9" s="60" t="s">
        <v>3</v>
      </c>
      <c r="C9" s="590" t="s">
        <v>1262</v>
      </c>
      <c r="D9" s="591"/>
      <c r="E9" s="592"/>
    </row>
    <row r="10" spans="2:7" ht="39.75" customHeight="1" x14ac:dyDescent="0.25">
      <c r="B10" s="61" t="s">
        <v>4</v>
      </c>
      <c r="C10" s="584" t="s">
        <v>1168</v>
      </c>
      <c r="D10" s="585"/>
      <c r="E10" s="586"/>
    </row>
  </sheetData>
  <dataConsolidate/>
  <mergeCells count="6">
    <mergeCell ref="C10:E10"/>
    <mergeCell ref="C5:E5"/>
    <mergeCell ref="C6:E6"/>
    <mergeCell ref="C7:E7"/>
    <mergeCell ref="C8:E8"/>
    <mergeCell ref="C9:E9"/>
  </mergeCells>
  <pageMargins left="0.39370078740157499" right="0.39370078740157499" top="0.59055118110236204" bottom="0.59055118110236204" header="0.196850393700787" footer="0.196850393700787"/>
  <pageSetup scale="71" orientation="portrait" r:id="rId1"/>
  <headerFooter>
    <oddFooter>&amp;L&amp;"Calibri,Regular"&amp;9&amp;D&amp;C&amp;9&amp;GSapient Confidential
                &amp;6   Estimation Tool V5.0.0&amp;R&amp;"Calibri,Regular"&amp;9Page &amp;P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igration_Procedure">
                <anchor moveWithCells="1" sizeWithCells="1">
                  <from>
                    <xdr:col>2</xdr:col>
                    <xdr:colOff>2819400</xdr:colOff>
                    <xdr:row>1</xdr:row>
                    <xdr:rowOff>66675</xdr:rowOff>
                  </from>
                  <to>
                    <xdr:col>2</xdr:col>
                    <xdr:colOff>4038600</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D32"/>
  <sheetViews>
    <sheetView showGridLines="0" workbookViewId="0"/>
  </sheetViews>
  <sheetFormatPr defaultColWidth="8.875" defaultRowHeight="15.75" x14ac:dyDescent="0.25"/>
  <cols>
    <col min="1" max="1" width="1.875" customWidth="1"/>
    <col min="2" max="2" width="30.625" customWidth="1"/>
    <col min="3" max="3" width="33.5" customWidth="1"/>
    <col min="4" max="4" width="26.5" customWidth="1"/>
    <col min="5" max="5" width="14.375" customWidth="1"/>
  </cols>
  <sheetData>
    <row r="1" spans="1:4" ht="49.5" customHeight="1" x14ac:dyDescent="0.25">
      <c r="A1" s="4"/>
      <c r="B1" s="332" t="s">
        <v>7</v>
      </c>
      <c r="C1" s="333" t="str">
        <f>CONCATENATE(project_name, " | ", IF(LEN(project_phase)&gt;0,project_phase &amp; " ",""),"Estimation")</f>
        <v>Fidelity - Global CMS validation | Estimation</v>
      </c>
    </row>
    <row r="2" spans="1:4" ht="8.25" customHeight="1" x14ac:dyDescent="0.25">
      <c r="C2" s="1"/>
    </row>
    <row r="3" spans="1:4" ht="15.75" customHeight="1" x14ac:dyDescent="0.25">
      <c r="B3" s="56" t="s">
        <v>8</v>
      </c>
      <c r="C3" s="310" t="s">
        <v>1703</v>
      </c>
    </row>
    <row r="4" spans="1:4" ht="15.75" customHeight="1" x14ac:dyDescent="0.25">
      <c r="B4" s="57" t="s">
        <v>9</v>
      </c>
      <c r="C4" s="311">
        <v>162308</v>
      </c>
    </row>
    <row r="5" spans="1:4" ht="15.75" customHeight="1" x14ac:dyDescent="0.25">
      <c r="B5" s="57" t="s">
        <v>25</v>
      </c>
      <c r="C5" s="311"/>
    </row>
    <row r="6" spans="1:4" ht="15.75" customHeight="1" x14ac:dyDescent="0.25">
      <c r="B6" s="57" t="s">
        <v>10</v>
      </c>
      <c r="C6" s="311" t="s">
        <v>1167</v>
      </c>
    </row>
    <row r="7" spans="1:4" ht="15.75" customHeight="1" x14ac:dyDescent="0.25">
      <c r="B7" s="58" t="s">
        <v>11</v>
      </c>
      <c r="C7" s="312"/>
    </row>
    <row r="8" spans="1:4" ht="25.5" customHeight="1" x14ac:dyDescent="0.25">
      <c r="B8" s="4" t="s">
        <v>1180</v>
      </c>
    </row>
    <row r="9" spans="1:4" x14ac:dyDescent="0.25">
      <c r="B9" s="431" t="s">
        <v>28</v>
      </c>
      <c r="C9" s="432" t="s">
        <v>1169</v>
      </c>
      <c r="D9" s="433" t="s">
        <v>540</v>
      </c>
    </row>
    <row r="10" spans="1:4" x14ac:dyDescent="0.25">
      <c r="B10" s="428" t="s">
        <v>1644</v>
      </c>
      <c r="C10" s="429" t="s">
        <v>1645</v>
      </c>
      <c r="D10" s="430"/>
    </row>
    <row r="11" spans="1:4" x14ac:dyDescent="0.25">
      <c r="B11" s="428" t="s">
        <v>1658</v>
      </c>
      <c r="C11" s="429" t="s">
        <v>1646</v>
      </c>
      <c r="D11" s="430"/>
    </row>
    <row r="12" spans="1:4" x14ac:dyDescent="0.25">
      <c r="B12" s="412" t="s">
        <v>1660</v>
      </c>
      <c r="C12" s="413" t="s">
        <v>1647</v>
      </c>
      <c r="D12" s="414"/>
    </row>
    <row r="13" spans="1:4" s="485" customFormat="1" x14ac:dyDescent="0.25">
      <c r="B13" s="412" t="s">
        <v>1672</v>
      </c>
      <c r="C13" s="413" t="s">
        <v>1650</v>
      </c>
      <c r="D13" s="414"/>
    </row>
    <row r="14" spans="1:4" x14ac:dyDescent="0.25">
      <c r="B14" s="412" t="s">
        <v>1680</v>
      </c>
      <c r="C14" s="413" t="s">
        <v>1653</v>
      </c>
      <c r="D14" s="414"/>
    </row>
    <row r="15" spans="1:4" x14ac:dyDescent="0.25">
      <c r="B15" s="412" t="s">
        <v>1681</v>
      </c>
      <c r="C15" s="413" t="s">
        <v>1702</v>
      </c>
      <c r="D15" s="414"/>
    </row>
    <row r="16" spans="1:4" x14ac:dyDescent="0.25">
      <c r="B16" s="412" t="s">
        <v>1691</v>
      </c>
      <c r="C16" s="413" t="s">
        <v>1749</v>
      </c>
      <c r="D16" s="414"/>
    </row>
    <row r="17" spans="2:4" x14ac:dyDescent="0.25">
      <c r="B17" s="412"/>
      <c r="C17" s="413"/>
      <c r="D17" s="414"/>
    </row>
    <row r="18" spans="2:4" x14ac:dyDescent="0.25">
      <c r="B18" s="412"/>
      <c r="C18" s="413"/>
      <c r="D18" s="414"/>
    </row>
    <row r="19" spans="2:4" x14ac:dyDescent="0.25">
      <c r="B19" s="412"/>
      <c r="C19" s="413"/>
      <c r="D19" s="414"/>
    </row>
    <row r="20" spans="2:4" x14ac:dyDescent="0.25">
      <c r="B20" s="412"/>
      <c r="C20" s="413"/>
      <c r="D20" s="414"/>
    </row>
    <row r="21" spans="2:4" x14ac:dyDescent="0.25">
      <c r="B21" s="412"/>
      <c r="C21" s="413"/>
      <c r="D21" s="414"/>
    </row>
    <row r="22" spans="2:4" x14ac:dyDescent="0.25">
      <c r="B22" s="412"/>
      <c r="C22" s="413"/>
      <c r="D22" s="414"/>
    </row>
    <row r="23" spans="2:4" x14ac:dyDescent="0.25">
      <c r="B23" s="412"/>
      <c r="C23" s="413"/>
      <c r="D23" s="414"/>
    </row>
    <row r="24" spans="2:4" x14ac:dyDescent="0.25">
      <c r="B24" s="412"/>
      <c r="C24" s="413"/>
      <c r="D24" s="414"/>
    </row>
    <row r="25" spans="2:4" x14ac:dyDescent="0.25">
      <c r="B25" s="412"/>
      <c r="C25" s="413"/>
      <c r="D25" s="414"/>
    </row>
    <row r="26" spans="2:4" x14ac:dyDescent="0.25">
      <c r="B26" s="412"/>
      <c r="C26" s="413"/>
      <c r="D26" s="414"/>
    </row>
    <row r="27" spans="2:4" x14ac:dyDescent="0.25">
      <c r="B27" s="412"/>
      <c r="C27" s="413"/>
      <c r="D27" s="414"/>
    </row>
    <row r="28" spans="2:4" x14ac:dyDescent="0.25">
      <c r="B28" s="412"/>
      <c r="C28" s="413"/>
      <c r="D28" s="414"/>
    </row>
    <row r="29" spans="2:4" x14ac:dyDescent="0.25">
      <c r="B29" s="412"/>
      <c r="C29" s="413"/>
      <c r="D29" s="414"/>
    </row>
    <row r="30" spans="2:4" x14ac:dyDescent="0.25">
      <c r="B30" s="412"/>
      <c r="C30" s="413"/>
      <c r="D30" s="414"/>
    </row>
    <row r="31" spans="2:4" x14ac:dyDescent="0.25">
      <c r="B31" s="412"/>
      <c r="C31" s="413"/>
      <c r="D31" s="414"/>
    </row>
    <row r="32" spans="2:4" x14ac:dyDescent="0.25">
      <c r="B32" s="415"/>
      <c r="C32" s="416"/>
      <c r="D32" s="417"/>
    </row>
  </sheetData>
  <dataConsolidate/>
  <dataValidations disablePrompts="1" count="2">
    <dataValidation type="list" allowBlank="1" showInputMessage="1" showErrorMessage="1" sqref="C7">
      <formula1>list_delivery_types</formula1>
    </dataValidation>
    <dataValidation type="list" allowBlank="1" showInputMessage="1" showErrorMessage="1" sqref="C5">
      <formula1>list_sa_phases</formula1>
    </dataValidation>
  </dataValidations>
  <pageMargins left="0.39370078740157499" right="0.39370078740157499" top="0.59055118110236204" bottom="0.59055118110236204" header="0.196850393700787" footer="0.196850393700787"/>
  <pageSetup scale="97" orientation="portrait"/>
  <headerFooter>
    <oddFooter>&amp;L&amp;"Calibri,Regular"&amp;9&amp;D&amp;C&amp;"Calibri,Regular"&amp;9&amp;GSapient Confidential
          &amp;6Estimation Tool V5.0.0&amp;R&amp;"Calibri,Regular"&amp;9Page &amp;P</oddFooter>
  </headerFooter>
  <drawing r:id="rId1"/>
  <legacyDrawing r:id="rId2"/>
  <legacyDrawingHF r:id="rId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outlinePr summaryBelow="0"/>
    <pageSetUpPr fitToPage="1"/>
  </sheetPr>
  <dimension ref="A1:M3164"/>
  <sheetViews>
    <sheetView showGridLines="0" workbookViewId="0">
      <selection activeCell="G59" sqref="G59:G74"/>
    </sheetView>
  </sheetViews>
  <sheetFormatPr defaultColWidth="8.875" defaultRowHeight="15.75" outlineLevelRow="1" x14ac:dyDescent="0.25"/>
  <cols>
    <col min="1" max="1" width="1.875" style="5" customWidth="1"/>
    <col min="2" max="2" width="7.5" customWidth="1"/>
    <col min="3" max="3" width="19" customWidth="1"/>
    <col min="4" max="4" width="13.625" customWidth="1"/>
    <col min="5" max="6" width="6.125" customWidth="1"/>
    <col min="7" max="7" width="25" customWidth="1"/>
    <col min="8" max="8" width="1.875" customWidth="1"/>
    <col min="9" max="9" width="13.875" customWidth="1"/>
    <col min="10" max="10" width="13.5" customWidth="1"/>
    <col min="11" max="11" width="12.125" customWidth="1"/>
    <col min="12" max="13" width="6.625" customWidth="1"/>
    <col min="14" max="14" width="3" customWidth="1"/>
  </cols>
  <sheetData>
    <row r="1" spans="1:13" ht="49.5" customHeight="1" x14ac:dyDescent="0.25">
      <c r="A1" s="4"/>
      <c r="B1" s="332" t="s">
        <v>1254</v>
      </c>
      <c r="C1" s="334"/>
      <c r="D1" s="333" t="str">
        <f>project_headline</f>
        <v>Fidelity - Global CMS validation | Estimation</v>
      </c>
      <c r="E1" s="335"/>
      <c r="I1" s="342" t="s">
        <v>1360</v>
      </c>
      <c r="J1" s="471"/>
      <c r="L1" s="471"/>
    </row>
    <row r="2" spans="1:13" ht="8.25" customHeight="1" x14ac:dyDescent="0.25">
      <c r="A2"/>
    </row>
    <row r="3" spans="1:13" ht="15.75" customHeight="1" x14ac:dyDescent="0.25">
      <c r="A3" s="468" t="s">
        <v>64</v>
      </c>
      <c r="B3" s="4"/>
      <c r="C3" s="599" t="s">
        <v>19</v>
      </c>
      <c r="D3" s="600"/>
      <c r="E3" s="62" t="s">
        <v>20</v>
      </c>
      <c r="F3" s="62" t="s">
        <v>21</v>
      </c>
      <c r="G3" s="63" t="s">
        <v>22</v>
      </c>
      <c r="I3" s="599" t="s">
        <v>19</v>
      </c>
      <c r="J3" s="603"/>
      <c r="K3" s="600"/>
      <c r="L3" s="65" t="s">
        <v>20</v>
      </c>
      <c r="M3" s="63" t="s">
        <v>21</v>
      </c>
    </row>
    <row r="4" spans="1:13" ht="15.75" customHeight="1" x14ac:dyDescent="0.25">
      <c r="A4" s="466"/>
      <c r="B4" s="463"/>
      <c r="C4" s="601" t="s">
        <v>1738</v>
      </c>
      <c r="D4" s="602"/>
      <c r="E4" s="64">
        <f>SUM(E5:E19)</f>
        <v>3.25</v>
      </c>
      <c r="F4" s="64">
        <f>SUM(F5:F19)</f>
        <v>5.5</v>
      </c>
      <c r="G4" s="593" t="s">
        <v>23</v>
      </c>
      <c r="I4" s="604" t="s">
        <v>17</v>
      </c>
      <c r="J4" s="605" t="s">
        <v>74</v>
      </c>
      <c r="K4" s="606" t="s">
        <v>74</v>
      </c>
      <c r="L4" s="55"/>
      <c r="M4" s="54"/>
    </row>
    <row r="5" spans="1:13" ht="15.75" customHeight="1" outlineLevel="1" x14ac:dyDescent="0.25">
      <c r="A5" s="466"/>
      <c r="B5" s="464">
        <v>1</v>
      </c>
      <c r="C5" s="595" t="s">
        <v>1674</v>
      </c>
      <c r="D5" s="596"/>
      <c r="E5" s="51">
        <v>0.75</v>
      </c>
      <c r="F5" s="51">
        <v>1.5</v>
      </c>
      <c r="G5" s="593"/>
      <c r="I5" s="597" t="s">
        <v>1738</v>
      </c>
      <c r="J5" s="598"/>
      <c r="K5" s="598"/>
      <c r="L5" s="500">
        <f>VLOOKUP(I5,tasks_metrics_observation_area,3,FALSE)</f>
        <v>3.25</v>
      </c>
      <c r="M5" s="494">
        <f>VLOOKUP(I5,tasks_metrics_observation_area,4,FALSE)</f>
        <v>5.5</v>
      </c>
    </row>
    <row r="6" spans="1:13" ht="15.75" customHeight="1" outlineLevel="1" x14ac:dyDescent="0.25">
      <c r="A6" s="466"/>
      <c r="B6" s="464">
        <v>2</v>
      </c>
      <c r="C6" s="595" t="s">
        <v>1677</v>
      </c>
      <c r="D6" s="596"/>
      <c r="E6" s="51">
        <v>0.5</v>
      </c>
      <c r="F6" s="51">
        <v>1</v>
      </c>
      <c r="G6" s="593"/>
      <c r="I6" s="607" t="s">
        <v>1739</v>
      </c>
      <c r="J6" s="608"/>
      <c r="K6" s="608"/>
      <c r="L6" s="524">
        <f>VLOOKUP(I6,tasks_metrics_observation_area,3,FALSE)</f>
        <v>13.5</v>
      </c>
      <c r="M6" s="525">
        <f>VLOOKUP(I6,tasks_metrics_observation_area,4,FALSE)</f>
        <v>20</v>
      </c>
    </row>
    <row r="7" spans="1:13" ht="15.75" customHeight="1" outlineLevel="1" x14ac:dyDescent="0.25">
      <c r="A7" s="466"/>
      <c r="B7" s="464">
        <v>3</v>
      </c>
      <c r="C7" s="595" t="s">
        <v>1745</v>
      </c>
      <c r="D7" s="596"/>
      <c r="E7" s="51">
        <v>2</v>
      </c>
      <c r="F7" s="51">
        <v>3</v>
      </c>
      <c r="G7" s="593"/>
      <c r="I7" s="607" t="s">
        <v>1718</v>
      </c>
      <c r="J7" s="608"/>
      <c r="K7" s="608"/>
      <c r="L7" s="524">
        <f>VLOOKUP(I7,tasks_metrics_observation_area,3,FALSE)</f>
        <v>1.125</v>
      </c>
      <c r="M7" s="525">
        <f>VLOOKUP(I7,tasks_metrics_observation_area,4,FALSE)</f>
        <v>2.25</v>
      </c>
    </row>
    <row r="8" spans="1:13" ht="15.75" customHeight="1" outlineLevel="1" x14ac:dyDescent="0.25">
      <c r="A8" s="466"/>
      <c r="B8" s="464">
        <v>4</v>
      </c>
      <c r="C8" s="595"/>
      <c r="D8" s="596"/>
      <c r="E8" s="52"/>
      <c r="F8" s="52"/>
      <c r="G8" s="593"/>
      <c r="I8" s="607" t="s">
        <v>1724</v>
      </c>
      <c r="J8" s="608"/>
      <c r="K8" s="608"/>
      <c r="L8" s="524">
        <f>VLOOKUP(I8,tasks_metrics_observation_area,3,FALSE)</f>
        <v>0.45</v>
      </c>
      <c r="M8" s="525">
        <f>VLOOKUP(I8,tasks_metrics_observation_area,4,FALSE)</f>
        <v>0.55000000000000004</v>
      </c>
    </row>
    <row r="9" spans="1:13" ht="15.75" customHeight="1" outlineLevel="1" x14ac:dyDescent="0.25">
      <c r="A9" s="466"/>
      <c r="B9" s="464">
        <v>5</v>
      </c>
      <c r="C9" s="595"/>
      <c r="D9" s="596"/>
      <c r="E9" s="51"/>
      <c r="F9" s="51"/>
      <c r="G9" s="593"/>
      <c r="I9" s="616" t="s">
        <v>1653</v>
      </c>
      <c r="J9" s="617"/>
      <c r="K9" s="617"/>
      <c r="L9" s="499">
        <f>VLOOKUP(I9,tasks_metrics_observation_area,3,FALSE)</f>
        <v>2</v>
      </c>
      <c r="M9" s="495">
        <f>VLOOKUP(I9,tasks_metrics_observation_area,4,FALSE)</f>
        <v>4</v>
      </c>
    </row>
    <row r="10" spans="1:13" ht="15.75" customHeight="1" outlineLevel="1" x14ac:dyDescent="0.25">
      <c r="A10" s="466"/>
      <c r="B10" s="464">
        <v>6</v>
      </c>
      <c r="C10" s="595"/>
      <c r="D10" s="596"/>
      <c r="E10" s="51"/>
      <c r="F10" s="51"/>
      <c r="G10" s="593"/>
    </row>
    <row r="11" spans="1:13" ht="15.75" customHeight="1" outlineLevel="1" x14ac:dyDescent="0.25">
      <c r="A11" s="466"/>
      <c r="B11" s="464">
        <v>7</v>
      </c>
      <c r="C11" s="595"/>
      <c r="D11" s="596"/>
      <c r="E11" s="51"/>
      <c r="F11" s="51"/>
      <c r="G11" s="593"/>
    </row>
    <row r="12" spans="1:13" ht="15.75" customHeight="1" outlineLevel="1" x14ac:dyDescent="0.25">
      <c r="A12" s="466"/>
      <c r="B12" s="464">
        <v>8</v>
      </c>
      <c r="C12" s="595"/>
      <c r="D12" s="596"/>
      <c r="E12" s="51"/>
      <c r="F12" s="51"/>
      <c r="G12" s="593"/>
    </row>
    <row r="13" spans="1:13" ht="15.75" customHeight="1" outlineLevel="1" x14ac:dyDescent="0.25">
      <c r="A13" s="466"/>
      <c r="B13" s="464">
        <v>9</v>
      </c>
      <c r="C13" s="595"/>
      <c r="D13" s="596"/>
      <c r="E13" s="51"/>
      <c r="F13" s="51"/>
      <c r="G13" s="593"/>
    </row>
    <row r="14" spans="1:13" ht="15.75" customHeight="1" outlineLevel="1" x14ac:dyDescent="0.25">
      <c r="A14" s="466"/>
      <c r="B14" s="464">
        <v>10</v>
      </c>
      <c r="C14" s="595"/>
      <c r="D14" s="596"/>
      <c r="E14" s="51"/>
      <c r="F14" s="51"/>
      <c r="G14" s="593"/>
    </row>
    <row r="15" spans="1:13" ht="15.75" customHeight="1" outlineLevel="1" x14ac:dyDescent="0.25">
      <c r="A15" s="466"/>
      <c r="B15" s="464">
        <v>11</v>
      </c>
      <c r="C15" s="595"/>
      <c r="D15" s="596"/>
      <c r="E15" s="51"/>
      <c r="F15" s="51"/>
      <c r="G15" s="593"/>
    </row>
    <row r="16" spans="1:13" ht="15.75" customHeight="1" outlineLevel="1" x14ac:dyDescent="0.25">
      <c r="A16" s="466"/>
      <c r="B16" s="464">
        <v>12</v>
      </c>
      <c r="C16" s="595"/>
      <c r="D16" s="596"/>
      <c r="E16" s="51"/>
      <c r="F16" s="51"/>
      <c r="G16" s="593"/>
    </row>
    <row r="17" spans="1:7" ht="15.75" customHeight="1" outlineLevel="1" x14ac:dyDescent="0.25">
      <c r="A17" s="466"/>
      <c r="B17" s="464">
        <v>13</v>
      </c>
      <c r="C17" s="595"/>
      <c r="D17" s="596"/>
      <c r="E17" s="51"/>
      <c r="F17" s="51"/>
      <c r="G17" s="593"/>
    </row>
    <row r="18" spans="1:7" ht="15.75" customHeight="1" outlineLevel="1" x14ac:dyDescent="0.25">
      <c r="A18" s="466"/>
      <c r="B18" s="464">
        <v>14</v>
      </c>
      <c r="C18" s="595"/>
      <c r="D18" s="596"/>
      <c r="E18" s="51"/>
      <c r="F18" s="51"/>
      <c r="G18" s="593"/>
    </row>
    <row r="19" spans="1:7" ht="15.75" customHeight="1" outlineLevel="1" x14ac:dyDescent="0.25">
      <c r="A19" s="467"/>
      <c r="B19" s="465">
        <v>15</v>
      </c>
      <c r="C19" s="610"/>
      <c r="D19" s="611"/>
      <c r="E19" s="53"/>
      <c r="F19" s="53"/>
      <c r="G19" s="594"/>
    </row>
    <row r="20" spans="1:7" x14ac:dyDescent="0.25">
      <c r="A20" s="462"/>
    </row>
    <row r="21" spans="1:7" x14ac:dyDescent="0.25">
      <c r="A21" s="496" t="s">
        <v>64</v>
      </c>
      <c r="B21" s="4"/>
      <c r="C21" s="599" t="s">
        <v>19</v>
      </c>
      <c r="D21" s="600"/>
      <c r="E21" s="491" t="s">
        <v>20</v>
      </c>
      <c r="F21" s="491" t="s">
        <v>21</v>
      </c>
      <c r="G21" s="63" t="s">
        <v>22</v>
      </c>
    </row>
    <row r="22" spans="1:7" x14ac:dyDescent="0.25">
      <c r="A22" s="497"/>
      <c r="B22" s="463"/>
      <c r="C22" s="601" t="s">
        <v>1739</v>
      </c>
      <c r="D22" s="602"/>
      <c r="E22" s="64">
        <f>SUM(E23:E37)</f>
        <v>13.5</v>
      </c>
      <c r="F22" s="64">
        <f>SUM(F23:F37)</f>
        <v>20</v>
      </c>
      <c r="G22" s="593"/>
    </row>
    <row r="23" spans="1:7" outlineLevel="1" x14ac:dyDescent="0.25">
      <c r="A23" s="497"/>
      <c r="B23" s="464">
        <v>1</v>
      </c>
      <c r="C23" s="595" t="s">
        <v>1743</v>
      </c>
      <c r="D23" s="596"/>
      <c r="E23" s="51">
        <v>0.75</v>
      </c>
      <c r="F23" s="51">
        <v>1.25</v>
      </c>
      <c r="G23" s="593"/>
    </row>
    <row r="24" spans="1:7" outlineLevel="1" x14ac:dyDescent="0.25">
      <c r="A24" s="497"/>
      <c r="B24" s="464">
        <v>2</v>
      </c>
      <c r="C24" s="595" t="s">
        <v>1669</v>
      </c>
      <c r="D24" s="596"/>
      <c r="E24" s="51">
        <v>1</v>
      </c>
      <c r="F24" s="51">
        <v>1.5</v>
      </c>
      <c r="G24" s="593"/>
    </row>
    <row r="25" spans="1:7" outlineLevel="1" x14ac:dyDescent="0.25">
      <c r="A25" s="497"/>
      <c r="B25" s="464">
        <v>3</v>
      </c>
      <c r="C25" s="595" t="s">
        <v>1624</v>
      </c>
      <c r="D25" s="596"/>
      <c r="E25" s="51">
        <v>1</v>
      </c>
      <c r="F25" s="51">
        <v>1.5</v>
      </c>
      <c r="G25" s="593"/>
    </row>
    <row r="26" spans="1:7" outlineLevel="1" x14ac:dyDescent="0.25">
      <c r="A26" s="497"/>
      <c r="B26" s="464">
        <v>4</v>
      </c>
      <c r="C26" s="595" t="s">
        <v>1625</v>
      </c>
      <c r="D26" s="596"/>
      <c r="E26" s="52">
        <v>0.75</v>
      </c>
      <c r="F26" s="52">
        <v>1.25</v>
      </c>
      <c r="G26" s="593"/>
    </row>
    <row r="27" spans="1:7" outlineLevel="1" x14ac:dyDescent="0.25">
      <c r="A27" s="497"/>
      <c r="B27" s="464">
        <v>5</v>
      </c>
      <c r="C27" s="595" t="s">
        <v>1744</v>
      </c>
      <c r="D27" s="596"/>
      <c r="E27" s="51">
        <v>1</v>
      </c>
      <c r="F27" s="51">
        <v>1.5</v>
      </c>
      <c r="G27" s="593"/>
    </row>
    <row r="28" spans="1:7" ht="15.75" customHeight="1" outlineLevel="1" x14ac:dyDescent="0.25">
      <c r="A28" s="497"/>
      <c r="B28" s="464">
        <v>6</v>
      </c>
      <c r="C28" s="595" t="s">
        <v>1670</v>
      </c>
      <c r="D28" s="596"/>
      <c r="E28" s="51">
        <v>1</v>
      </c>
      <c r="F28" s="51">
        <v>1.5</v>
      </c>
      <c r="G28" s="593"/>
    </row>
    <row r="29" spans="1:7" ht="15.75" customHeight="1" outlineLevel="1" x14ac:dyDescent="0.25">
      <c r="A29" s="497"/>
      <c r="B29" s="464">
        <v>7</v>
      </c>
      <c r="C29" s="489" t="s">
        <v>1667</v>
      </c>
      <c r="D29" s="490"/>
      <c r="E29" s="51">
        <v>2</v>
      </c>
      <c r="F29" s="51">
        <v>3</v>
      </c>
      <c r="G29" s="593"/>
    </row>
    <row r="30" spans="1:7" ht="15.75" customHeight="1" outlineLevel="1" x14ac:dyDescent="0.25">
      <c r="A30" s="497"/>
      <c r="B30" s="464">
        <v>8</v>
      </c>
      <c r="C30" s="489" t="s">
        <v>1740</v>
      </c>
      <c r="D30" s="490"/>
      <c r="E30" s="51">
        <v>1</v>
      </c>
      <c r="F30" s="51">
        <v>1.5</v>
      </c>
      <c r="G30" s="593"/>
    </row>
    <row r="31" spans="1:7" ht="15.75" customHeight="1" outlineLevel="1" x14ac:dyDescent="0.25">
      <c r="A31" s="497"/>
      <c r="B31" s="464">
        <v>9</v>
      </c>
      <c r="C31" s="489" t="s">
        <v>1741</v>
      </c>
      <c r="D31" s="490"/>
      <c r="E31" s="51">
        <v>2</v>
      </c>
      <c r="F31" s="51">
        <v>3</v>
      </c>
      <c r="G31" s="593"/>
    </row>
    <row r="32" spans="1:7" ht="38.25" outlineLevel="1" x14ac:dyDescent="0.25">
      <c r="A32" s="497"/>
      <c r="B32" s="464">
        <v>10</v>
      </c>
      <c r="C32" s="489" t="s">
        <v>1742</v>
      </c>
      <c r="D32" s="490"/>
      <c r="E32" s="51">
        <v>3</v>
      </c>
      <c r="F32" s="51">
        <v>4</v>
      </c>
      <c r="G32" s="593"/>
    </row>
    <row r="33" spans="1:7" outlineLevel="1" x14ac:dyDescent="0.25">
      <c r="A33" s="497"/>
      <c r="B33" s="464">
        <v>11</v>
      </c>
      <c r="C33" s="595"/>
      <c r="D33" s="596"/>
      <c r="E33" s="51"/>
      <c r="F33" s="51"/>
      <c r="G33" s="593"/>
    </row>
    <row r="34" spans="1:7" outlineLevel="1" x14ac:dyDescent="0.25">
      <c r="A34" s="497"/>
      <c r="B34" s="464">
        <v>12</v>
      </c>
      <c r="C34" s="595"/>
      <c r="D34" s="596"/>
      <c r="E34" s="51"/>
      <c r="F34" s="51"/>
      <c r="G34" s="593"/>
    </row>
    <row r="35" spans="1:7" outlineLevel="1" x14ac:dyDescent="0.25">
      <c r="A35" s="497"/>
      <c r="B35" s="464">
        <v>13</v>
      </c>
      <c r="C35" s="595"/>
      <c r="D35" s="596"/>
      <c r="E35" s="51"/>
      <c r="F35" s="51"/>
      <c r="G35" s="593"/>
    </row>
    <row r="36" spans="1:7" outlineLevel="1" x14ac:dyDescent="0.25">
      <c r="A36" s="497"/>
      <c r="B36" s="464">
        <v>14</v>
      </c>
      <c r="C36" s="595"/>
      <c r="D36" s="596"/>
      <c r="E36" s="51"/>
      <c r="F36" s="51"/>
      <c r="G36" s="593"/>
    </row>
    <row r="37" spans="1:7" outlineLevel="1" x14ac:dyDescent="0.25">
      <c r="A37" s="498"/>
      <c r="B37" s="465">
        <v>15</v>
      </c>
      <c r="C37" s="610"/>
      <c r="D37" s="611"/>
      <c r="E37" s="53"/>
      <c r="F37" s="53"/>
      <c r="G37" s="594"/>
    </row>
    <row r="38" spans="1:7" x14ac:dyDescent="0.25">
      <c r="A38" s="462"/>
    </row>
    <row r="39" spans="1:7" x14ac:dyDescent="0.25">
      <c r="A39" s="462"/>
    </row>
    <row r="40" spans="1:7" x14ac:dyDescent="0.25">
      <c r="A40" s="496" t="s">
        <v>64</v>
      </c>
      <c r="B40" s="4"/>
      <c r="C40" s="599" t="s">
        <v>19</v>
      </c>
      <c r="D40" s="609"/>
      <c r="E40" s="351" t="s">
        <v>20</v>
      </c>
      <c r="F40" s="351" t="s">
        <v>21</v>
      </c>
      <c r="G40" s="63" t="s">
        <v>22</v>
      </c>
    </row>
    <row r="41" spans="1:7" x14ac:dyDescent="0.25">
      <c r="A41" s="497"/>
      <c r="B41" s="463"/>
      <c r="C41" s="601" t="s">
        <v>1718</v>
      </c>
      <c r="D41" s="602"/>
      <c r="E41" s="64">
        <f>SUM(E42:E56)</f>
        <v>1.125</v>
      </c>
      <c r="F41" s="64">
        <f>SUM(F42:F56)</f>
        <v>2.25</v>
      </c>
      <c r="G41" s="612" t="s">
        <v>1719</v>
      </c>
    </row>
    <row r="42" spans="1:7" x14ac:dyDescent="0.25">
      <c r="A42" s="497"/>
      <c r="B42" s="464">
        <v>1</v>
      </c>
      <c r="C42" s="615" t="s">
        <v>1720</v>
      </c>
      <c r="D42" s="615"/>
      <c r="E42" s="522">
        <v>0.5</v>
      </c>
      <c r="F42" s="523">
        <v>1</v>
      </c>
      <c r="G42" s="613"/>
    </row>
    <row r="43" spans="1:7" x14ac:dyDescent="0.25">
      <c r="A43" s="497"/>
      <c r="B43" s="464">
        <v>2</v>
      </c>
      <c r="C43" s="615" t="s">
        <v>1721</v>
      </c>
      <c r="D43" s="615"/>
      <c r="E43" s="522">
        <v>0.125</v>
      </c>
      <c r="F43" s="523">
        <v>0.25</v>
      </c>
      <c r="G43" s="613"/>
    </row>
    <row r="44" spans="1:7" x14ac:dyDescent="0.25">
      <c r="A44" s="497"/>
      <c r="B44" s="464">
        <v>3</v>
      </c>
      <c r="C44" s="615" t="s">
        <v>1722</v>
      </c>
      <c r="D44" s="615"/>
      <c r="E44" s="522">
        <v>0.25</v>
      </c>
      <c r="F44" s="523">
        <v>0.5</v>
      </c>
      <c r="G44" s="613"/>
    </row>
    <row r="45" spans="1:7" x14ac:dyDescent="0.25">
      <c r="A45" s="497"/>
      <c r="B45" s="464">
        <v>4</v>
      </c>
      <c r="C45" s="615" t="s">
        <v>1723</v>
      </c>
      <c r="D45" s="615"/>
      <c r="E45" s="522">
        <v>0.25</v>
      </c>
      <c r="F45" s="523">
        <v>0.5</v>
      </c>
      <c r="G45" s="613"/>
    </row>
    <row r="46" spans="1:7" x14ac:dyDescent="0.25">
      <c r="A46" s="497"/>
      <c r="B46" s="464">
        <v>5</v>
      </c>
      <c r="C46" s="595"/>
      <c r="D46" s="596"/>
      <c r="E46" s="51"/>
      <c r="F46" s="51"/>
      <c r="G46" s="613"/>
    </row>
    <row r="47" spans="1:7" x14ac:dyDescent="0.25">
      <c r="A47" s="497"/>
      <c r="B47" s="464">
        <v>6</v>
      </c>
      <c r="C47" s="595"/>
      <c r="D47" s="596"/>
      <c r="E47" s="51"/>
      <c r="F47" s="51"/>
      <c r="G47" s="613"/>
    </row>
    <row r="48" spans="1:7" x14ac:dyDescent="0.25">
      <c r="A48" s="497"/>
      <c r="B48" s="464">
        <v>7</v>
      </c>
      <c r="C48" s="595"/>
      <c r="D48" s="596"/>
      <c r="E48" s="51"/>
      <c r="F48" s="51"/>
      <c r="G48" s="613"/>
    </row>
    <row r="49" spans="1:7" x14ac:dyDescent="0.25">
      <c r="A49" s="497"/>
      <c r="B49" s="464">
        <v>8</v>
      </c>
      <c r="C49" s="595"/>
      <c r="D49" s="596"/>
      <c r="E49" s="51"/>
      <c r="F49" s="51"/>
      <c r="G49" s="613"/>
    </row>
    <row r="50" spans="1:7" x14ac:dyDescent="0.25">
      <c r="A50" s="497"/>
      <c r="B50" s="464">
        <v>9</v>
      </c>
      <c r="C50" s="595"/>
      <c r="D50" s="596"/>
      <c r="E50" s="51"/>
      <c r="F50" s="51"/>
      <c r="G50" s="613"/>
    </row>
    <row r="51" spans="1:7" x14ac:dyDescent="0.25">
      <c r="A51" s="497"/>
      <c r="B51" s="464">
        <v>10</v>
      </c>
      <c r="C51" s="595"/>
      <c r="D51" s="596"/>
      <c r="E51" s="51"/>
      <c r="F51" s="51"/>
      <c r="G51" s="613"/>
    </row>
    <row r="52" spans="1:7" x14ac:dyDescent="0.25">
      <c r="A52" s="497"/>
      <c r="B52" s="464">
        <v>11</v>
      </c>
      <c r="C52" s="595"/>
      <c r="D52" s="596"/>
      <c r="E52" s="51"/>
      <c r="F52" s="51"/>
      <c r="G52" s="613"/>
    </row>
    <row r="53" spans="1:7" x14ac:dyDescent="0.25">
      <c r="A53" s="497"/>
      <c r="B53" s="464">
        <v>12</v>
      </c>
      <c r="C53" s="595"/>
      <c r="D53" s="596"/>
      <c r="E53" s="51"/>
      <c r="F53" s="51"/>
      <c r="G53" s="613"/>
    </row>
    <row r="54" spans="1:7" x14ac:dyDescent="0.25">
      <c r="A54" s="497"/>
      <c r="B54" s="464">
        <v>13</v>
      </c>
      <c r="C54" s="595"/>
      <c r="D54" s="596"/>
      <c r="E54" s="51"/>
      <c r="F54" s="51"/>
      <c r="G54" s="613"/>
    </row>
    <row r="55" spans="1:7" x14ac:dyDescent="0.25">
      <c r="A55" s="497"/>
      <c r="B55" s="464">
        <v>14</v>
      </c>
      <c r="C55" s="595"/>
      <c r="D55" s="596"/>
      <c r="E55" s="51"/>
      <c r="F55" s="51"/>
      <c r="G55" s="613"/>
    </row>
    <row r="56" spans="1:7" x14ac:dyDescent="0.25">
      <c r="A56" s="498"/>
      <c r="B56" s="465">
        <v>15</v>
      </c>
      <c r="C56" s="610"/>
      <c r="D56" s="611"/>
      <c r="E56" s="53"/>
      <c r="F56" s="53"/>
      <c r="G56" s="614"/>
    </row>
    <row r="57" spans="1:7" x14ac:dyDescent="0.25">
      <c r="A57" s="462"/>
    </row>
    <row r="58" spans="1:7" x14ac:dyDescent="0.25">
      <c r="A58" s="496" t="s">
        <v>64</v>
      </c>
      <c r="B58" s="4"/>
      <c r="C58" s="599" t="s">
        <v>19</v>
      </c>
      <c r="D58" s="609"/>
      <c r="E58" s="351" t="s">
        <v>20</v>
      </c>
      <c r="F58" s="351" t="s">
        <v>21</v>
      </c>
      <c r="G58" s="63" t="s">
        <v>22</v>
      </c>
    </row>
    <row r="59" spans="1:7" x14ac:dyDescent="0.25">
      <c r="A59" s="497"/>
      <c r="B59" s="463"/>
      <c r="C59" s="601" t="s">
        <v>1724</v>
      </c>
      <c r="D59" s="602"/>
      <c r="E59" s="64">
        <f>SUM(E60:E74)</f>
        <v>0.45</v>
      </c>
      <c r="F59" s="64">
        <f>SUM(F60:F74)</f>
        <v>0.55000000000000004</v>
      </c>
      <c r="G59" s="612" t="s">
        <v>1725</v>
      </c>
    </row>
    <row r="60" spans="1:7" x14ac:dyDescent="0.25">
      <c r="A60" s="497"/>
      <c r="B60" s="464">
        <v>1</v>
      </c>
      <c r="C60" s="615" t="s">
        <v>1726</v>
      </c>
      <c r="D60" s="615"/>
      <c r="E60" s="522">
        <v>0.05</v>
      </c>
      <c r="F60" s="523">
        <v>0.05</v>
      </c>
      <c r="G60" s="613"/>
    </row>
    <row r="61" spans="1:7" x14ac:dyDescent="0.25">
      <c r="A61" s="497"/>
      <c r="B61" s="464">
        <v>2</v>
      </c>
      <c r="C61" s="615" t="s">
        <v>1727</v>
      </c>
      <c r="D61" s="615"/>
      <c r="E61" s="522">
        <v>0.2</v>
      </c>
      <c r="F61" s="523">
        <v>0.25</v>
      </c>
      <c r="G61" s="613"/>
    </row>
    <row r="62" spans="1:7" x14ac:dyDescent="0.25">
      <c r="A62" s="497"/>
      <c r="B62" s="464">
        <v>3</v>
      </c>
      <c r="C62" s="615" t="s">
        <v>1728</v>
      </c>
      <c r="D62" s="615"/>
      <c r="E62" s="522">
        <v>0.2</v>
      </c>
      <c r="F62" s="523">
        <v>0.25</v>
      </c>
      <c r="G62" s="613"/>
    </row>
    <row r="63" spans="1:7" x14ac:dyDescent="0.25">
      <c r="A63" s="497"/>
      <c r="B63" s="464">
        <v>4</v>
      </c>
      <c r="C63" s="595"/>
      <c r="D63" s="596"/>
      <c r="E63" s="52"/>
      <c r="F63" s="52"/>
      <c r="G63" s="613"/>
    </row>
    <row r="64" spans="1:7" x14ac:dyDescent="0.25">
      <c r="A64" s="497"/>
      <c r="B64" s="464">
        <v>5</v>
      </c>
      <c r="C64" s="595"/>
      <c r="D64" s="596"/>
      <c r="E64" s="51"/>
      <c r="F64" s="51"/>
      <c r="G64" s="613"/>
    </row>
    <row r="65" spans="1:7" x14ac:dyDescent="0.25">
      <c r="A65" s="497"/>
      <c r="B65" s="464">
        <v>6</v>
      </c>
      <c r="C65" s="595"/>
      <c r="D65" s="596"/>
      <c r="E65" s="51"/>
      <c r="F65" s="51"/>
      <c r="G65" s="613"/>
    </row>
    <row r="66" spans="1:7" x14ac:dyDescent="0.25">
      <c r="A66" s="497"/>
      <c r="B66" s="464">
        <v>7</v>
      </c>
      <c r="C66" s="595"/>
      <c r="D66" s="596"/>
      <c r="E66" s="51"/>
      <c r="F66" s="51"/>
      <c r="G66" s="613"/>
    </row>
    <row r="67" spans="1:7" x14ac:dyDescent="0.25">
      <c r="A67" s="497"/>
      <c r="B67" s="464">
        <v>8</v>
      </c>
      <c r="C67" s="595"/>
      <c r="D67" s="596"/>
      <c r="E67" s="51"/>
      <c r="F67" s="51"/>
      <c r="G67" s="613"/>
    </row>
    <row r="68" spans="1:7" x14ac:dyDescent="0.25">
      <c r="A68" s="497"/>
      <c r="B68" s="464">
        <v>9</v>
      </c>
      <c r="C68" s="595"/>
      <c r="D68" s="596"/>
      <c r="E68" s="51"/>
      <c r="F68" s="51"/>
      <c r="G68" s="613"/>
    </row>
    <row r="69" spans="1:7" x14ac:dyDescent="0.25">
      <c r="A69" s="497"/>
      <c r="B69" s="464">
        <v>10</v>
      </c>
      <c r="C69" s="595"/>
      <c r="D69" s="596"/>
      <c r="E69" s="51"/>
      <c r="F69" s="51"/>
      <c r="G69" s="613"/>
    </row>
    <row r="70" spans="1:7" x14ac:dyDescent="0.25">
      <c r="A70" s="497"/>
      <c r="B70" s="464">
        <v>11</v>
      </c>
      <c r="C70" s="595"/>
      <c r="D70" s="596"/>
      <c r="E70" s="51"/>
      <c r="F70" s="51"/>
      <c r="G70" s="613"/>
    </row>
    <row r="71" spans="1:7" x14ac:dyDescent="0.25">
      <c r="A71" s="497"/>
      <c r="B71" s="464">
        <v>12</v>
      </c>
      <c r="C71" s="595"/>
      <c r="D71" s="596"/>
      <c r="E71" s="51"/>
      <c r="F71" s="51"/>
      <c r="G71" s="613"/>
    </row>
    <row r="72" spans="1:7" x14ac:dyDescent="0.25">
      <c r="A72" s="497"/>
      <c r="B72" s="464">
        <v>13</v>
      </c>
      <c r="C72" s="595"/>
      <c r="D72" s="596"/>
      <c r="E72" s="51"/>
      <c r="F72" s="51"/>
      <c r="G72" s="613"/>
    </row>
    <row r="73" spans="1:7" x14ac:dyDescent="0.25">
      <c r="A73" s="497"/>
      <c r="B73" s="464">
        <v>14</v>
      </c>
      <c r="C73" s="595"/>
      <c r="D73" s="596"/>
      <c r="E73" s="51"/>
      <c r="F73" s="51"/>
      <c r="G73" s="613"/>
    </row>
    <row r="74" spans="1:7" x14ac:dyDescent="0.25">
      <c r="A74" s="498"/>
      <c r="B74" s="465">
        <v>15</v>
      </c>
      <c r="C74" s="610"/>
      <c r="D74" s="611"/>
      <c r="E74" s="53"/>
      <c r="F74" s="53"/>
      <c r="G74" s="614"/>
    </row>
    <row r="75" spans="1:7" x14ac:dyDescent="0.25">
      <c r="A75" s="462"/>
    </row>
    <row r="76" spans="1:7" x14ac:dyDescent="0.25">
      <c r="A76" s="468" t="s">
        <v>64</v>
      </c>
      <c r="B76" s="4"/>
      <c r="C76" s="599" t="s">
        <v>19</v>
      </c>
      <c r="D76" s="609"/>
      <c r="E76" s="351" t="s">
        <v>20</v>
      </c>
      <c r="F76" s="351" t="s">
        <v>21</v>
      </c>
      <c r="G76" s="63" t="s">
        <v>22</v>
      </c>
    </row>
    <row r="77" spans="1:7" x14ac:dyDescent="0.25">
      <c r="A77" s="466"/>
      <c r="B77" s="463"/>
      <c r="C77" s="601" t="s">
        <v>1653</v>
      </c>
      <c r="D77" s="602"/>
      <c r="E77" s="64">
        <f>SUM(E78:E92)</f>
        <v>2</v>
      </c>
      <c r="F77" s="64">
        <f>SUM(F78:F92)</f>
        <v>4</v>
      </c>
      <c r="G77" s="593" t="s">
        <v>1729</v>
      </c>
    </row>
    <row r="78" spans="1:7" x14ac:dyDescent="0.25">
      <c r="A78" s="466"/>
      <c r="B78" s="464">
        <v>1</v>
      </c>
      <c r="C78" s="595"/>
      <c r="D78" s="596"/>
      <c r="E78" s="51">
        <v>2</v>
      </c>
      <c r="F78" s="51">
        <v>4</v>
      </c>
      <c r="G78" s="593"/>
    </row>
    <row r="79" spans="1:7" x14ac:dyDescent="0.25">
      <c r="A79" s="466"/>
      <c r="B79" s="464">
        <v>2</v>
      </c>
      <c r="C79" s="595"/>
      <c r="D79" s="596"/>
      <c r="E79" s="51"/>
      <c r="F79" s="51"/>
      <c r="G79" s="593"/>
    </row>
    <row r="80" spans="1:7" x14ac:dyDescent="0.25">
      <c r="A80" s="466"/>
      <c r="B80" s="464">
        <v>3</v>
      </c>
      <c r="C80" s="595"/>
      <c r="D80" s="596"/>
      <c r="E80" s="51"/>
      <c r="F80" s="51"/>
      <c r="G80" s="593"/>
    </row>
    <row r="81" spans="1:7" x14ac:dyDescent="0.25">
      <c r="A81" s="466"/>
      <c r="B81" s="464">
        <v>4</v>
      </c>
      <c r="C81" s="595"/>
      <c r="D81" s="596"/>
      <c r="E81" s="52"/>
      <c r="F81" s="52"/>
      <c r="G81" s="593"/>
    </row>
    <row r="82" spans="1:7" x14ac:dyDescent="0.25">
      <c r="A82" s="466"/>
      <c r="B82" s="464">
        <v>5</v>
      </c>
      <c r="C82" s="595"/>
      <c r="D82" s="596"/>
      <c r="E82" s="51"/>
      <c r="F82" s="51"/>
      <c r="G82" s="593"/>
    </row>
    <row r="83" spans="1:7" x14ac:dyDescent="0.25">
      <c r="A83" s="466"/>
      <c r="B83" s="464">
        <v>6</v>
      </c>
      <c r="C83" s="595"/>
      <c r="D83" s="596"/>
      <c r="E83" s="51"/>
      <c r="F83" s="51"/>
      <c r="G83" s="593"/>
    </row>
    <row r="84" spans="1:7" x14ac:dyDescent="0.25">
      <c r="A84" s="466"/>
      <c r="B84" s="464">
        <v>7</v>
      </c>
      <c r="C84" s="595"/>
      <c r="D84" s="596"/>
      <c r="E84" s="51"/>
      <c r="F84" s="51"/>
      <c r="G84" s="593"/>
    </row>
    <row r="85" spans="1:7" x14ac:dyDescent="0.25">
      <c r="A85" s="466"/>
      <c r="B85" s="464">
        <v>8</v>
      </c>
      <c r="C85" s="595"/>
      <c r="D85" s="596"/>
      <c r="E85" s="51"/>
      <c r="F85" s="51"/>
      <c r="G85" s="593"/>
    </row>
    <row r="86" spans="1:7" x14ac:dyDescent="0.25">
      <c r="A86" s="466"/>
      <c r="B86" s="464">
        <v>9</v>
      </c>
      <c r="C86" s="595"/>
      <c r="D86" s="596"/>
      <c r="E86" s="51"/>
      <c r="F86" s="51"/>
      <c r="G86" s="593"/>
    </row>
    <row r="87" spans="1:7" x14ac:dyDescent="0.25">
      <c r="A87" s="466"/>
      <c r="B87" s="464">
        <v>10</v>
      </c>
      <c r="C87" s="595"/>
      <c r="D87" s="596"/>
      <c r="E87" s="51"/>
      <c r="F87" s="51"/>
      <c r="G87" s="593"/>
    </row>
    <row r="88" spans="1:7" x14ac:dyDescent="0.25">
      <c r="A88" s="466"/>
      <c r="B88" s="464">
        <v>11</v>
      </c>
      <c r="C88" s="595"/>
      <c r="D88" s="596"/>
      <c r="E88" s="51"/>
      <c r="F88" s="51"/>
      <c r="G88" s="593"/>
    </row>
    <row r="89" spans="1:7" x14ac:dyDescent="0.25">
      <c r="A89" s="466"/>
      <c r="B89" s="464">
        <v>12</v>
      </c>
      <c r="C89" s="595"/>
      <c r="D89" s="596"/>
      <c r="E89" s="51"/>
      <c r="F89" s="51"/>
      <c r="G89" s="593"/>
    </row>
    <row r="90" spans="1:7" x14ac:dyDescent="0.25">
      <c r="A90" s="466"/>
      <c r="B90" s="464">
        <v>13</v>
      </c>
      <c r="C90" s="595"/>
      <c r="D90" s="596"/>
      <c r="E90" s="51"/>
      <c r="F90" s="51"/>
      <c r="G90" s="593"/>
    </row>
    <row r="91" spans="1:7" x14ac:dyDescent="0.25">
      <c r="A91" s="466"/>
      <c r="B91" s="464">
        <v>14</v>
      </c>
      <c r="C91" s="595"/>
      <c r="D91" s="596"/>
      <c r="E91" s="51"/>
      <c r="F91" s="51"/>
      <c r="G91" s="593"/>
    </row>
    <row r="92" spans="1:7" x14ac:dyDescent="0.25">
      <c r="A92" s="467"/>
      <c r="B92" s="465">
        <v>15</v>
      </c>
      <c r="C92" s="610"/>
      <c r="D92" s="611"/>
      <c r="E92" s="53"/>
      <c r="F92" s="53"/>
      <c r="G92" s="618"/>
    </row>
    <row r="93" spans="1:7" x14ac:dyDescent="0.25">
      <c r="A93" s="462"/>
    </row>
    <row r="94" spans="1:7" x14ac:dyDescent="0.25">
      <c r="A94" s="462"/>
    </row>
    <row r="95" spans="1:7" x14ac:dyDescent="0.25">
      <c r="A95" s="462"/>
    </row>
    <row r="96" spans="1:7" x14ac:dyDescent="0.25">
      <c r="A96" s="462"/>
    </row>
    <row r="97" spans="1:1" x14ac:dyDescent="0.25">
      <c r="A97" s="462"/>
    </row>
    <row r="98" spans="1:1" x14ac:dyDescent="0.25">
      <c r="A98" s="462"/>
    </row>
    <row r="99" spans="1:1" x14ac:dyDescent="0.25">
      <c r="A99" s="462"/>
    </row>
    <row r="100" spans="1:1" x14ac:dyDescent="0.25">
      <c r="A100" s="462"/>
    </row>
    <row r="101" spans="1:1" x14ac:dyDescent="0.25">
      <c r="A101" s="462"/>
    </row>
    <row r="102" spans="1:1" x14ac:dyDescent="0.25">
      <c r="A102" s="462"/>
    </row>
    <row r="103" spans="1:1" x14ac:dyDescent="0.25">
      <c r="A103" s="462"/>
    </row>
    <row r="104" spans="1:1" x14ac:dyDescent="0.25">
      <c r="A104" s="462"/>
    </row>
    <row r="105" spans="1:1" x14ac:dyDescent="0.25">
      <c r="A105" s="462"/>
    </row>
    <row r="106" spans="1:1" x14ac:dyDescent="0.25">
      <c r="A106" s="462"/>
    </row>
    <row r="107" spans="1:1" x14ac:dyDescent="0.25">
      <c r="A107" s="462"/>
    </row>
    <row r="108" spans="1:1" x14ac:dyDescent="0.25">
      <c r="A108" s="462"/>
    </row>
    <row r="109" spans="1:1" x14ac:dyDescent="0.25">
      <c r="A109" s="462"/>
    </row>
    <row r="110" spans="1:1" x14ac:dyDescent="0.25">
      <c r="A110" s="462"/>
    </row>
    <row r="111" spans="1:1" x14ac:dyDescent="0.25">
      <c r="A111" s="462"/>
    </row>
    <row r="112" spans="1:1" x14ac:dyDescent="0.25">
      <c r="A112" s="462"/>
    </row>
    <row r="113" spans="1:1" x14ac:dyDescent="0.25">
      <c r="A113" s="462"/>
    </row>
    <row r="114" spans="1:1" x14ac:dyDescent="0.25">
      <c r="A114" s="462"/>
    </row>
    <row r="115" spans="1:1" x14ac:dyDescent="0.25">
      <c r="A115" s="462"/>
    </row>
    <row r="116" spans="1:1" x14ac:dyDescent="0.25">
      <c r="A116" s="462"/>
    </row>
    <row r="117" spans="1:1" x14ac:dyDescent="0.25">
      <c r="A117" s="462"/>
    </row>
    <row r="118" spans="1:1" x14ac:dyDescent="0.25">
      <c r="A118" s="462"/>
    </row>
    <row r="119" spans="1:1" x14ac:dyDescent="0.25">
      <c r="A119" s="462"/>
    </row>
    <row r="120" spans="1:1" x14ac:dyDescent="0.25">
      <c r="A120" s="462"/>
    </row>
    <row r="121" spans="1:1" x14ac:dyDescent="0.25">
      <c r="A121" s="462"/>
    </row>
    <row r="122" spans="1:1" x14ac:dyDescent="0.25">
      <c r="A122" s="462"/>
    </row>
    <row r="123" spans="1:1" x14ac:dyDescent="0.25">
      <c r="A123" s="462"/>
    </row>
    <row r="124" spans="1:1" x14ac:dyDescent="0.25">
      <c r="A124" s="462"/>
    </row>
    <row r="125" spans="1:1" x14ac:dyDescent="0.25">
      <c r="A125" s="462"/>
    </row>
    <row r="126" spans="1:1" x14ac:dyDescent="0.25">
      <c r="A126" s="462"/>
    </row>
    <row r="127" spans="1:1" x14ac:dyDescent="0.25">
      <c r="A127" s="462"/>
    </row>
    <row r="128" spans="1:1" x14ac:dyDescent="0.25">
      <c r="A128" s="462"/>
    </row>
    <row r="129" spans="1:1" x14ac:dyDescent="0.25">
      <c r="A129" s="462"/>
    </row>
    <row r="130" spans="1:1" x14ac:dyDescent="0.25">
      <c r="A130" s="462"/>
    </row>
    <row r="131" spans="1:1" x14ac:dyDescent="0.25">
      <c r="A131" s="462"/>
    </row>
    <row r="132" spans="1:1" x14ac:dyDescent="0.25">
      <c r="A132" s="462"/>
    </row>
    <row r="133" spans="1:1" x14ac:dyDescent="0.25">
      <c r="A133" s="462"/>
    </row>
    <row r="134" spans="1:1" x14ac:dyDescent="0.25">
      <c r="A134" s="462"/>
    </row>
    <row r="135" spans="1:1" x14ac:dyDescent="0.25">
      <c r="A135" s="462"/>
    </row>
    <row r="136" spans="1:1" x14ac:dyDescent="0.25">
      <c r="A136" s="462"/>
    </row>
    <row r="137" spans="1:1" x14ac:dyDescent="0.25">
      <c r="A137" s="462"/>
    </row>
    <row r="138" spans="1:1" x14ac:dyDescent="0.25">
      <c r="A138" s="462"/>
    </row>
    <row r="139" spans="1:1" x14ac:dyDescent="0.25">
      <c r="A139" s="462"/>
    </row>
    <row r="140" spans="1:1" x14ac:dyDescent="0.25">
      <c r="A140" s="462"/>
    </row>
    <row r="141" spans="1:1" x14ac:dyDescent="0.25">
      <c r="A141" s="462"/>
    </row>
    <row r="142" spans="1:1" x14ac:dyDescent="0.25">
      <c r="A142" s="462"/>
    </row>
    <row r="143" spans="1:1" x14ac:dyDescent="0.25">
      <c r="A143" s="462"/>
    </row>
    <row r="144" spans="1:1" x14ac:dyDescent="0.25">
      <c r="A144" s="462"/>
    </row>
    <row r="145" spans="1:1" x14ac:dyDescent="0.25">
      <c r="A145" s="462"/>
    </row>
    <row r="146" spans="1:1" x14ac:dyDescent="0.25">
      <c r="A146" s="462"/>
    </row>
    <row r="147" spans="1:1" x14ac:dyDescent="0.25">
      <c r="A147" s="462"/>
    </row>
    <row r="148" spans="1:1" x14ac:dyDescent="0.25">
      <c r="A148" s="462"/>
    </row>
    <row r="149" spans="1:1" x14ac:dyDescent="0.25">
      <c r="A149" s="462"/>
    </row>
    <row r="150" spans="1:1" x14ac:dyDescent="0.25">
      <c r="A150" s="462"/>
    </row>
    <row r="151" spans="1:1" x14ac:dyDescent="0.25">
      <c r="A151" s="462"/>
    </row>
    <row r="152" spans="1:1" x14ac:dyDescent="0.25">
      <c r="A152" s="462"/>
    </row>
    <row r="153" spans="1:1" x14ac:dyDescent="0.25">
      <c r="A153" s="462"/>
    </row>
    <row r="154" spans="1:1" x14ac:dyDescent="0.25">
      <c r="A154" s="462"/>
    </row>
    <row r="155" spans="1:1" x14ac:dyDescent="0.25">
      <c r="A155" s="462"/>
    </row>
    <row r="156" spans="1:1" x14ac:dyDescent="0.25">
      <c r="A156" s="462"/>
    </row>
    <row r="157" spans="1:1" x14ac:dyDescent="0.25">
      <c r="A157" s="462"/>
    </row>
    <row r="158" spans="1:1" x14ac:dyDescent="0.25">
      <c r="A158" s="462"/>
    </row>
    <row r="159" spans="1:1" x14ac:dyDescent="0.25">
      <c r="A159" s="462"/>
    </row>
    <row r="160" spans="1:1" x14ac:dyDescent="0.25">
      <c r="A160" s="462"/>
    </row>
    <row r="161" spans="1:1" x14ac:dyDescent="0.25">
      <c r="A161" s="462"/>
    </row>
    <row r="162" spans="1:1" x14ac:dyDescent="0.25">
      <c r="A162" s="462"/>
    </row>
    <row r="163" spans="1:1" x14ac:dyDescent="0.25">
      <c r="A163" s="462"/>
    </row>
    <row r="164" spans="1:1" x14ac:dyDescent="0.25">
      <c r="A164" s="462"/>
    </row>
    <row r="165" spans="1:1" x14ac:dyDescent="0.25">
      <c r="A165" s="462"/>
    </row>
    <row r="166" spans="1:1" x14ac:dyDescent="0.25">
      <c r="A166" s="462"/>
    </row>
    <row r="167" spans="1:1" x14ac:dyDescent="0.25">
      <c r="A167" s="462"/>
    </row>
    <row r="168" spans="1:1" x14ac:dyDescent="0.25">
      <c r="A168" s="462"/>
    </row>
    <row r="169" spans="1:1" x14ac:dyDescent="0.25">
      <c r="A169" s="462"/>
    </row>
    <row r="170" spans="1:1" x14ac:dyDescent="0.25">
      <c r="A170" s="462"/>
    </row>
    <row r="171" spans="1:1" x14ac:dyDescent="0.25">
      <c r="A171" s="462"/>
    </row>
    <row r="172" spans="1:1" x14ac:dyDescent="0.25">
      <c r="A172" s="462"/>
    </row>
    <row r="173" spans="1:1" x14ac:dyDescent="0.25">
      <c r="A173" s="462"/>
    </row>
    <row r="174" spans="1:1" x14ac:dyDescent="0.25">
      <c r="A174" s="462"/>
    </row>
    <row r="175" spans="1:1" x14ac:dyDescent="0.25">
      <c r="A175" s="462"/>
    </row>
    <row r="176" spans="1:1" x14ac:dyDescent="0.25">
      <c r="A176" s="462"/>
    </row>
    <row r="177" spans="1:1" x14ac:dyDescent="0.25">
      <c r="A177" s="462"/>
    </row>
    <row r="178" spans="1:1" x14ac:dyDescent="0.25">
      <c r="A178" s="462"/>
    </row>
    <row r="179" spans="1:1" x14ac:dyDescent="0.25">
      <c r="A179" s="462"/>
    </row>
    <row r="180" spans="1:1" x14ac:dyDescent="0.25">
      <c r="A180" s="462"/>
    </row>
    <row r="181" spans="1:1" x14ac:dyDescent="0.25">
      <c r="A181" s="462"/>
    </row>
    <row r="182" spans="1:1" x14ac:dyDescent="0.25">
      <c r="A182" s="462"/>
    </row>
    <row r="183" spans="1:1" x14ac:dyDescent="0.25">
      <c r="A183" s="462"/>
    </row>
    <row r="184" spans="1:1" x14ac:dyDescent="0.25">
      <c r="A184" s="462"/>
    </row>
    <row r="185" spans="1:1" x14ac:dyDescent="0.25">
      <c r="A185" s="462"/>
    </row>
    <row r="186" spans="1:1" x14ac:dyDescent="0.25">
      <c r="A186" s="462"/>
    </row>
    <row r="187" spans="1:1" x14ac:dyDescent="0.25">
      <c r="A187" s="462"/>
    </row>
    <row r="188" spans="1:1" x14ac:dyDescent="0.25">
      <c r="A188" s="462"/>
    </row>
    <row r="189" spans="1:1" x14ac:dyDescent="0.25">
      <c r="A189" s="462"/>
    </row>
    <row r="190" spans="1:1" x14ac:dyDescent="0.25">
      <c r="A190" s="462"/>
    </row>
    <row r="191" spans="1:1" x14ac:dyDescent="0.25">
      <c r="A191" s="462"/>
    </row>
    <row r="192" spans="1:1" x14ac:dyDescent="0.25">
      <c r="A192" s="462"/>
    </row>
    <row r="193" spans="1:1" x14ac:dyDescent="0.25">
      <c r="A193" s="462"/>
    </row>
    <row r="194" spans="1:1" x14ac:dyDescent="0.25">
      <c r="A194" s="462"/>
    </row>
    <row r="195" spans="1:1" x14ac:dyDescent="0.25">
      <c r="A195" s="462"/>
    </row>
    <row r="196" spans="1:1" x14ac:dyDescent="0.25">
      <c r="A196" s="462"/>
    </row>
    <row r="197" spans="1:1" x14ac:dyDescent="0.25">
      <c r="A197" s="462"/>
    </row>
    <row r="198" spans="1:1" x14ac:dyDescent="0.25">
      <c r="A198" s="462"/>
    </row>
    <row r="199" spans="1:1" x14ac:dyDescent="0.25">
      <c r="A199" s="462"/>
    </row>
    <row r="200" spans="1:1" x14ac:dyDescent="0.25">
      <c r="A200" s="462"/>
    </row>
    <row r="201" spans="1:1" x14ac:dyDescent="0.25">
      <c r="A201" s="462"/>
    </row>
    <row r="202" spans="1:1" x14ac:dyDescent="0.25">
      <c r="A202" s="462"/>
    </row>
    <row r="203" spans="1:1" x14ac:dyDescent="0.25">
      <c r="A203" s="462"/>
    </row>
    <row r="204" spans="1:1" x14ac:dyDescent="0.25">
      <c r="A204" s="462"/>
    </row>
    <row r="205" spans="1:1" x14ac:dyDescent="0.25">
      <c r="A205" s="462"/>
    </row>
    <row r="206" spans="1:1" x14ac:dyDescent="0.25">
      <c r="A206" s="462"/>
    </row>
    <row r="207" spans="1:1" x14ac:dyDescent="0.25">
      <c r="A207" s="462"/>
    </row>
    <row r="208" spans="1:1" x14ac:dyDescent="0.25">
      <c r="A208" s="462"/>
    </row>
    <row r="209" spans="1:1" x14ac:dyDescent="0.25">
      <c r="A209" s="462"/>
    </row>
    <row r="210" spans="1:1" x14ac:dyDescent="0.25">
      <c r="A210" s="462"/>
    </row>
    <row r="211" spans="1:1" x14ac:dyDescent="0.25">
      <c r="A211" s="462"/>
    </row>
    <row r="212" spans="1:1" x14ac:dyDescent="0.25">
      <c r="A212" s="462"/>
    </row>
    <row r="213" spans="1:1" x14ac:dyDescent="0.25">
      <c r="A213" s="462"/>
    </row>
    <row r="214" spans="1:1" x14ac:dyDescent="0.25">
      <c r="A214" s="462"/>
    </row>
    <row r="215" spans="1:1" x14ac:dyDescent="0.25">
      <c r="A215" s="462"/>
    </row>
    <row r="216" spans="1:1" x14ac:dyDescent="0.25">
      <c r="A216" s="462"/>
    </row>
    <row r="217" spans="1:1" x14ac:dyDescent="0.25">
      <c r="A217" s="462"/>
    </row>
    <row r="218" spans="1:1" x14ac:dyDescent="0.25">
      <c r="A218" s="462"/>
    </row>
    <row r="219" spans="1:1" x14ac:dyDescent="0.25">
      <c r="A219" s="462"/>
    </row>
    <row r="220" spans="1:1" x14ac:dyDescent="0.25">
      <c r="A220" s="462"/>
    </row>
    <row r="221" spans="1:1" x14ac:dyDescent="0.25">
      <c r="A221" s="462"/>
    </row>
    <row r="222" spans="1:1" x14ac:dyDescent="0.25">
      <c r="A222" s="462"/>
    </row>
    <row r="223" spans="1:1" x14ac:dyDescent="0.25">
      <c r="A223" s="462"/>
    </row>
    <row r="224" spans="1:1" x14ac:dyDescent="0.25">
      <c r="A224" s="462"/>
    </row>
    <row r="225" spans="1:1" x14ac:dyDescent="0.25">
      <c r="A225" s="462"/>
    </row>
    <row r="226" spans="1:1" x14ac:dyDescent="0.25">
      <c r="A226" s="462"/>
    </row>
    <row r="227" spans="1:1" x14ac:dyDescent="0.25">
      <c r="A227" s="462"/>
    </row>
    <row r="228" spans="1:1" x14ac:dyDescent="0.25">
      <c r="A228" s="462"/>
    </row>
    <row r="229" spans="1:1" x14ac:dyDescent="0.25">
      <c r="A229" s="462"/>
    </row>
    <row r="230" spans="1:1" x14ac:dyDescent="0.25">
      <c r="A230" s="462"/>
    </row>
    <row r="231" spans="1:1" x14ac:dyDescent="0.25">
      <c r="A231" s="462"/>
    </row>
    <row r="232" spans="1:1" x14ac:dyDescent="0.25">
      <c r="A232" s="462"/>
    </row>
    <row r="233" spans="1:1" x14ac:dyDescent="0.25">
      <c r="A233" s="462"/>
    </row>
    <row r="234" spans="1:1" x14ac:dyDescent="0.25">
      <c r="A234" s="462"/>
    </row>
    <row r="235" spans="1:1" x14ac:dyDescent="0.25">
      <c r="A235" s="462"/>
    </row>
    <row r="236" spans="1:1" x14ac:dyDescent="0.25">
      <c r="A236" s="462"/>
    </row>
    <row r="237" spans="1:1" x14ac:dyDescent="0.25">
      <c r="A237" s="462"/>
    </row>
    <row r="238" spans="1:1" x14ac:dyDescent="0.25">
      <c r="A238" s="462"/>
    </row>
    <row r="239" spans="1:1" x14ac:dyDescent="0.25">
      <c r="A239" s="462"/>
    </row>
    <row r="240" spans="1:1" x14ac:dyDescent="0.25">
      <c r="A240" s="462"/>
    </row>
    <row r="241" spans="1:1" x14ac:dyDescent="0.25">
      <c r="A241" s="462"/>
    </row>
    <row r="242" spans="1:1" x14ac:dyDescent="0.25">
      <c r="A242" s="462"/>
    </row>
    <row r="243" spans="1:1" x14ac:dyDescent="0.25">
      <c r="A243" s="462"/>
    </row>
    <row r="244" spans="1:1" x14ac:dyDescent="0.25">
      <c r="A244" s="462"/>
    </row>
    <row r="245" spans="1:1" x14ac:dyDescent="0.25">
      <c r="A245" s="462"/>
    </row>
    <row r="246" spans="1:1" x14ac:dyDescent="0.25">
      <c r="A246" s="462"/>
    </row>
    <row r="247" spans="1:1" x14ac:dyDescent="0.25">
      <c r="A247" s="462"/>
    </row>
    <row r="248" spans="1:1" x14ac:dyDescent="0.25">
      <c r="A248" s="462"/>
    </row>
    <row r="249" spans="1:1" x14ac:dyDescent="0.25">
      <c r="A249" s="462"/>
    </row>
    <row r="250" spans="1:1" x14ac:dyDescent="0.25">
      <c r="A250" s="462"/>
    </row>
    <row r="251" spans="1:1" x14ac:dyDescent="0.25">
      <c r="A251" s="462"/>
    </row>
    <row r="252" spans="1:1" x14ac:dyDescent="0.25">
      <c r="A252" s="462"/>
    </row>
    <row r="253" spans="1:1" x14ac:dyDescent="0.25">
      <c r="A253" s="462"/>
    </row>
    <row r="254" spans="1:1" x14ac:dyDescent="0.25">
      <c r="A254" s="462"/>
    </row>
    <row r="255" spans="1:1" x14ac:dyDescent="0.25">
      <c r="A255" s="462"/>
    </row>
    <row r="256" spans="1:1" x14ac:dyDescent="0.25">
      <c r="A256" s="462"/>
    </row>
    <row r="257" spans="1:1" x14ac:dyDescent="0.25">
      <c r="A257" s="462"/>
    </row>
    <row r="258" spans="1:1" x14ac:dyDescent="0.25">
      <c r="A258" s="462"/>
    </row>
    <row r="259" spans="1:1" x14ac:dyDescent="0.25">
      <c r="A259" s="462"/>
    </row>
    <row r="260" spans="1:1" x14ac:dyDescent="0.25">
      <c r="A260" s="462"/>
    </row>
    <row r="261" spans="1:1" x14ac:dyDescent="0.25">
      <c r="A261" s="462"/>
    </row>
    <row r="262" spans="1:1" x14ac:dyDescent="0.25">
      <c r="A262" s="462"/>
    </row>
    <row r="263" spans="1:1" x14ac:dyDescent="0.25">
      <c r="A263" s="462"/>
    </row>
    <row r="264" spans="1:1" x14ac:dyDescent="0.25">
      <c r="A264" s="462"/>
    </row>
    <row r="265" spans="1:1" x14ac:dyDescent="0.25">
      <c r="A265" s="462"/>
    </row>
    <row r="266" spans="1:1" x14ac:dyDescent="0.25">
      <c r="A266" s="462"/>
    </row>
    <row r="267" spans="1:1" x14ac:dyDescent="0.25">
      <c r="A267" s="462"/>
    </row>
    <row r="268" spans="1:1" x14ac:dyDescent="0.25">
      <c r="A268" s="462"/>
    </row>
    <row r="269" spans="1:1" x14ac:dyDescent="0.25">
      <c r="A269" s="462"/>
    </row>
    <row r="270" spans="1:1" x14ac:dyDescent="0.25">
      <c r="A270" s="462"/>
    </row>
    <row r="271" spans="1:1" x14ac:dyDescent="0.25">
      <c r="A271" s="462"/>
    </row>
    <row r="272" spans="1:1" x14ac:dyDescent="0.25">
      <c r="A272" s="462"/>
    </row>
    <row r="273" spans="1:1" x14ac:dyDescent="0.25">
      <c r="A273" s="462"/>
    </row>
    <row r="274" spans="1:1" x14ac:dyDescent="0.25">
      <c r="A274" s="462"/>
    </row>
    <row r="275" spans="1:1" x14ac:dyDescent="0.25">
      <c r="A275" s="462"/>
    </row>
    <row r="276" spans="1:1" x14ac:dyDescent="0.25">
      <c r="A276" s="462"/>
    </row>
    <row r="277" spans="1:1" x14ac:dyDescent="0.25">
      <c r="A277" s="462"/>
    </row>
    <row r="278" spans="1:1" x14ac:dyDescent="0.25">
      <c r="A278" s="462"/>
    </row>
    <row r="279" spans="1:1" x14ac:dyDescent="0.25">
      <c r="A279" s="462"/>
    </row>
    <row r="280" spans="1:1" x14ac:dyDescent="0.25">
      <c r="A280" s="462"/>
    </row>
    <row r="281" spans="1:1" x14ac:dyDescent="0.25">
      <c r="A281" s="462"/>
    </row>
    <row r="282" spans="1:1" x14ac:dyDescent="0.25">
      <c r="A282" s="462"/>
    </row>
    <row r="283" spans="1:1" x14ac:dyDescent="0.25">
      <c r="A283" s="462"/>
    </row>
    <row r="284" spans="1:1" x14ac:dyDescent="0.25">
      <c r="A284" s="462"/>
    </row>
    <row r="285" spans="1:1" x14ac:dyDescent="0.25">
      <c r="A285" s="462"/>
    </row>
    <row r="286" spans="1:1" x14ac:dyDescent="0.25">
      <c r="A286" s="462"/>
    </row>
    <row r="287" spans="1:1" x14ac:dyDescent="0.25">
      <c r="A287" s="462"/>
    </row>
    <row r="288" spans="1:1" x14ac:dyDescent="0.25">
      <c r="A288" s="462"/>
    </row>
    <row r="289" spans="1:1" x14ac:dyDescent="0.25">
      <c r="A289" s="462"/>
    </row>
    <row r="290" spans="1:1" x14ac:dyDescent="0.25">
      <c r="A290" s="462"/>
    </row>
    <row r="291" spans="1:1" x14ac:dyDescent="0.25">
      <c r="A291" s="462"/>
    </row>
    <row r="292" spans="1:1" x14ac:dyDescent="0.25">
      <c r="A292" s="462"/>
    </row>
    <row r="293" spans="1:1" x14ac:dyDescent="0.25">
      <c r="A293" s="462"/>
    </row>
    <row r="294" spans="1:1" x14ac:dyDescent="0.25">
      <c r="A294" s="462"/>
    </row>
    <row r="295" spans="1:1" x14ac:dyDescent="0.25">
      <c r="A295" s="462"/>
    </row>
    <row r="296" spans="1:1" x14ac:dyDescent="0.25">
      <c r="A296" s="462"/>
    </row>
    <row r="297" spans="1:1" x14ac:dyDescent="0.25">
      <c r="A297" s="462"/>
    </row>
    <row r="298" spans="1:1" x14ac:dyDescent="0.25">
      <c r="A298" s="462"/>
    </row>
    <row r="299" spans="1:1" x14ac:dyDescent="0.25">
      <c r="A299" s="462"/>
    </row>
    <row r="300" spans="1:1" x14ac:dyDescent="0.25">
      <c r="A300" s="462"/>
    </row>
    <row r="301" spans="1:1" x14ac:dyDescent="0.25">
      <c r="A301" s="462"/>
    </row>
    <row r="302" spans="1:1" x14ac:dyDescent="0.25">
      <c r="A302" s="462"/>
    </row>
    <row r="303" spans="1:1" x14ac:dyDescent="0.25">
      <c r="A303" s="462"/>
    </row>
    <row r="304" spans="1:1" x14ac:dyDescent="0.25">
      <c r="A304" s="462"/>
    </row>
    <row r="305" spans="1:1" x14ac:dyDescent="0.25">
      <c r="A305" s="462"/>
    </row>
    <row r="306" spans="1:1" x14ac:dyDescent="0.25">
      <c r="A306" s="462"/>
    </row>
    <row r="307" spans="1:1" x14ac:dyDescent="0.25">
      <c r="A307" s="462"/>
    </row>
    <row r="308" spans="1:1" x14ac:dyDescent="0.25">
      <c r="A308" s="462"/>
    </row>
    <row r="309" spans="1:1" x14ac:dyDescent="0.25">
      <c r="A309" s="462"/>
    </row>
    <row r="310" spans="1:1" x14ac:dyDescent="0.25">
      <c r="A310" s="462"/>
    </row>
    <row r="311" spans="1:1" x14ac:dyDescent="0.25">
      <c r="A311" s="462"/>
    </row>
    <row r="312" spans="1:1" x14ac:dyDescent="0.25">
      <c r="A312" s="462"/>
    </row>
    <row r="313" spans="1:1" x14ac:dyDescent="0.25">
      <c r="A313" s="462"/>
    </row>
    <row r="314" spans="1:1" x14ac:dyDescent="0.25">
      <c r="A314" s="462"/>
    </row>
    <row r="315" spans="1:1" x14ac:dyDescent="0.25">
      <c r="A315" s="462"/>
    </row>
    <row r="316" spans="1:1" x14ac:dyDescent="0.25">
      <c r="A316" s="462"/>
    </row>
    <row r="317" spans="1:1" x14ac:dyDescent="0.25">
      <c r="A317" s="462"/>
    </row>
    <row r="318" spans="1:1" x14ac:dyDescent="0.25">
      <c r="A318" s="462"/>
    </row>
    <row r="319" spans="1:1" x14ac:dyDescent="0.25">
      <c r="A319" s="462"/>
    </row>
    <row r="320" spans="1:1" x14ac:dyDescent="0.25">
      <c r="A320" s="462"/>
    </row>
    <row r="321" spans="1:1" x14ac:dyDescent="0.25">
      <c r="A321" s="462"/>
    </row>
    <row r="322" spans="1:1" x14ac:dyDescent="0.25">
      <c r="A322" s="462"/>
    </row>
    <row r="323" spans="1:1" x14ac:dyDescent="0.25">
      <c r="A323" s="462"/>
    </row>
    <row r="324" spans="1:1" x14ac:dyDescent="0.25">
      <c r="A324" s="462"/>
    </row>
    <row r="325" spans="1:1" x14ac:dyDescent="0.25">
      <c r="A325" s="462"/>
    </row>
    <row r="326" spans="1:1" x14ac:dyDescent="0.25">
      <c r="A326" s="462"/>
    </row>
    <row r="327" spans="1:1" x14ac:dyDescent="0.25">
      <c r="A327" s="462"/>
    </row>
    <row r="328" spans="1:1" x14ac:dyDescent="0.25">
      <c r="A328" s="462"/>
    </row>
    <row r="329" spans="1:1" x14ac:dyDescent="0.25">
      <c r="A329" s="462"/>
    </row>
    <row r="330" spans="1:1" x14ac:dyDescent="0.25">
      <c r="A330" s="462"/>
    </row>
    <row r="331" spans="1:1" x14ac:dyDescent="0.25">
      <c r="A331" s="462"/>
    </row>
    <row r="332" spans="1:1" x14ac:dyDescent="0.25">
      <c r="A332" s="462"/>
    </row>
    <row r="333" spans="1:1" x14ac:dyDescent="0.25">
      <c r="A333" s="462"/>
    </row>
    <row r="334" spans="1:1" x14ac:dyDescent="0.25">
      <c r="A334" s="462"/>
    </row>
    <row r="335" spans="1:1" x14ac:dyDescent="0.25">
      <c r="A335" s="462"/>
    </row>
    <row r="336" spans="1:1" x14ac:dyDescent="0.25">
      <c r="A336" s="462"/>
    </row>
    <row r="337" spans="1:1" x14ac:dyDescent="0.25">
      <c r="A337" s="462"/>
    </row>
    <row r="338" spans="1:1" x14ac:dyDescent="0.25">
      <c r="A338" s="462"/>
    </row>
    <row r="339" spans="1:1" x14ac:dyDescent="0.25">
      <c r="A339" s="462"/>
    </row>
    <row r="340" spans="1:1" x14ac:dyDescent="0.25">
      <c r="A340" s="462"/>
    </row>
    <row r="341" spans="1:1" x14ac:dyDescent="0.25">
      <c r="A341" s="462"/>
    </row>
    <row r="342" spans="1:1" x14ac:dyDescent="0.25">
      <c r="A342" s="462"/>
    </row>
    <row r="343" spans="1:1" x14ac:dyDescent="0.25">
      <c r="A343" s="462"/>
    </row>
    <row r="344" spans="1:1" x14ac:dyDescent="0.25">
      <c r="A344" s="462"/>
    </row>
    <row r="345" spans="1:1" x14ac:dyDescent="0.25">
      <c r="A345" s="462"/>
    </row>
    <row r="346" spans="1:1" x14ac:dyDescent="0.25">
      <c r="A346" s="462"/>
    </row>
    <row r="347" spans="1:1" x14ac:dyDescent="0.25">
      <c r="A347" s="462"/>
    </row>
    <row r="348" spans="1:1" x14ac:dyDescent="0.25">
      <c r="A348" s="462"/>
    </row>
    <row r="349" spans="1:1" x14ac:dyDescent="0.25">
      <c r="A349" s="462"/>
    </row>
    <row r="350" spans="1:1" x14ac:dyDescent="0.25">
      <c r="A350" s="462"/>
    </row>
    <row r="351" spans="1:1" x14ac:dyDescent="0.25">
      <c r="A351" s="462"/>
    </row>
    <row r="352" spans="1:1" x14ac:dyDescent="0.25">
      <c r="A352" s="462"/>
    </row>
    <row r="353" spans="1:1" x14ac:dyDescent="0.25">
      <c r="A353" s="462"/>
    </row>
    <row r="354" spans="1:1" x14ac:dyDescent="0.25">
      <c r="A354" s="462"/>
    </row>
    <row r="355" spans="1:1" x14ac:dyDescent="0.25">
      <c r="A355" s="462"/>
    </row>
    <row r="356" spans="1:1" x14ac:dyDescent="0.25">
      <c r="A356" s="462"/>
    </row>
    <row r="357" spans="1:1" x14ac:dyDescent="0.25">
      <c r="A357" s="462"/>
    </row>
    <row r="358" spans="1:1" x14ac:dyDescent="0.25">
      <c r="A358" s="462"/>
    </row>
    <row r="359" spans="1:1" x14ac:dyDescent="0.25">
      <c r="A359" s="462"/>
    </row>
    <row r="360" spans="1:1" x14ac:dyDescent="0.25">
      <c r="A360" s="462"/>
    </row>
    <row r="361" spans="1:1" x14ac:dyDescent="0.25">
      <c r="A361" s="462"/>
    </row>
    <row r="362" spans="1:1" x14ac:dyDescent="0.25">
      <c r="A362" s="462"/>
    </row>
    <row r="363" spans="1:1" x14ac:dyDescent="0.25">
      <c r="A363" s="462"/>
    </row>
    <row r="364" spans="1:1" x14ac:dyDescent="0.25">
      <c r="A364" s="462"/>
    </row>
    <row r="365" spans="1:1" x14ac:dyDescent="0.25">
      <c r="A365" s="462"/>
    </row>
    <row r="366" spans="1:1" x14ac:dyDescent="0.25">
      <c r="A366" s="462"/>
    </row>
    <row r="367" spans="1:1" x14ac:dyDescent="0.25">
      <c r="A367" s="462"/>
    </row>
    <row r="368" spans="1:1" x14ac:dyDescent="0.25">
      <c r="A368" s="462"/>
    </row>
    <row r="369" spans="1:1" x14ac:dyDescent="0.25">
      <c r="A369" s="462"/>
    </row>
    <row r="370" spans="1:1" x14ac:dyDescent="0.25">
      <c r="A370" s="462"/>
    </row>
    <row r="371" spans="1:1" x14ac:dyDescent="0.25">
      <c r="A371" s="462"/>
    </row>
    <row r="372" spans="1:1" x14ac:dyDescent="0.25">
      <c r="A372" s="462"/>
    </row>
    <row r="373" spans="1:1" x14ac:dyDescent="0.25">
      <c r="A373" s="462"/>
    </row>
    <row r="374" spans="1:1" x14ac:dyDescent="0.25">
      <c r="A374" s="462"/>
    </row>
    <row r="375" spans="1:1" x14ac:dyDescent="0.25">
      <c r="A375" s="462"/>
    </row>
    <row r="376" spans="1:1" x14ac:dyDescent="0.25">
      <c r="A376" s="462"/>
    </row>
    <row r="377" spans="1:1" x14ac:dyDescent="0.25">
      <c r="A377" s="462"/>
    </row>
    <row r="378" spans="1:1" x14ac:dyDescent="0.25">
      <c r="A378" s="462"/>
    </row>
    <row r="379" spans="1:1" x14ac:dyDescent="0.25">
      <c r="A379" s="462"/>
    </row>
    <row r="380" spans="1:1" x14ac:dyDescent="0.25">
      <c r="A380" s="462"/>
    </row>
    <row r="381" spans="1:1" x14ac:dyDescent="0.25">
      <c r="A381" s="462"/>
    </row>
    <row r="382" spans="1:1" x14ac:dyDescent="0.25">
      <c r="A382" s="462"/>
    </row>
    <row r="383" spans="1:1" x14ac:dyDescent="0.25">
      <c r="A383" s="462"/>
    </row>
    <row r="384" spans="1:1" x14ac:dyDescent="0.25">
      <c r="A384" s="462"/>
    </row>
    <row r="385" spans="1:1" x14ac:dyDescent="0.25">
      <c r="A385" s="462"/>
    </row>
    <row r="386" spans="1:1" x14ac:dyDescent="0.25">
      <c r="A386" s="462"/>
    </row>
    <row r="387" spans="1:1" x14ac:dyDescent="0.25">
      <c r="A387" s="462"/>
    </row>
    <row r="388" spans="1:1" x14ac:dyDescent="0.25">
      <c r="A388" s="462"/>
    </row>
    <row r="389" spans="1:1" x14ac:dyDescent="0.25">
      <c r="A389" s="462"/>
    </row>
    <row r="390" spans="1:1" x14ac:dyDescent="0.25">
      <c r="A390" s="462"/>
    </row>
    <row r="391" spans="1:1" x14ac:dyDescent="0.25">
      <c r="A391" s="462"/>
    </row>
    <row r="392" spans="1:1" x14ac:dyDescent="0.25">
      <c r="A392" s="462"/>
    </row>
    <row r="393" spans="1:1" x14ac:dyDescent="0.25">
      <c r="A393" s="462"/>
    </row>
    <row r="394" spans="1:1" x14ac:dyDescent="0.25">
      <c r="A394" s="462"/>
    </row>
    <row r="395" spans="1:1" x14ac:dyDescent="0.25">
      <c r="A395" s="462"/>
    </row>
    <row r="396" spans="1:1" x14ac:dyDescent="0.25">
      <c r="A396" s="462"/>
    </row>
    <row r="397" spans="1:1" x14ac:dyDescent="0.25">
      <c r="A397" s="462"/>
    </row>
    <row r="398" spans="1:1" x14ac:dyDescent="0.25">
      <c r="A398" s="462"/>
    </row>
    <row r="399" spans="1:1" x14ac:dyDescent="0.25">
      <c r="A399" s="462"/>
    </row>
    <row r="400" spans="1:1" x14ac:dyDescent="0.25">
      <c r="A400" s="462"/>
    </row>
    <row r="401" spans="1:1" x14ac:dyDescent="0.25">
      <c r="A401" s="462"/>
    </row>
    <row r="402" spans="1:1" x14ac:dyDescent="0.25">
      <c r="A402" s="462"/>
    </row>
    <row r="403" spans="1:1" x14ac:dyDescent="0.25">
      <c r="A403" s="462"/>
    </row>
    <row r="404" spans="1:1" x14ac:dyDescent="0.25">
      <c r="A404" s="462"/>
    </row>
    <row r="405" spans="1:1" x14ac:dyDescent="0.25">
      <c r="A405" s="462"/>
    </row>
    <row r="406" spans="1:1" x14ac:dyDescent="0.25">
      <c r="A406" s="462"/>
    </row>
    <row r="407" spans="1:1" x14ac:dyDescent="0.25">
      <c r="A407" s="462"/>
    </row>
    <row r="408" spans="1:1" x14ac:dyDescent="0.25">
      <c r="A408" s="462"/>
    </row>
    <row r="409" spans="1:1" x14ac:dyDescent="0.25">
      <c r="A409" s="462"/>
    </row>
    <row r="410" spans="1:1" x14ac:dyDescent="0.25">
      <c r="A410" s="462"/>
    </row>
    <row r="411" spans="1:1" x14ac:dyDescent="0.25">
      <c r="A411" s="462"/>
    </row>
    <row r="412" spans="1:1" x14ac:dyDescent="0.25">
      <c r="A412" s="462"/>
    </row>
    <row r="413" spans="1:1" x14ac:dyDescent="0.25">
      <c r="A413" s="462"/>
    </row>
    <row r="414" spans="1:1" x14ac:dyDescent="0.25">
      <c r="A414" s="462"/>
    </row>
    <row r="415" spans="1:1" x14ac:dyDescent="0.25">
      <c r="A415" s="462"/>
    </row>
    <row r="416" spans="1:1" x14ac:dyDescent="0.25">
      <c r="A416" s="462"/>
    </row>
    <row r="417" spans="1:1" x14ac:dyDescent="0.25">
      <c r="A417" s="462"/>
    </row>
    <row r="418" spans="1:1" x14ac:dyDescent="0.25">
      <c r="A418" s="462"/>
    </row>
    <row r="419" spans="1:1" x14ac:dyDescent="0.25">
      <c r="A419" s="462"/>
    </row>
    <row r="420" spans="1:1" x14ac:dyDescent="0.25">
      <c r="A420" s="462"/>
    </row>
    <row r="421" spans="1:1" x14ac:dyDescent="0.25">
      <c r="A421" s="462"/>
    </row>
    <row r="422" spans="1:1" x14ac:dyDescent="0.25">
      <c r="A422" s="462"/>
    </row>
    <row r="423" spans="1:1" x14ac:dyDescent="0.25">
      <c r="A423" s="462"/>
    </row>
    <row r="424" spans="1:1" x14ac:dyDescent="0.25">
      <c r="A424" s="462"/>
    </row>
    <row r="425" spans="1:1" x14ac:dyDescent="0.25">
      <c r="A425" s="462"/>
    </row>
    <row r="426" spans="1:1" x14ac:dyDescent="0.25">
      <c r="A426" s="462"/>
    </row>
    <row r="427" spans="1:1" x14ac:dyDescent="0.25">
      <c r="A427" s="462"/>
    </row>
    <row r="428" spans="1:1" x14ac:dyDescent="0.25">
      <c r="A428" s="462"/>
    </row>
    <row r="429" spans="1:1" x14ac:dyDescent="0.25">
      <c r="A429" s="462"/>
    </row>
    <row r="430" spans="1:1" x14ac:dyDescent="0.25">
      <c r="A430" s="462"/>
    </row>
    <row r="431" spans="1:1" x14ac:dyDescent="0.25">
      <c r="A431" s="462"/>
    </row>
    <row r="432" spans="1:1" x14ac:dyDescent="0.25">
      <c r="A432" s="462"/>
    </row>
    <row r="433" spans="1:1" x14ac:dyDescent="0.25">
      <c r="A433" s="462"/>
    </row>
    <row r="434" spans="1:1" x14ac:dyDescent="0.25">
      <c r="A434" s="462"/>
    </row>
    <row r="435" spans="1:1" x14ac:dyDescent="0.25">
      <c r="A435" s="462"/>
    </row>
    <row r="436" spans="1:1" x14ac:dyDescent="0.25">
      <c r="A436" s="462"/>
    </row>
    <row r="437" spans="1:1" x14ac:dyDescent="0.25">
      <c r="A437" s="462"/>
    </row>
    <row r="438" spans="1:1" x14ac:dyDescent="0.25">
      <c r="A438" s="462"/>
    </row>
    <row r="439" spans="1:1" x14ac:dyDescent="0.25">
      <c r="A439" s="462"/>
    </row>
    <row r="440" spans="1:1" x14ac:dyDescent="0.25">
      <c r="A440" s="462"/>
    </row>
    <row r="441" spans="1:1" x14ac:dyDescent="0.25">
      <c r="A441" s="462"/>
    </row>
    <row r="442" spans="1:1" x14ac:dyDescent="0.25">
      <c r="A442" s="462"/>
    </row>
    <row r="443" spans="1:1" x14ac:dyDescent="0.25">
      <c r="A443" s="462"/>
    </row>
    <row r="444" spans="1:1" x14ac:dyDescent="0.25">
      <c r="A444" s="462"/>
    </row>
    <row r="445" spans="1:1" x14ac:dyDescent="0.25">
      <c r="A445" s="462"/>
    </row>
    <row r="446" spans="1:1" x14ac:dyDescent="0.25">
      <c r="A446" s="462"/>
    </row>
    <row r="447" spans="1:1" x14ac:dyDescent="0.25">
      <c r="A447" s="462"/>
    </row>
    <row r="448" spans="1:1" x14ac:dyDescent="0.25">
      <c r="A448" s="462"/>
    </row>
    <row r="449" spans="1:1" x14ac:dyDescent="0.25">
      <c r="A449" s="462"/>
    </row>
    <row r="450" spans="1:1" x14ac:dyDescent="0.25">
      <c r="A450" s="462"/>
    </row>
    <row r="451" spans="1:1" x14ac:dyDescent="0.25">
      <c r="A451" s="462"/>
    </row>
    <row r="452" spans="1:1" x14ac:dyDescent="0.25">
      <c r="A452" s="462"/>
    </row>
    <row r="453" spans="1:1" x14ac:dyDescent="0.25">
      <c r="A453" s="462"/>
    </row>
    <row r="454" spans="1:1" x14ac:dyDescent="0.25">
      <c r="A454" s="462"/>
    </row>
    <row r="455" spans="1:1" x14ac:dyDescent="0.25">
      <c r="A455" s="462"/>
    </row>
    <row r="456" spans="1:1" x14ac:dyDescent="0.25">
      <c r="A456" s="462"/>
    </row>
    <row r="457" spans="1:1" x14ac:dyDescent="0.25">
      <c r="A457" s="462"/>
    </row>
    <row r="458" spans="1:1" x14ac:dyDescent="0.25">
      <c r="A458" s="462"/>
    </row>
    <row r="459" spans="1:1" x14ac:dyDescent="0.25">
      <c r="A459" s="462"/>
    </row>
    <row r="460" spans="1:1" x14ac:dyDescent="0.25">
      <c r="A460" s="462"/>
    </row>
    <row r="461" spans="1:1" x14ac:dyDescent="0.25">
      <c r="A461" s="462"/>
    </row>
    <row r="462" spans="1:1" x14ac:dyDescent="0.25">
      <c r="A462" s="462"/>
    </row>
    <row r="463" spans="1:1" x14ac:dyDescent="0.25">
      <c r="A463" s="462"/>
    </row>
    <row r="464" spans="1:1" x14ac:dyDescent="0.25">
      <c r="A464" s="462"/>
    </row>
    <row r="465" spans="1:1" x14ac:dyDescent="0.25">
      <c r="A465" s="462"/>
    </row>
    <row r="466" spans="1:1" x14ac:dyDescent="0.25">
      <c r="A466" s="462"/>
    </row>
    <row r="467" spans="1:1" x14ac:dyDescent="0.25">
      <c r="A467" s="462"/>
    </row>
    <row r="468" spans="1:1" x14ac:dyDescent="0.25">
      <c r="A468" s="462"/>
    </row>
    <row r="469" spans="1:1" x14ac:dyDescent="0.25">
      <c r="A469" s="462"/>
    </row>
    <row r="470" spans="1:1" x14ac:dyDescent="0.25">
      <c r="A470" s="462"/>
    </row>
    <row r="471" spans="1:1" x14ac:dyDescent="0.25">
      <c r="A471" s="462"/>
    </row>
    <row r="472" spans="1:1" x14ac:dyDescent="0.25">
      <c r="A472" s="462"/>
    </row>
    <row r="473" spans="1:1" x14ac:dyDescent="0.25">
      <c r="A473" s="462"/>
    </row>
    <row r="474" spans="1:1" x14ac:dyDescent="0.25">
      <c r="A474" s="462"/>
    </row>
    <row r="475" spans="1:1" x14ac:dyDescent="0.25">
      <c r="A475" s="462"/>
    </row>
    <row r="476" spans="1:1" x14ac:dyDescent="0.25">
      <c r="A476" s="462"/>
    </row>
    <row r="477" spans="1:1" x14ac:dyDescent="0.25">
      <c r="A477" s="462"/>
    </row>
    <row r="478" spans="1:1" x14ac:dyDescent="0.25">
      <c r="A478" s="462"/>
    </row>
    <row r="479" spans="1:1" x14ac:dyDescent="0.25">
      <c r="A479" s="462"/>
    </row>
    <row r="480" spans="1:1" x14ac:dyDescent="0.25">
      <c r="A480" s="462"/>
    </row>
    <row r="481" spans="1:1" x14ac:dyDescent="0.25">
      <c r="A481" s="462"/>
    </row>
    <row r="482" spans="1:1" x14ac:dyDescent="0.25">
      <c r="A482" s="462"/>
    </row>
    <row r="483" spans="1:1" x14ac:dyDescent="0.25">
      <c r="A483" s="462"/>
    </row>
    <row r="484" spans="1:1" x14ac:dyDescent="0.25">
      <c r="A484" s="462"/>
    </row>
    <row r="485" spans="1:1" x14ac:dyDescent="0.25">
      <c r="A485" s="462"/>
    </row>
    <row r="486" spans="1:1" x14ac:dyDescent="0.25">
      <c r="A486" s="462"/>
    </row>
    <row r="487" spans="1:1" x14ac:dyDescent="0.25">
      <c r="A487" s="462"/>
    </row>
    <row r="488" spans="1:1" x14ac:dyDescent="0.25">
      <c r="A488" s="462"/>
    </row>
    <row r="489" spans="1:1" x14ac:dyDescent="0.25">
      <c r="A489" s="462"/>
    </row>
    <row r="490" spans="1:1" x14ac:dyDescent="0.25">
      <c r="A490" s="462"/>
    </row>
    <row r="491" spans="1:1" x14ac:dyDescent="0.25">
      <c r="A491" s="462"/>
    </row>
    <row r="492" spans="1:1" x14ac:dyDescent="0.25">
      <c r="A492" s="462"/>
    </row>
    <row r="493" spans="1:1" x14ac:dyDescent="0.25">
      <c r="A493" s="462"/>
    </row>
    <row r="494" spans="1:1" x14ac:dyDescent="0.25">
      <c r="A494" s="462"/>
    </row>
    <row r="495" spans="1:1" x14ac:dyDescent="0.25">
      <c r="A495" s="462"/>
    </row>
    <row r="496" spans="1:1" x14ac:dyDescent="0.25">
      <c r="A496" s="462"/>
    </row>
    <row r="497" spans="1:1" x14ac:dyDescent="0.25">
      <c r="A497" s="462"/>
    </row>
    <row r="498" spans="1:1" x14ac:dyDescent="0.25">
      <c r="A498" s="462"/>
    </row>
    <row r="499" spans="1:1" x14ac:dyDescent="0.25">
      <c r="A499" s="462"/>
    </row>
    <row r="500" spans="1:1" x14ac:dyDescent="0.25">
      <c r="A500" s="462"/>
    </row>
    <row r="501" spans="1:1" x14ac:dyDescent="0.25">
      <c r="A501" s="462"/>
    </row>
    <row r="502" spans="1:1" x14ac:dyDescent="0.25">
      <c r="A502" s="462"/>
    </row>
    <row r="503" spans="1:1" x14ac:dyDescent="0.25">
      <c r="A503" s="462"/>
    </row>
    <row r="504" spans="1:1" x14ac:dyDescent="0.25">
      <c r="A504" s="462"/>
    </row>
    <row r="505" spans="1:1" x14ac:dyDescent="0.25">
      <c r="A505" s="462"/>
    </row>
    <row r="506" spans="1:1" x14ac:dyDescent="0.25">
      <c r="A506" s="462"/>
    </row>
    <row r="507" spans="1:1" x14ac:dyDescent="0.25">
      <c r="A507" s="462"/>
    </row>
    <row r="508" spans="1:1" x14ac:dyDescent="0.25">
      <c r="A508" s="462"/>
    </row>
    <row r="509" spans="1:1" x14ac:dyDescent="0.25">
      <c r="A509" s="462"/>
    </row>
    <row r="510" spans="1:1" x14ac:dyDescent="0.25">
      <c r="A510" s="462"/>
    </row>
    <row r="511" spans="1:1" x14ac:dyDescent="0.25">
      <c r="A511" s="462"/>
    </row>
    <row r="512" spans="1:1" x14ac:dyDescent="0.25">
      <c r="A512" s="462"/>
    </row>
    <row r="513" spans="1:1" x14ac:dyDescent="0.25">
      <c r="A513" s="462"/>
    </row>
    <row r="514" spans="1:1" x14ac:dyDescent="0.25">
      <c r="A514" s="462"/>
    </row>
    <row r="515" spans="1:1" x14ac:dyDescent="0.25">
      <c r="A515" s="462"/>
    </row>
    <row r="516" spans="1:1" x14ac:dyDescent="0.25">
      <c r="A516" s="462"/>
    </row>
    <row r="517" spans="1:1" x14ac:dyDescent="0.25">
      <c r="A517" s="462"/>
    </row>
    <row r="518" spans="1:1" x14ac:dyDescent="0.25">
      <c r="A518" s="462"/>
    </row>
    <row r="519" spans="1:1" x14ac:dyDescent="0.25">
      <c r="A519" s="462"/>
    </row>
    <row r="520" spans="1:1" x14ac:dyDescent="0.25">
      <c r="A520" s="462"/>
    </row>
    <row r="521" spans="1:1" x14ac:dyDescent="0.25">
      <c r="A521" s="462"/>
    </row>
    <row r="522" spans="1:1" x14ac:dyDescent="0.25">
      <c r="A522" s="462"/>
    </row>
    <row r="523" spans="1:1" x14ac:dyDescent="0.25">
      <c r="A523" s="462"/>
    </row>
    <row r="524" spans="1:1" x14ac:dyDescent="0.25">
      <c r="A524" s="462"/>
    </row>
    <row r="525" spans="1:1" x14ac:dyDescent="0.25">
      <c r="A525" s="462"/>
    </row>
    <row r="526" spans="1:1" x14ac:dyDescent="0.25">
      <c r="A526" s="462"/>
    </row>
    <row r="527" spans="1:1" x14ac:dyDescent="0.25">
      <c r="A527" s="462"/>
    </row>
    <row r="528" spans="1:1" x14ac:dyDescent="0.25">
      <c r="A528" s="462"/>
    </row>
    <row r="529" spans="1:1" x14ac:dyDescent="0.25">
      <c r="A529" s="462"/>
    </row>
    <row r="530" spans="1:1" x14ac:dyDescent="0.25">
      <c r="A530" s="462"/>
    </row>
    <row r="531" spans="1:1" x14ac:dyDescent="0.25">
      <c r="A531" s="462"/>
    </row>
    <row r="532" spans="1:1" x14ac:dyDescent="0.25">
      <c r="A532" s="462"/>
    </row>
    <row r="533" spans="1:1" x14ac:dyDescent="0.25">
      <c r="A533" s="462"/>
    </row>
    <row r="534" spans="1:1" x14ac:dyDescent="0.25">
      <c r="A534" s="462"/>
    </row>
    <row r="535" spans="1:1" x14ac:dyDescent="0.25">
      <c r="A535" s="462"/>
    </row>
    <row r="536" spans="1:1" x14ac:dyDescent="0.25">
      <c r="A536" s="462"/>
    </row>
    <row r="537" spans="1:1" x14ac:dyDescent="0.25">
      <c r="A537" s="462"/>
    </row>
    <row r="538" spans="1:1" x14ac:dyDescent="0.25">
      <c r="A538" s="462"/>
    </row>
    <row r="539" spans="1:1" x14ac:dyDescent="0.25">
      <c r="A539" s="462"/>
    </row>
    <row r="540" spans="1:1" x14ac:dyDescent="0.25">
      <c r="A540" s="462"/>
    </row>
    <row r="541" spans="1:1" x14ac:dyDescent="0.25">
      <c r="A541" s="462"/>
    </row>
    <row r="542" spans="1:1" x14ac:dyDescent="0.25">
      <c r="A542" s="462"/>
    </row>
    <row r="543" spans="1:1" x14ac:dyDescent="0.25">
      <c r="A543" s="462"/>
    </row>
    <row r="544" spans="1:1" x14ac:dyDescent="0.25">
      <c r="A544" s="462"/>
    </row>
    <row r="545" spans="1:1" x14ac:dyDescent="0.25">
      <c r="A545" s="462"/>
    </row>
    <row r="546" spans="1:1" x14ac:dyDescent="0.25">
      <c r="A546" s="462"/>
    </row>
    <row r="547" spans="1:1" x14ac:dyDescent="0.25">
      <c r="A547" s="462"/>
    </row>
    <row r="548" spans="1:1" x14ac:dyDescent="0.25">
      <c r="A548" s="462"/>
    </row>
    <row r="549" spans="1:1" x14ac:dyDescent="0.25">
      <c r="A549" s="462"/>
    </row>
    <row r="550" spans="1:1" x14ac:dyDescent="0.25">
      <c r="A550" s="462"/>
    </row>
    <row r="551" spans="1:1" x14ac:dyDescent="0.25">
      <c r="A551" s="462"/>
    </row>
    <row r="552" spans="1:1" x14ac:dyDescent="0.25">
      <c r="A552" s="462"/>
    </row>
    <row r="553" spans="1:1" x14ac:dyDescent="0.25">
      <c r="A553" s="462"/>
    </row>
    <row r="554" spans="1:1" x14ac:dyDescent="0.25">
      <c r="A554" s="462"/>
    </row>
    <row r="555" spans="1:1" x14ac:dyDescent="0.25">
      <c r="A555" s="462"/>
    </row>
    <row r="556" spans="1:1" x14ac:dyDescent="0.25">
      <c r="A556" s="462"/>
    </row>
    <row r="557" spans="1:1" x14ac:dyDescent="0.25">
      <c r="A557" s="462"/>
    </row>
    <row r="558" spans="1:1" x14ac:dyDescent="0.25">
      <c r="A558" s="462"/>
    </row>
    <row r="559" spans="1:1" x14ac:dyDescent="0.25">
      <c r="A559" s="462"/>
    </row>
    <row r="560" spans="1:1" x14ac:dyDescent="0.25">
      <c r="A560" s="462"/>
    </row>
    <row r="561" spans="1:1" x14ac:dyDescent="0.25">
      <c r="A561" s="462"/>
    </row>
    <row r="562" spans="1:1" x14ac:dyDescent="0.25">
      <c r="A562" s="462"/>
    </row>
    <row r="563" spans="1:1" x14ac:dyDescent="0.25">
      <c r="A563" s="462"/>
    </row>
    <row r="564" spans="1:1" x14ac:dyDescent="0.25">
      <c r="A564" s="462"/>
    </row>
    <row r="565" spans="1:1" x14ac:dyDescent="0.25">
      <c r="A565" s="462"/>
    </row>
    <row r="566" spans="1:1" x14ac:dyDescent="0.25">
      <c r="A566" s="462"/>
    </row>
    <row r="567" spans="1:1" x14ac:dyDescent="0.25">
      <c r="A567" s="462"/>
    </row>
    <row r="568" spans="1:1" x14ac:dyDescent="0.25">
      <c r="A568" s="462"/>
    </row>
    <row r="569" spans="1:1" x14ac:dyDescent="0.25">
      <c r="A569" s="462"/>
    </row>
    <row r="570" spans="1:1" x14ac:dyDescent="0.25">
      <c r="A570" s="462"/>
    </row>
    <row r="571" spans="1:1" x14ac:dyDescent="0.25">
      <c r="A571" s="462"/>
    </row>
    <row r="572" spans="1:1" x14ac:dyDescent="0.25">
      <c r="A572" s="462"/>
    </row>
    <row r="573" spans="1:1" x14ac:dyDescent="0.25">
      <c r="A573" s="462"/>
    </row>
    <row r="574" spans="1:1" x14ac:dyDescent="0.25">
      <c r="A574" s="462"/>
    </row>
    <row r="575" spans="1:1" x14ac:dyDescent="0.25">
      <c r="A575" s="462"/>
    </row>
    <row r="576" spans="1:1" x14ac:dyDescent="0.25">
      <c r="A576" s="462"/>
    </row>
    <row r="577" spans="1:1" x14ac:dyDescent="0.25">
      <c r="A577" s="462"/>
    </row>
    <row r="578" spans="1:1" x14ac:dyDescent="0.25">
      <c r="A578" s="462"/>
    </row>
    <row r="579" spans="1:1" x14ac:dyDescent="0.25">
      <c r="A579" s="462"/>
    </row>
    <row r="580" spans="1:1" x14ac:dyDescent="0.25">
      <c r="A580" s="462"/>
    </row>
    <row r="581" spans="1:1" x14ac:dyDescent="0.25">
      <c r="A581" s="462"/>
    </row>
    <row r="582" spans="1:1" x14ac:dyDescent="0.25">
      <c r="A582" s="462"/>
    </row>
    <row r="583" spans="1:1" x14ac:dyDescent="0.25">
      <c r="A583" s="462"/>
    </row>
    <row r="584" spans="1:1" x14ac:dyDescent="0.25">
      <c r="A584" s="462"/>
    </row>
    <row r="585" spans="1:1" x14ac:dyDescent="0.25">
      <c r="A585" s="462"/>
    </row>
    <row r="586" spans="1:1" x14ac:dyDescent="0.25">
      <c r="A586" s="462"/>
    </row>
    <row r="587" spans="1:1" x14ac:dyDescent="0.25">
      <c r="A587" s="462"/>
    </row>
    <row r="588" spans="1:1" x14ac:dyDescent="0.25">
      <c r="A588" s="462"/>
    </row>
    <row r="589" spans="1:1" x14ac:dyDescent="0.25">
      <c r="A589" s="462"/>
    </row>
    <row r="590" spans="1:1" x14ac:dyDescent="0.25">
      <c r="A590" s="462"/>
    </row>
    <row r="591" spans="1:1" x14ac:dyDescent="0.25">
      <c r="A591" s="462"/>
    </row>
    <row r="592" spans="1:1" x14ac:dyDescent="0.25">
      <c r="A592" s="462"/>
    </row>
    <row r="593" spans="1:1" x14ac:dyDescent="0.25">
      <c r="A593" s="462"/>
    </row>
    <row r="594" spans="1:1" x14ac:dyDescent="0.25">
      <c r="A594" s="462"/>
    </row>
    <row r="595" spans="1:1" x14ac:dyDescent="0.25">
      <c r="A595" s="462"/>
    </row>
    <row r="596" spans="1:1" x14ac:dyDescent="0.25">
      <c r="A596" s="462"/>
    </row>
    <row r="597" spans="1:1" x14ac:dyDescent="0.25">
      <c r="A597" s="462"/>
    </row>
    <row r="598" spans="1:1" x14ac:dyDescent="0.25">
      <c r="A598" s="462"/>
    </row>
    <row r="599" spans="1:1" x14ac:dyDescent="0.25">
      <c r="A599" s="462"/>
    </row>
    <row r="600" spans="1:1" x14ac:dyDescent="0.25">
      <c r="A600" s="462"/>
    </row>
    <row r="601" spans="1:1" x14ac:dyDescent="0.25">
      <c r="A601" s="462"/>
    </row>
    <row r="602" spans="1:1" x14ac:dyDescent="0.25">
      <c r="A602" s="462"/>
    </row>
    <row r="603" spans="1:1" x14ac:dyDescent="0.25">
      <c r="A603" s="462"/>
    </row>
    <row r="604" spans="1:1" x14ac:dyDescent="0.25">
      <c r="A604" s="462"/>
    </row>
    <row r="605" spans="1:1" x14ac:dyDescent="0.25">
      <c r="A605" s="462"/>
    </row>
    <row r="606" spans="1:1" x14ac:dyDescent="0.25">
      <c r="A606" s="462"/>
    </row>
    <row r="607" spans="1:1" x14ac:dyDescent="0.25">
      <c r="A607" s="462"/>
    </row>
    <row r="608" spans="1:1" x14ac:dyDescent="0.25">
      <c r="A608" s="462"/>
    </row>
    <row r="609" spans="1:1" x14ac:dyDescent="0.25">
      <c r="A609" s="462"/>
    </row>
    <row r="610" spans="1:1" x14ac:dyDescent="0.25">
      <c r="A610" s="462"/>
    </row>
    <row r="611" spans="1:1" x14ac:dyDescent="0.25">
      <c r="A611" s="462"/>
    </row>
    <row r="612" spans="1:1" x14ac:dyDescent="0.25">
      <c r="A612" s="462"/>
    </row>
    <row r="613" spans="1:1" x14ac:dyDescent="0.25">
      <c r="A613" s="462"/>
    </row>
    <row r="614" spans="1:1" x14ac:dyDescent="0.25">
      <c r="A614" s="462"/>
    </row>
    <row r="615" spans="1:1" x14ac:dyDescent="0.25">
      <c r="A615" s="462"/>
    </row>
    <row r="616" spans="1:1" x14ac:dyDescent="0.25">
      <c r="A616" s="462"/>
    </row>
    <row r="617" spans="1:1" x14ac:dyDescent="0.25">
      <c r="A617" s="462"/>
    </row>
    <row r="618" spans="1:1" x14ac:dyDescent="0.25">
      <c r="A618" s="462"/>
    </row>
    <row r="619" spans="1:1" x14ac:dyDescent="0.25">
      <c r="A619" s="462"/>
    </row>
    <row r="620" spans="1:1" x14ac:dyDescent="0.25">
      <c r="A620" s="462"/>
    </row>
    <row r="621" spans="1:1" x14ac:dyDescent="0.25">
      <c r="A621" s="462"/>
    </row>
    <row r="622" spans="1:1" x14ac:dyDescent="0.25">
      <c r="A622" s="462"/>
    </row>
    <row r="623" spans="1:1" x14ac:dyDescent="0.25">
      <c r="A623" s="462"/>
    </row>
    <row r="624" spans="1:1" x14ac:dyDescent="0.25">
      <c r="A624" s="462"/>
    </row>
    <row r="625" spans="1:1" x14ac:dyDescent="0.25">
      <c r="A625" s="462"/>
    </row>
    <row r="626" spans="1:1" x14ac:dyDescent="0.25">
      <c r="A626" s="462"/>
    </row>
    <row r="627" spans="1:1" x14ac:dyDescent="0.25">
      <c r="A627" s="462"/>
    </row>
    <row r="628" spans="1:1" x14ac:dyDescent="0.25">
      <c r="A628" s="462"/>
    </row>
    <row r="629" spans="1:1" x14ac:dyDescent="0.25">
      <c r="A629" s="462"/>
    </row>
    <row r="630" spans="1:1" x14ac:dyDescent="0.25">
      <c r="A630" s="462"/>
    </row>
    <row r="631" spans="1:1" x14ac:dyDescent="0.25">
      <c r="A631" s="462"/>
    </row>
    <row r="632" spans="1:1" x14ac:dyDescent="0.25">
      <c r="A632" s="462"/>
    </row>
    <row r="633" spans="1:1" x14ac:dyDescent="0.25">
      <c r="A633" s="462"/>
    </row>
    <row r="634" spans="1:1" x14ac:dyDescent="0.25">
      <c r="A634" s="462"/>
    </row>
    <row r="635" spans="1:1" x14ac:dyDescent="0.25">
      <c r="A635" s="462"/>
    </row>
    <row r="636" spans="1:1" x14ac:dyDescent="0.25">
      <c r="A636" s="462"/>
    </row>
    <row r="637" spans="1:1" x14ac:dyDescent="0.25">
      <c r="A637" s="462"/>
    </row>
    <row r="638" spans="1:1" x14ac:dyDescent="0.25">
      <c r="A638" s="462"/>
    </row>
    <row r="639" spans="1:1" x14ac:dyDescent="0.25">
      <c r="A639" s="462"/>
    </row>
    <row r="640" spans="1:1" x14ac:dyDescent="0.25">
      <c r="A640" s="462"/>
    </row>
    <row r="641" spans="1:1" x14ac:dyDescent="0.25">
      <c r="A641" s="462"/>
    </row>
    <row r="642" spans="1:1" x14ac:dyDescent="0.25">
      <c r="A642" s="462"/>
    </row>
    <row r="643" spans="1:1" x14ac:dyDescent="0.25">
      <c r="A643" s="462"/>
    </row>
    <row r="644" spans="1:1" x14ac:dyDescent="0.25">
      <c r="A644" s="462"/>
    </row>
    <row r="645" spans="1:1" x14ac:dyDescent="0.25">
      <c r="A645" s="462"/>
    </row>
    <row r="646" spans="1:1" x14ac:dyDescent="0.25">
      <c r="A646" s="462"/>
    </row>
    <row r="647" spans="1:1" x14ac:dyDescent="0.25">
      <c r="A647" s="462"/>
    </row>
    <row r="648" spans="1:1" x14ac:dyDescent="0.25">
      <c r="A648" s="462"/>
    </row>
    <row r="649" spans="1:1" x14ac:dyDescent="0.25">
      <c r="A649" s="462"/>
    </row>
    <row r="650" spans="1:1" x14ac:dyDescent="0.25">
      <c r="A650" s="462"/>
    </row>
    <row r="651" spans="1:1" x14ac:dyDescent="0.25">
      <c r="A651" s="462"/>
    </row>
    <row r="652" spans="1:1" x14ac:dyDescent="0.25">
      <c r="A652" s="462"/>
    </row>
    <row r="653" spans="1:1" x14ac:dyDescent="0.25">
      <c r="A653" s="462"/>
    </row>
    <row r="654" spans="1:1" x14ac:dyDescent="0.25">
      <c r="A654" s="462"/>
    </row>
    <row r="655" spans="1:1" x14ac:dyDescent="0.25">
      <c r="A655" s="462"/>
    </row>
    <row r="656" spans="1:1" x14ac:dyDescent="0.25">
      <c r="A656" s="462"/>
    </row>
    <row r="657" spans="1:1" x14ac:dyDescent="0.25">
      <c r="A657" s="462"/>
    </row>
    <row r="658" spans="1:1" x14ac:dyDescent="0.25">
      <c r="A658" s="462"/>
    </row>
    <row r="659" spans="1:1" x14ac:dyDescent="0.25">
      <c r="A659" s="462"/>
    </row>
    <row r="660" spans="1:1" x14ac:dyDescent="0.25">
      <c r="A660" s="462"/>
    </row>
    <row r="661" spans="1:1" x14ac:dyDescent="0.25">
      <c r="A661" s="462"/>
    </row>
    <row r="662" spans="1:1" x14ac:dyDescent="0.25">
      <c r="A662" s="462"/>
    </row>
    <row r="663" spans="1:1" x14ac:dyDescent="0.25">
      <c r="A663" s="462"/>
    </row>
    <row r="664" spans="1:1" x14ac:dyDescent="0.25">
      <c r="A664" s="462"/>
    </row>
    <row r="665" spans="1:1" x14ac:dyDescent="0.25">
      <c r="A665" s="462"/>
    </row>
    <row r="666" spans="1:1" x14ac:dyDescent="0.25">
      <c r="A666" s="462"/>
    </row>
    <row r="667" spans="1:1" x14ac:dyDescent="0.25">
      <c r="A667" s="462"/>
    </row>
    <row r="668" spans="1:1" x14ac:dyDescent="0.25">
      <c r="A668" s="462"/>
    </row>
    <row r="669" spans="1:1" x14ac:dyDescent="0.25">
      <c r="A669" s="462"/>
    </row>
    <row r="670" spans="1:1" x14ac:dyDescent="0.25">
      <c r="A670" s="462"/>
    </row>
    <row r="671" spans="1:1" x14ac:dyDescent="0.25">
      <c r="A671" s="462"/>
    </row>
    <row r="672" spans="1:1" x14ac:dyDescent="0.25">
      <c r="A672" s="462"/>
    </row>
    <row r="673" spans="1:1" x14ac:dyDescent="0.25">
      <c r="A673" s="462"/>
    </row>
    <row r="674" spans="1:1" x14ac:dyDescent="0.25">
      <c r="A674" s="462"/>
    </row>
    <row r="675" spans="1:1" x14ac:dyDescent="0.25">
      <c r="A675" s="462"/>
    </row>
    <row r="676" spans="1:1" x14ac:dyDescent="0.25">
      <c r="A676" s="462"/>
    </row>
    <row r="677" spans="1:1" x14ac:dyDescent="0.25">
      <c r="A677" s="462"/>
    </row>
    <row r="678" spans="1:1" x14ac:dyDescent="0.25">
      <c r="A678" s="462"/>
    </row>
    <row r="679" spans="1:1" x14ac:dyDescent="0.25">
      <c r="A679" s="462"/>
    </row>
    <row r="680" spans="1:1" x14ac:dyDescent="0.25">
      <c r="A680" s="462"/>
    </row>
    <row r="681" spans="1:1" x14ac:dyDescent="0.25">
      <c r="A681" s="462"/>
    </row>
    <row r="682" spans="1:1" x14ac:dyDescent="0.25">
      <c r="A682" s="462"/>
    </row>
    <row r="683" spans="1:1" x14ac:dyDescent="0.25">
      <c r="A683" s="462"/>
    </row>
    <row r="684" spans="1:1" x14ac:dyDescent="0.25">
      <c r="A684" s="462"/>
    </row>
    <row r="685" spans="1:1" x14ac:dyDescent="0.25">
      <c r="A685" s="462"/>
    </row>
    <row r="686" spans="1:1" x14ac:dyDescent="0.25">
      <c r="A686" s="462"/>
    </row>
    <row r="687" spans="1:1" x14ac:dyDescent="0.25">
      <c r="A687" s="462"/>
    </row>
    <row r="688" spans="1:1" x14ac:dyDescent="0.25">
      <c r="A688" s="462"/>
    </row>
    <row r="689" spans="1:1" x14ac:dyDescent="0.25">
      <c r="A689" s="462"/>
    </row>
    <row r="690" spans="1:1" x14ac:dyDescent="0.25">
      <c r="A690" s="462"/>
    </row>
    <row r="691" spans="1:1" x14ac:dyDescent="0.25">
      <c r="A691" s="462"/>
    </row>
    <row r="692" spans="1:1" x14ac:dyDescent="0.25">
      <c r="A692" s="462"/>
    </row>
    <row r="693" spans="1:1" x14ac:dyDescent="0.25">
      <c r="A693" s="462"/>
    </row>
    <row r="694" spans="1:1" x14ac:dyDescent="0.25">
      <c r="A694" s="462"/>
    </row>
    <row r="695" spans="1:1" x14ac:dyDescent="0.25">
      <c r="A695" s="462"/>
    </row>
    <row r="696" spans="1:1" x14ac:dyDescent="0.25">
      <c r="A696" s="462"/>
    </row>
    <row r="697" spans="1:1" x14ac:dyDescent="0.25">
      <c r="A697" s="462"/>
    </row>
    <row r="698" spans="1:1" x14ac:dyDescent="0.25">
      <c r="A698" s="462"/>
    </row>
    <row r="699" spans="1:1" x14ac:dyDescent="0.25">
      <c r="A699" s="462"/>
    </row>
    <row r="700" spans="1:1" x14ac:dyDescent="0.25">
      <c r="A700" s="462"/>
    </row>
    <row r="701" spans="1:1" x14ac:dyDescent="0.25">
      <c r="A701" s="462"/>
    </row>
    <row r="702" spans="1:1" x14ac:dyDescent="0.25">
      <c r="A702" s="462"/>
    </row>
    <row r="703" spans="1:1" x14ac:dyDescent="0.25">
      <c r="A703" s="462"/>
    </row>
    <row r="704" spans="1:1" x14ac:dyDescent="0.25">
      <c r="A704" s="462"/>
    </row>
    <row r="705" spans="1:1" x14ac:dyDescent="0.25">
      <c r="A705" s="462"/>
    </row>
    <row r="706" spans="1:1" x14ac:dyDescent="0.25">
      <c r="A706" s="462"/>
    </row>
    <row r="707" spans="1:1" x14ac:dyDescent="0.25">
      <c r="A707" s="462"/>
    </row>
    <row r="708" spans="1:1" x14ac:dyDescent="0.25">
      <c r="A708" s="462"/>
    </row>
    <row r="709" spans="1:1" x14ac:dyDescent="0.25">
      <c r="A709" s="462"/>
    </row>
    <row r="710" spans="1:1" x14ac:dyDescent="0.25">
      <c r="A710" s="462"/>
    </row>
    <row r="711" spans="1:1" x14ac:dyDescent="0.25">
      <c r="A711" s="462"/>
    </row>
    <row r="712" spans="1:1" x14ac:dyDescent="0.25">
      <c r="A712" s="462"/>
    </row>
    <row r="713" spans="1:1" x14ac:dyDescent="0.25">
      <c r="A713" s="462"/>
    </row>
    <row r="714" spans="1:1" x14ac:dyDescent="0.25">
      <c r="A714" s="462"/>
    </row>
    <row r="715" spans="1:1" x14ac:dyDescent="0.25">
      <c r="A715" s="462"/>
    </row>
    <row r="716" spans="1:1" x14ac:dyDescent="0.25">
      <c r="A716" s="462"/>
    </row>
    <row r="717" spans="1:1" x14ac:dyDescent="0.25">
      <c r="A717" s="462"/>
    </row>
    <row r="718" spans="1:1" x14ac:dyDescent="0.25">
      <c r="A718" s="462"/>
    </row>
    <row r="719" spans="1:1" x14ac:dyDescent="0.25">
      <c r="A719" s="462"/>
    </row>
    <row r="720" spans="1:1" x14ac:dyDescent="0.25">
      <c r="A720" s="462"/>
    </row>
    <row r="721" spans="1:1" x14ac:dyDescent="0.25">
      <c r="A721" s="462"/>
    </row>
    <row r="722" spans="1:1" x14ac:dyDescent="0.25">
      <c r="A722" s="462"/>
    </row>
    <row r="723" spans="1:1" x14ac:dyDescent="0.25">
      <c r="A723" s="462"/>
    </row>
    <row r="724" spans="1:1" x14ac:dyDescent="0.25">
      <c r="A724" s="462"/>
    </row>
    <row r="725" spans="1:1" x14ac:dyDescent="0.25">
      <c r="A725" s="462"/>
    </row>
    <row r="726" spans="1:1" x14ac:dyDescent="0.25">
      <c r="A726" s="462"/>
    </row>
    <row r="727" spans="1:1" x14ac:dyDescent="0.25">
      <c r="A727" s="462"/>
    </row>
    <row r="728" spans="1:1" x14ac:dyDescent="0.25">
      <c r="A728" s="462"/>
    </row>
    <row r="729" spans="1:1" x14ac:dyDescent="0.25">
      <c r="A729" s="462"/>
    </row>
    <row r="730" spans="1:1" x14ac:dyDescent="0.25">
      <c r="A730" s="462"/>
    </row>
    <row r="731" spans="1:1" x14ac:dyDescent="0.25">
      <c r="A731" s="462"/>
    </row>
    <row r="732" spans="1:1" x14ac:dyDescent="0.25">
      <c r="A732" s="462"/>
    </row>
    <row r="733" spans="1:1" x14ac:dyDescent="0.25">
      <c r="A733" s="462"/>
    </row>
    <row r="734" spans="1:1" x14ac:dyDescent="0.25">
      <c r="A734" s="462"/>
    </row>
    <row r="735" spans="1:1" x14ac:dyDescent="0.25">
      <c r="A735" s="462"/>
    </row>
    <row r="736" spans="1:1" x14ac:dyDescent="0.25">
      <c r="A736" s="462"/>
    </row>
    <row r="737" spans="1:1" x14ac:dyDescent="0.25">
      <c r="A737" s="462"/>
    </row>
    <row r="738" spans="1:1" x14ac:dyDescent="0.25">
      <c r="A738" s="462"/>
    </row>
    <row r="739" spans="1:1" x14ac:dyDescent="0.25">
      <c r="A739" s="462"/>
    </row>
    <row r="740" spans="1:1" x14ac:dyDescent="0.25">
      <c r="A740" s="462"/>
    </row>
    <row r="741" spans="1:1" x14ac:dyDescent="0.25">
      <c r="A741" s="462"/>
    </row>
    <row r="742" spans="1:1" x14ac:dyDescent="0.25">
      <c r="A742" s="462"/>
    </row>
    <row r="743" spans="1:1" x14ac:dyDescent="0.25">
      <c r="A743" s="462"/>
    </row>
    <row r="744" spans="1:1" x14ac:dyDescent="0.25">
      <c r="A744" s="462"/>
    </row>
    <row r="745" spans="1:1" x14ac:dyDescent="0.25">
      <c r="A745" s="462"/>
    </row>
    <row r="746" spans="1:1" x14ac:dyDescent="0.25">
      <c r="A746" s="462"/>
    </row>
    <row r="747" spans="1:1" x14ac:dyDescent="0.25">
      <c r="A747" s="462"/>
    </row>
    <row r="748" spans="1:1" x14ac:dyDescent="0.25">
      <c r="A748" s="462"/>
    </row>
    <row r="749" spans="1:1" x14ac:dyDescent="0.25">
      <c r="A749" s="462"/>
    </row>
    <row r="750" spans="1:1" x14ac:dyDescent="0.25">
      <c r="A750" s="462"/>
    </row>
    <row r="751" spans="1:1" x14ac:dyDescent="0.25">
      <c r="A751" s="462"/>
    </row>
    <row r="752" spans="1:1" x14ac:dyDescent="0.25">
      <c r="A752" s="462"/>
    </row>
    <row r="753" spans="1:1" x14ac:dyDescent="0.25">
      <c r="A753" s="462"/>
    </row>
    <row r="754" spans="1:1" x14ac:dyDescent="0.25">
      <c r="A754" s="462"/>
    </row>
    <row r="755" spans="1:1" x14ac:dyDescent="0.25">
      <c r="A755" s="462"/>
    </row>
    <row r="756" spans="1:1" x14ac:dyDescent="0.25">
      <c r="A756" s="462"/>
    </row>
    <row r="757" spans="1:1" x14ac:dyDescent="0.25">
      <c r="A757" s="462"/>
    </row>
    <row r="758" spans="1:1" x14ac:dyDescent="0.25">
      <c r="A758" s="462"/>
    </row>
    <row r="759" spans="1:1" x14ac:dyDescent="0.25">
      <c r="A759" s="462"/>
    </row>
    <row r="760" spans="1:1" x14ac:dyDescent="0.25">
      <c r="A760" s="462"/>
    </row>
    <row r="761" spans="1:1" x14ac:dyDescent="0.25">
      <c r="A761" s="462"/>
    </row>
    <row r="762" spans="1:1" x14ac:dyDescent="0.25">
      <c r="A762" s="462"/>
    </row>
    <row r="763" spans="1:1" x14ac:dyDescent="0.25">
      <c r="A763" s="462"/>
    </row>
    <row r="764" spans="1:1" x14ac:dyDescent="0.25">
      <c r="A764" s="462"/>
    </row>
    <row r="765" spans="1:1" x14ac:dyDescent="0.25">
      <c r="A765" s="462"/>
    </row>
    <row r="766" spans="1:1" x14ac:dyDescent="0.25">
      <c r="A766" s="462"/>
    </row>
    <row r="767" spans="1:1" x14ac:dyDescent="0.25">
      <c r="A767" s="462"/>
    </row>
    <row r="768" spans="1:1" x14ac:dyDescent="0.25">
      <c r="A768" s="462"/>
    </row>
    <row r="769" spans="1:1" x14ac:dyDescent="0.25">
      <c r="A769" s="462"/>
    </row>
    <row r="770" spans="1:1" x14ac:dyDescent="0.25">
      <c r="A770" s="462"/>
    </row>
    <row r="771" spans="1:1" x14ac:dyDescent="0.25">
      <c r="A771" s="462"/>
    </row>
    <row r="772" spans="1:1" x14ac:dyDescent="0.25">
      <c r="A772" s="462"/>
    </row>
    <row r="773" spans="1:1" x14ac:dyDescent="0.25">
      <c r="A773" s="462"/>
    </row>
    <row r="774" spans="1:1" x14ac:dyDescent="0.25">
      <c r="A774" s="462"/>
    </row>
    <row r="775" spans="1:1" x14ac:dyDescent="0.25">
      <c r="A775" s="462"/>
    </row>
    <row r="776" spans="1:1" x14ac:dyDescent="0.25">
      <c r="A776" s="462"/>
    </row>
    <row r="777" spans="1:1" x14ac:dyDescent="0.25">
      <c r="A777" s="462"/>
    </row>
    <row r="778" spans="1:1" x14ac:dyDescent="0.25">
      <c r="A778" s="462"/>
    </row>
    <row r="779" spans="1:1" x14ac:dyDescent="0.25">
      <c r="A779" s="462"/>
    </row>
    <row r="780" spans="1:1" x14ac:dyDescent="0.25">
      <c r="A780" s="462"/>
    </row>
    <row r="781" spans="1:1" x14ac:dyDescent="0.25">
      <c r="A781" s="462"/>
    </row>
    <row r="782" spans="1:1" x14ac:dyDescent="0.25">
      <c r="A782" s="462"/>
    </row>
    <row r="783" spans="1:1" x14ac:dyDescent="0.25">
      <c r="A783" s="462"/>
    </row>
    <row r="784" spans="1:1" x14ac:dyDescent="0.25">
      <c r="A784" s="462"/>
    </row>
    <row r="785" spans="1:1" x14ac:dyDescent="0.25">
      <c r="A785" s="462"/>
    </row>
    <row r="786" spans="1:1" x14ac:dyDescent="0.25">
      <c r="A786" s="462"/>
    </row>
    <row r="787" spans="1:1" x14ac:dyDescent="0.25">
      <c r="A787" s="462"/>
    </row>
    <row r="788" spans="1:1" x14ac:dyDescent="0.25">
      <c r="A788" s="462"/>
    </row>
    <row r="789" spans="1:1" x14ac:dyDescent="0.25">
      <c r="A789" s="462"/>
    </row>
    <row r="790" spans="1:1" x14ac:dyDescent="0.25">
      <c r="A790" s="462"/>
    </row>
    <row r="791" spans="1:1" x14ac:dyDescent="0.25">
      <c r="A791" s="462"/>
    </row>
    <row r="792" spans="1:1" x14ac:dyDescent="0.25">
      <c r="A792" s="462"/>
    </row>
    <row r="793" spans="1:1" x14ac:dyDescent="0.25">
      <c r="A793" s="462"/>
    </row>
    <row r="794" spans="1:1" x14ac:dyDescent="0.25">
      <c r="A794" s="462"/>
    </row>
    <row r="795" spans="1:1" x14ac:dyDescent="0.25">
      <c r="A795" s="462"/>
    </row>
    <row r="796" spans="1:1" x14ac:dyDescent="0.25">
      <c r="A796" s="462"/>
    </row>
    <row r="797" spans="1:1" x14ac:dyDescent="0.25">
      <c r="A797" s="462"/>
    </row>
    <row r="798" spans="1:1" x14ac:dyDescent="0.25">
      <c r="A798" s="462"/>
    </row>
    <row r="799" spans="1:1" x14ac:dyDescent="0.25">
      <c r="A799" s="462"/>
    </row>
    <row r="800" spans="1:1" x14ac:dyDescent="0.25">
      <c r="A800" s="462"/>
    </row>
    <row r="801" spans="1:1" x14ac:dyDescent="0.25">
      <c r="A801" s="462"/>
    </row>
    <row r="802" spans="1:1" x14ac:dyDescent="0.25">
      <c r="A802" s="462"/>
    </row>
    <row r="803" spans="1:1" x14ac:dyDescent="0.25">
      <c r="A803" s="462"/>
    </row>
    <row r="804" spans="1:1" x14ac:dyDescent="0.25">
      <c r="A804" s="462"/>
    </row>
    <row r="805" spans="1:1" x14ac:dyDescent="0.25">
      <c r="A805" s="462"/>
    </row>
    <row r="806" spans="1:1" x14ac:dyDescent="0.25">
      <c r="A806" s="462"/>
    </row>
    <row r="807" spans="1:1" x14ac:dyDescent="0.25">
      <c r="A807" s="462"/>
    </row>
    <row r="808" spans="1:1" x14ac:dyDescent="0.25">
      <c r="A808" s="462"/>
    </row>
    <row r="809" spans="1:1" x14ac:dyDescent="0.25">
      <c r="A809" s="462"/>
    </row>
    <row r="810" spans="1:1" x14ac:dyDescent="0.25">
      <c r="A810" s="462"/>
    </row>
    <row r="811" spans="1:1" x14ac:dyDescent="0.25">
      <c r="A811" s="462"/>
    </row>
    <row r="812" spans="1:1" x14ac:dyDescent="0.25">
      <c r="A812" s="462"/>
    </row>
    <row r="813" spans="1:1" x14ac:dyDescent="0.25">
      <c r="A813" s="462"/>
    </row>
    <row r="814" spans="1:1" x14ac:dyDescent="0.25">
      <c r="A814" s="462"/>
    </row>
    <row r="815" spans="1:1" x14ac:dyDescent="0.25">
      <c r="A815" s="462"/>
    </row>
    <row r="816" spans="1:1" x14ac:dyDescent="0.25">
      <c r="A816" s="462"/>
    </row>
    <row r="817" spans="1:1" x14ac:dyDescent="0.25">
      <c r="A817" s="462"/>
    </row>
    <row r="818" spans="1:1" x14ac:dyDescent="0.25">
      <c r="A818" s="462"/>
    </row>
    <row r="819" spans="1:1" x14ac:dyDescent="0.25">
      <c r="A819" s="462"/>
    </row>
    <row r="820" spans="1:1" x14ac:dyDescent="0.25">
      <c r="A820" s="462"/>
    </row>
    <row r="821" spans="1:1" x14ac:dyDescent="0.25">
      <c r="A821" s="462"/>
    </row>
    <row r="822" spans="1:1" x14ac:dyDescent="0.25">
      <c r="A822" s="462"/>
    </row>
    <row r="823" spans="1:1" x14ac:dyDescent="0.25">
      <c r="A823" s="462"/>
    </row>
    <row r="824" spans="1:1" x14ac:dyDescent="0.25">
      <c r="A824" s="462"/>
    </row>
    <row r="825" spans="1:1" x14ac:dyDescent="0.25">
      <c r="A825" s="462"/>
    </row>
    <row r="826" spans="1:1" x14ac:dyDescent="0.25">
      <c r="A826" s="462"/>
    </row>
    <row r="827" spans="1:1" x14ac:dyDescent="0.25">
      <c r="A827" s="462"/>
    </row>
    <row r="828" spans="1:1" x14ac:dyDescent="0.25">
      <c r="A828" s="462"/>
    </row>
    <row r="829" spans="1:1" x14ac:dyDescent="0.25">
      <c r="A829" s="462"/>
    </row>
    <row r="830" spans="1:1" x14ac:dyDescent="0.25">
      <c r="A830" s="462"/>
    </row>
    <row r="831" spans="1:1" x14ac:dyDescent="0.25">
      <c r="A831" s="462"/>
    </row>
    <row r="832" spans="1:1" x14ac:dyDescent="0.25">
      <c r="A832" s="462"/>
    </row>
    <row r="833" spans="1:1" x14ac:dyDescent="0.25">
      <c r="A833" s="462"/>
    </row>
    <row r="834" spans="1:1" x14ac:dyDescent="0.25">
      <c r="A834" s="462"/>
    </row>
    <row r="835" spans="1:1" x14ac:dyDescent="0.25">
      <c r="A835" s="462"/>
    </row>
    <row r="836" spans="1:1" x14ac:dyDescent="0.25">
      <c r="A836" s="462"/>
    </row>
    <row r="837" spans="1:1" x14ac:dyDescent="0.25">
      <c r="A837" s="462"/>
    </row>
    <row r="838" spans="1:1" x14ac:dyDescent="0.25">
      <c r="A838" s="462"/>
    </row>
    <row r="839" spans="1:1" x14ac:dyDescent="0.25">
      <c r="A839" s="462"/>
    </row>
    <row r="840" spans="1:1" x14ac:dyDescent="0.25">
      <c r="A840" s="462"/>
    </row>
    <row r="841" spans="1:1" x14ac:dyDescent="0.25">
      <c r="A841" s="462"/>
    </row>
    <row r="842" spans="1:1" x14ac:dyDescent="0.25">
      <c r="A842" s="462"/>
    </row>
    <row r="843" spans="1:1" x14ac:dyDescent="0.25">
      <c r="A843" s="462"/>
    </row>
    <row r="844" spans="1:1" x14ac:dyDescent="0.25">
      <c r="A844" s="462"/>
    </row>
    <row r="845" spans="1:1" x14ac:dyDescent="0.25">
      <c r="A845" s="462"/>
    </row>
    <row r="846" spans="1:1" x14ac:dyDescent="0.25">
      <c r="A846" s="462"/>
    </row>
    <row r="847" spans="1:1" x14ac:dyDescent="0.25">
      <c r="A847" s="462"/>
    </row>
    <row r="848" spans="1:1" x14ac:dyDescent="0.25">
      <c r="A848" s="462"/>
    </row>
    <row r="849" spans="1:1" x14ac:dyDescent="0.25">
      <c r="A849" s="462"/>
    </row>
    <row r="850" spans="1:1" x14ac:dyDescent="0.25">
      <c r="A850" s="462"/>
    </row>
    <row r="851" spans="1:1" x14ac:dyDescent="0.25">
      <c r="A851" s="462"/>
    </row>
    <row r="852" spans="1:1" x14ac:dyDescent="0.25">
      <c r="A852" s="462"/>
    </row>
    <row r="853" spans="1:1" x14ac:dyDescent="0.25">
      <c r="A853" s="462"/>
    </row>
    <row r="854" spans="1:1" x14ac:dyDescent="0.25">
      <c r="A854" s="462"/>
    </row>
    <row r="855" spans="1:1" x14ac:dyDescent="0.25">
      <c r="A855" s="462"/>
    </row>
    <row r="856" spans="1:1" x14ac:dyDescent="0.25">
      <c r="A856" s="462"/>
    </row>
    <row r="857" spans="1:1" x14ac:dyDescent="0.25">
      <c r="A857" s="462"/>
    </row>
    <row r="858" spans="1:1" x14ac:dyDescent="0.25">
      <c r="A858" s="462"/>
    </row>
    <row r="859" spans="1:1" x14ac:dyDescent="0.25">
      <c r="A859" s="462"/>
    </row>
    <row r="860" spans="1:1" x14ac:dyDescent="0.25">
      <c r="A860" s="462"/>
    </row>
    <row r="861" spans="1:1" x14ac:dyDescent="0.25">
      <c r="A861" s="462"/>
    </row>
    <row r="862" spans="1:1" x14ac:dyDescent="0.25">
      <c r="A862" s="462"/>
    </row>
    <row r="863" spans="1:1" x14ac:dyDescent="0.25">
      <c r="A863" s="462"/>
    </row>
    <row r="864" spans="1:1" x14ac:dyDescent="0.25">
      <c r="A864" s="462"/>
    </row>
    <row r="865" spans="1:1" x14ac:dyDescent="0.25">
      <c r="A865" s="462"/>
    </row>
    <row r="866" spans="1:1" x14ac:dyDescent="0.25">
      <c r="A866" s="462"/>
    </row>
    <row r="867" spans="1:1" x14ac:dyDescent="0.25">
      <c r="A867" s="462"/>
    </row>
    <row r="868" spans="1:1" x14ac:dyDescent="0.25">
      <c r="A868" s="462"/>
    </row>
    <row r="869" spans="1:1" x14ac:dyDescent="0.25">
      <c r="A869" s="462"/>
    </row>
    <row r="870" spans="1:1" x14ac:dyDescent="0.25">
      <c r="A870" s="462"/>
    </row>
    <row r="871" spans="1:1" x14ac:dyDescent="0.25">
      <c r="A871" s="462"/>
    </row>
    <row r="872" spans="1:1" x14ac:dyDescent="0.25">
      <c r="A872" s="462"/>
    </row>
    <row r="873" spans="1:1" x14ac:dyDescent="0.25">
      <c r="A873" s="462"/>
    </row>
    <row r="874" spans="1:1" x14ac:dyDescent="0.25">
      <c r="A874" s="462"/>
    </row>
    <row r="875" spans="1:1" x14ac:dyDescent="0.25">
      <c r="A875" s="462"/>
    </row>
    <row r="876" spans="1:1" x14ac:dyDescent="0.25">
      <c r="A876" s="462"/>
    </row>
    <row r="877" spans="1:1" x14ac:dyDescent="0.25">
      <c r="A877" s="462"/>
    </row>
    <row r="878" spans="1:1" x14ac:dyDescent="0.25">
      <c r="A878" s="462"/>
    </row>
    <row r="879" spans="1:1" x14ac:dyDescent="0.25">
      <c r="A879" s="462"/>
    </row>
    <row r="880" spans="1:1" x14ac:dyDescent="0.25">
      <c r="A880" s="462"/>
    </row>
    <row r="881" spans="1:1" x14ac:dyDescent="0.25">
      <c r="A881" s="462"/>
    </row>
    <row r="882" spans="1:1" x14ac:dyDescent="0.25">
      <c r="A882" s="462"/>
    </row>
    <row r="883" spans="1:1" x14ac:dyDescent="0.25">
      <c r="A883" s="462"/>
    </row>
    <row r="884" spans="1:1" x14ac:dyDescent="0.25">
      <c r="A884" s="462"/>
    </row>
    <row r="885" spans="1:1" x14ac:dyDescent="0.25">
      <c r="A885" s="462"/>
    </row>
    <row r="886" spans="1:1" x14ac:dyDescent="0.25">
      <c r="A886" s="462"/>
    </row>
    <row r="887" spans="1:1" x14ac:dyDescent="0.25">
      <c r="A887" s="462"/>
    </row>
    <row r="888" spans="1:1" x14ac:dyDescent="0.25">
      <c r="A888" s="462"/>
    </row>
    <row r="889" spans="1:1" x14ac:dyDescent="0.25">
      <c r="A889" s="462"/>
    </row>
    <row r="890" spans="1:1" x14ac:dyDescent="0.25">
      <c r="A890" s="462"/>
    </row>
    <row r="891" spans="1:1" x14ac:dyDescent="0.25">
      <c r="A891" s="462"/>
    </row>
    <row r="892" spans="1:1" x14ac:dyDescent="0.25">
      <c r="A892" s="462"/>
    </row>
    <row r="893" spans="1:1" x14ac:dyDescent="0.25">
      <c r="A893" s="462"/>
    </row>
    <row r="894" spans="1:1" x14ac:dyDescent="0.25">
      <c r="A894" s="462"/>
    </row>
    <row r="895" spans="1:1" x14ac:dyDescent="0.25">
      <c r="A895" s="462"/>
    </row>
    <row r="896" spans="1:1" x14ac:dyDescent="0.25">
      <c r="A896" s="462"/>
    </row>
    <row r="897" spans="1:1" x14ac:dyDescent="0.25">
      <c r="A897" s="462"/>
    </row>
    <row r="898" spans="1:1" x14ac:dyDescent="0.25">
      <c r="A898" s="462"/>
    </row>
    <row r="899" spans="1:1" x14ac:dyDescent="0.25">
      <c r="A899" s="462"/>
    </row>
    <row r="900" spans="1:1" x14ac:dyDescent="0.25">
      <c r="A900" s="462"/>
    </row>
    <row r="901" spans="1:1" x14ac:dyDescent="0.25">
      <c r="A901" s="462"/>
    </row>
    <row r="902" spans="1:1" x14ac:dyDescent="0.25">
      <c r="A902" s="462"/>
    </row>
    <row r="903" spans="1:1" x14ac:dyDescent="0.25">
      <c r="A903" s="462"/>
    </row>
    <row r="904" spans="1:1" x14ac:dyDescent="0.25">
      <c r="A904" s="462"/>
    </row>
    <row r="905" spans="1:1" x14ac:dyDescent="0.25">
      <c r="A905" s="462"/>
    </row>
    <row r="906" spans="1:1" x14ac:dyDescent="0.25">
      <c r="A906" s="462"/>
    </row>
    <row r="907" spans="1:1" x14ac:dyDescent="0.25">
      <c r="A907" s="462"/>
    </row>
    <row r="908" spans="1:1" x14ac:dyDescent="0.25">
      <c r="A908" s="462"/>
    </row>
    <row r="909" spans="1:1" x14ac:dyDescent="0.25">
      <c r="A909" s="462"/>
    </row>
    <row r="910" spans="1:1" x14ac:dyDescent="0.25">
      <c r="A910" s="462"/>
    </row>
    <row r="911" spans="1:1" x14ac:dyDescent="0.25">
      <c r="A911" s="462"/>
    </row>
    <row r="912" spans="1:1" x14ac:dyDescent="0.25">
      <c r="A912" s="462"/>
    </row>
    <row r="913" spans="1:1" x14ac:dyDescent="0.25">
      <c r="A913" s="462"/>
    </row>
    <row r="914" spans="1:1" x14ac:dyDescent="0.25">
      <c r="A914" s="462"/>
    </row>
    <row r="915" spans="1:1" x14ac:dyDescent="0.25">
      <c r="A915" s="462"/>
    </row>
    <row r="916" spans="1:1" x14ac:dyDescent="0.25">
      <c r="A916" s="462"/>
    </row>
    <row r="917" spans="1:1" x14ac:dyDescent="0.25">
      <c r="A917" s="462"/>
    </row>
    <row r="918" spans="1:1" x14ac:dyDescent="0.25">
      <c r="A918" s="462"/>
    </row>
    <row r="919" spans="1:1" x14ac:dyDescent="0.25">
      <c r="A919" s="462"/>
    </row>
    <row r="920" spans="1:1" x14ac:dyDescent="0.25">
      <c r="A920" s="462"/>
    </row>
    <row r="921" spans="1:1" x14ac:dyDescent="0.25">
      <c r="A921" s="462"/>
    </row>
    <row r="922" spans="1:1" x14ac:dyDescent="0.25">
      <c r="A922" s="462"/>
    </row>
    <row r="923" spans="1:1" x14ac:dyDescent="0.25">
      <c r="A923" s="462"/>
    </row>
    <row r="924" spans="1:1" x14ac:dyDescent="0.25">
      <c r="A924" s="462"/>
    </row>
    <row r="925" spans="1:1" x14ac:dyDescent="0.25">
      <c r="A925" s="462"/>
    </row>
    <row r="926" spans="1:1" x14ac:dyDescent="0.25">
      <c r="A926" s="462"/>
    </row>
    <row r="927" spans="1:1" x14ac:dyDescent="0.25">
      <c r="A927" s="462"/>
    </row>
    <row r="928" spans="1:1" x14ac:dyDescent="0.25">
      <c r="A928" s="462"/>
    </row>
    <row r="929" spans="1:1" x14ac:dyDescent="0.25">
      <c r="A929" s="462"/>
    </row>
    <row r="930" spans="1:1" x14ac:dyDescent="0.25">
      <c r="A930" s="462"/>
    </row>
    <row r="931" spans="1:1" x14ac:dyDescent="0.25">
      <c r="A931" s="462"/>
    </row>
    <row r="932" spans="1:1" x14ac:dyDescent="0.25">
      <c r="A932" s="462"/>
    </row>
    <row r="933" spans="1:1" x14ac:dyDescent="0.25">
      <c r="A933" s="462"/>
    </row>
    <row r="934" spans="1:1" x14ac:dyDescent="0.25">
      <c r="A934" s="462"/>
    </row>
    <row r="935" spans="1:1" x14ac:dyDescent="0.25">
      <c r="A935" s="462"/>
    </row>
    <row r="936" spans="1:1" x14ac:dyDescent="0.25">
      <c r="A936" s="462"/>
    </row>
    <row r="937" spans="1:1" x14ac:dyDescent="0.25">
      <c r="A937" s="462"/>
    </row>
    <row r="938" spans="1:1" x14ac:dyDescent="0.25">
      <c r="A938" s="462"/>
    </row>
    <row r="939" spans="1:1" x14ac:dyDescent="0.25">
      <c r="A939" s="462"/>
    </row>
    <row r="940" spans="1:1" x14ac:dyDescent="0.25">
      <c r="A940" s="462"/>
    </row>
    <row r="941" spans="1:1" x14ac:dyDescent="0.25">
      <c r="A941" s="462"/>
    </row>
    <row r="942" spans="1:1" x14ac:dyDescent="0.25">
      <c r="A942" s="462"/>
    </row>
    <row r="943" spans="1:1" x14ac:dyDescent="0.25">
      <c r="A943" s="462"/>
    </row>
    <row r="944" spans="1:1" x14ac:dyDescent="0.25">
      <c r="A944" s="462"/>
    </row>
    <row r="945" spans="1:1" x14ac:dyDescent="0.25">
      <c r="A945" s="462"/>
    </row>
    <row r="946" spans="1:1" x14ac:dyDescent="0.25">
      <c r="A946" s="462"/>
    </row>
    <row r="947" spans="1:1" x14ac:dyDescent="0.25">
      <c r="A947" s="462"/>
    </row>
    <row r="948" spans="1:1" x14ac:dyDescent="0.25">
      <c r="A948" s="462"/>
    </row>
    <row r="949" spans="1:1" x14ac:dyDescent="0.25">
      <c r="A949" s="462"/>
    </row>
    <row r="950" spans="1:1" x14ac:dyDescent="0.25">
      <c r="A950" s="462"/>
    </row>
    <row r="951" spans="1:1" x14ac:dyDescent="0.25">
      <c r="A951" s="462"/>
    </row>
    <row r="952" spans="1:1" x14ac:dyDescent="0.25">
      <c r="A952" s="462"/>
    </row>
    <row r="953" spans="1:1" x14ac:dyDescent="0.25">
      <c r="A953" s="462"/>
    </row>
    <row r="954" spans="1:1" x14ac:dyDescent="0.25">
      <c r="A954" s="462"/>
    </row>
    <row r="955" spans="1:1" x14ac:dyDescent="0.25">
      <c r="A955" s="462"/>
    </row>
    <row r="956" spans="1:1" x14ac:dyDescent="0.25">
      <c r="A956" s="462"/>
    </row>
    <row r="957" spans="1:1" x14ac:dyDescent="0.25">
      <c r="A957" s="462"/>
    </row>
    <row r="958" spans="1:1" x14ac:dyDescent="0.25">
      <c r="A958" s="462"/>
    </row>
    <row r="959" spans="1:1" x14ac:dyDescent="0.25">
      <c r="A959" s="462"/>
    </row>
    <row r="960" spans="1:1" x14ac:dyDescent="0.25">
      <c r="A960" s="462"/>
    </row>
    <row r="961" spans="1:1" x14ac:dyDescent="0.25">
      <c r="A961" s="462"/>
    </row>
    <row r="962" spans="1:1" x14ac:dyDescent="0.25">
      <c r="A962" s="462"/>
    </row>
    <row r="963" spans="1:1" x14ac:dyDescent="0.25">
      <c r="A963" s="462"/>
    </row>
    <row r="964" spans="1:1" x14ac:dyDescent="0.25">
      <c r="A964" s="462"/>
    </row>
    <row r="965" spans="1:1" x14ac:dyDescent="0.25">
      <c r="A965" s="462"/>
    </row>
    <row r="966" spans="1:1" x14ac:dyDescent="0.25">
      <c r="A966" s="462"/>
    </row>
    <row r="967" spans="1:1" x14ac:dyDescent="0.25">
      <c r="A967" s="462"/>
    </row>
    <row r="968" spans="1:1" x14ac:dyDescent="0.25">
      <c r="A968" s="462"/>
    </row>
    <row r="969" spans="1:1" x14ac:dyDescent="0.25">
      <c r="A969" s="462"/>
    </row>
    <row r="970" spans="1:1" x14ac:dyDescent="0.25">
      <c r="A970" s="462"/>
    </row>
    <row r="971" spans="1:1" x14ac:dyDescent="0.25">
      <c r="A971" s="462"/>
    </row>
    <row r="972" spans="1:1" x14ac:dyDescent="0.25">
      <c r="A972" s="462"/>
    </row>
    <row r="973" spans="1:1" x14ac:dyDescent="0.25">
      <c r="A973" s="462"/>
    </row>
    <row r="974" spans="1:1" x14ac:dyDescent="0.25">
      <c r="A974" s="462"/>
    </row>
    <row r="975" spans="1:1" x14ac:dyDescent="0.25">
      <c r="A975" s="462"/>
    </row>
    <row r="976" spans="1:1" x14ac:dyDescent="0.25">
      <c r="A976" s="462"/>
    </row>
    <row r="977" spans="1:1" x14ac:dyDescent="0.25">
      <c r="A977" s="462"/>
    </row>
    <row r="978" spans="1:1" x14ac:dyDescent="0.25">
      <c r="A978" s="462"/>
    </row>
    <row r="979" spans="1:1" x14ac:dyDescent="0.25">
      <c r="A979" s="462"/>
    </row>
    <row r="980" spans="1:1" x14ac:dyDescent="0.25">
      <c r="A980" s="462"/>
    </row>
    <row r="981" spans="1:1" x14ac:dyDescent="0.25">
      <c r="A981" s="462"/>
    </row>
    <row r="982" spans="1:1" x14ac:dyDescent="0.25">
      <c r="A982" s="462"/>
    </row>
    <row r="983" spans="1:1" x14ac:dyDescent="0.25">
      <c r="A983" s="462"/>
    </row>
    <row r="984" spans="1:1" x14ac:dyDescent="0.25">
      <c r="A984" s="462"/>
    </row>
    <row r="985" spans="1:1" x14ac:dyDescent="0.25">
      <c r="A985" s="462"/>
    </row>
    <row r="986" spans="1:1" x14ac:dyDescent="0.25">
      <c r="A986" s="462"/>
    </row>
    <row r="987" spans="1:1" x14ac:dyDescent="0.25">
      <c r="A987" s="462"/>
    </row>
    <row r="988" spans="1:1" x14ac:dyDescent="0.25">
      <c r="A988" s="462"/>
    </row>
    <row r="989" spans="1:1" x14ac:dyDescent="0.25">
      <c r="A989" s="462"/>
    </row>
    <row r="990" spans="1:1" x14ac:dyDescent="0.25">
      <c r="A990" s="462"/>
    </row>
    <row r="991" spans="1:1" x14ac:dyDescent="0.25">
      <c r="A991" s="462"/>
    </row>
    <row r="992" spans="1:1" x14ac:dyDescent="0.25">
      <c r="A992" s="462"/>
    </row>
    <row r="993" spans="1:1" x14ac:dyDescent="0.25">
      <c r="A993" s="462"/>
    </row>
    <row r="994" spans="1:1" x14ac:dyDescent="0.25">
      <c r="A994" s="462"/>
    </row>
    <row r="995" spans="1:1" x14ac:dyDescent="0.25">
      <c r="A995" s="462"/>
    </row>
    <row r="996" spans="1:1" x14ac:dyDescent="0.25">
      <c r="A996" s="462"/>
    </row>
    <row r="997" spans="1:1" x14ac:dyDescent="0.25">
      <c r="A997" s="462"/>
    </row>
    <row r="998" spans="1:1" x14ac:dyDescent="0.25">
      <c r="A998" s="462"/>
    </row>
    <row r="999" spans="1:1" x14ac:dyDescent="0.25">
      <c r="A999" s="462"/>
    </row>
    <row r="1000" spans="1:1" x14ac:dyDescent="0.25">
      <c r="A1000" s="462"/>
    </row>
    <row r="1001" spans="1:1" x14ac:dyDescent="0.25">
      <c r="A1001" s="462"/>
    </row>
    <row r="1002" spans="1:1" x14ac:dyDescent="0.25">
      <c r="A1002" s="462"/>
    </row>
    <row r="1003" spans="1:1" x14ac:dyDescent="0.25">
      <c r="A1003" s="462"/>
    </row>
    <row r="1004" spans="1:1" x14ac:dyDescent="0.25">
      <c r="A1004" s="462"/>
    </row>
    <row r="1005" spans="1:1" x14ac:dyDescent="0.25">
      <c r="A1005" s="462"/>
    </row>
    <row r="1006" spans="1:1" x14ac:dyDescent="0.25">
      <c r="A1006" s="462"/>
    </row>
    <row r="1007" spans="1:1" x14ac:dyDescent="0.25">
      <c r="A1007" s="462"/>
    </row>
    <row r="1008" spans="1:1" x14ac:dyDescent="0.25">
      <c r="A1008" s="462"/>
    </row>
    <row r="1009" spans="1:1" x14ac:dyDescent="0.25">
      <c r="A1009" s="462"/>
    </row>
    <row r="1010" spans="1:1" x14ac:dyDescent="0.25">
      <c r="A1010" s="462"/>
    </row>
    <row r="1011" spans="1:1" x14ac:dyDescent="0.25">
      <c r="A1011" s="462"/>
    </row>
    <row r="1012" spans="1:1" x14ac:dyDescent="0.25">
      <c r="A1012" s="462"/>
    </row>
    <row r="1013" spans="1:1" x14ac:dyDescent="0.25">
      <c r="A1013" s="462"/>
    </row>
    <row r="1014" spans="1:1" x14ac:dyDescent="0.25">
      <c r="A1014" s="462"/>
    </row>
    <row r="1015" spans="1:1" x14ac:dyDescent="0.25">
      <c r="A1015" s="462"/>
    </row>
    <row r="1016" spans="1:1" x14ac:dyDescent="0.25">
      <c r="A1016" s="462"/>
    </row>
    <row r="1017" spans="1:1" x14ac:dyDescent="0.25">
      <c r="A1017" s="462"/>
    </row>
    <row r="1018" spans="1:1" x14ac:dyDescent="0.25">
      <c r="A1018" s="462"/>
    </row>
    <row r="1019" spans="1:1" x14ac:dyDescent="0.25">
      <c r="A1019" s="462"/>
    </row>
    <row r="1020" spans="1:1" x14ac:dyDescent="0.25">
      <c r="A1020" s="462"/>
    </row>
    <row r="1021" spans="1:1" x14ac:dyDescent="0.25">
      <c r="A1021" s="462"/>
    </row>
    <row r="1022" spans="1:1" x14ac:dyDescent="0.25">
      <c r="A1022" s="462"/>
    </row>
    <row r="1023" spans="1:1" x14ac:dyDescent="0.25">
      <c r="A1023" s="462"/>
    </row>
    <row r="1024" spans="1:1" x14ac:dyDescent="0.25">
      <c r="A1024" s="462"/>
    </row>
    <row r="1025" spans="1:1" x14ac:dyDescent="0.25">
      <c r="A1025" s="462"/>
    </row>
    <row r="1026" spans="1:1" x14ac:dyDescent="0.25">
      <c r="A1026" s="462"/>
    </row>
    <row r="1027" spans="1:1" x14ac:dyDescent="0.25">
      <c r="A1027" s="462"/>
    </row>
    <row r="1028" spans="1:1" x14ac:dyDescent="0.25">
      <c r="A1028" s="462"/>
    </row>
    <row r="1029" spans="1:1" x14ac:dyDescent="0.25">
      <c r="A1029" s="462"/>
    </row>
    <row r="1030" spans="1:1" x14ac:dyDescent="0.25">
      <c r="A1030" s="462"/>
    </row>
    <row r="1031" spans="1:1" x14ac:dyDescent="0.25">
      <c r="A1031" s="462"/>
    </row>
    <row r="1032" spans="1:1" x14ac:dyDescent="0.25">
      <c r="A1032" s="462"/>
    </row>
    <row r="1033" spans="1:1" x14ac:dyDescent="0.25">
      <c r="A1033" s="462"/>
    </row>
    <row r="1034" spans="1:1" x14ac:dyDescent="0.25">
      <c r="A1034" s="462"/>
    </row>
    <row r="1035" spans="1:1" x14ac:dyDescent="0.25">
      <c r="A1035" s="462"/>
    </row>
    <row r="1036" spans="1:1" x14ac:dyDescent="0.25">
      <c r="A1036" s="462"/>
    </row>
    <row r="1037" spans="1:1" x14ac:dyDescent="0.25">
      <c r="A1037" s="462"/>
    </row>
    <row r="1038" spans="1:1" x14ac:dyDescent="0.25">
      <c r="A1038" s="462"/>
    </row>
    <row r="1039" spans="1:1" x14ac:dyDescent="0.25">
      <c r="A1039" s="462"/>
    </row>
    <row r="1040" spans="1:1" x14ac:dyDescent="0.25">
      <c r="A1040" s="462"/>
    </row>
    <row r="1041" spans="1:1" x14ac:dyDescent="0.25">
      <c r="A1041" s="462"/>
    </row>
    <row r="1042" spans="1:1" x14ac:dyDescent="0.25">
      <c r="A1042" s="462"/>
    </row>
    <row r="1043" spans="1:1" x14ac:dyDescent="0.25">
      <c r="A1043" s="462"/>
    </row>
    <row r="1044" spans="1:1" x14ac:dyDescent="0.25">
      <c r="A1044" s="462"/>
    </row>
    <row r="1045" spans="1:1" x14ac:dyDescent="0.25">
      <c r="A1045" s="462"/>
    </row>
    <row r="1046" spans="1:1" x14ac:dyDescent="0.25">
      <c r="A1046" s="462"/>
    </row>
    <row r="1047" spans="1:1" x14ac:dyDescent="0.25">
      <c r="A1047" s="462"/>
    </row>
    <row r="1048" spans="1:1" x14ac:dyDescent="0.25">
      <c r="A1048" s="462"/>
    </row>
    <row r="1049" spans="1:1" x14ac:dyDescent="0.25">
      <c r="A1049" s="462"/>
    </row>
    <row r="1050" spans="1:1" x14ac:dyDescent="0.25">
      <c r="A1050" s="462"/>
    </row>
    <row r="1051" spans="1:1" x14ac:dyDescent="0.25">
      <c r="A1051" s="462"/>
    </row>
    <row r="1052" spans="1:1" x14ac:dyDescent="0.25">
      <c r="A1052" s="462"/>
    </row>
    <row r="1053" spans="1:1" x14ac:dyDescent="0.25">
      <c r="A1053" s="462"/>
    </row>
    <row r="1054" spans="1:1" x14ac:dyDescent="0.25">
      <c r="A1054" s="462"/>
    </row>
    <row r="1055" spans="1:1" x14ac:dyDescent="0.25">
      <c r="A1055" s="462"/>
    </row>
    <row r="1056" spans="1:1" x14ac:dyDescent="0.25">
      <c r="A1056" s="462"/>
    </row>
    <row r="1057" spans="1:1" x14ac:dyDescent="0.25">
      <c r="A1057" s="462"/>
    </row>
    <row r="1058" spans="1:1" x14ac:dyDescent="0.25">
      <c r="A1058" s="462"/>
    </row>
    <row r="1059" spans="1:1" x14ac:dyDescent="0.25">
      <c r="A1059" s="462"/>
    </row>
    <row r="1060" spans="1:1" x14ac:dyDescent="0.25">
      <c r="A1060" s="462"/>
    </row>
    <row r="1061" spans="1:1" x14ac:dyDescent="0.25">
      <c r="A1061" s="462"/>
    </row>
    <row r="1062" spans="1:1" x14ac:dyDescent="0.25">
      <c r="A1062" s="462"/>
    </row>
    <row r="1063" spans="1:1" x14ac:dyDescent="0.25">
      <c r="A1063" s="462"/>
    </row>
    <row r="1064" spans="1:1" x14ac:dyDescent="0.25">
      <c r="A1064" s="462"/>
    </row>
    <row r="1065" spans="1:1" x14ac:dyDescent="0.25">
      <c r="A1065" s="462"/>
    </row>
    <row r="1066" spans="1:1" x14ac:dyDescent="0.25">
      <c r="A1066" s="462"/>
    </row>
    <row r="1067" spans="1:1" x14ac:dyDescent="0.25">
      <c r="A1067" s="462"/>
    </row>
    <row r="1068" spans="1:1" x14ac:dyDescent="0.25">
      <c r="A1068" s="462"/>
    </row>
    <row r="1069" spans="1:1" x14ac:dyDescent="0.25">
      <c r="A1069" s="462"/>
    </row>
    <row r="1070" spans="1:1" x14ac:dyDescent="0.25">
      <c r="A1070" s="462"/>
    </row>
    <row r="1071" spans="1:1" x14ac:dyDescent="0.25">
      <c r="A1071" s="462"/>
    </row>
    <row r="1072" spans="1:1" x14ac:dyDescent="0.25">
      <c r="A1072" s="462"/>
    </row>
    <row r="1073" spans="1:1" x14ac:dyDescent="0.25">
      <c r="A1073" s="462"/>
    </row>
    <row r="1074" spans="1:1" x14ac:dyDescent="0.25">
      <c r="A1074" s="462"/>
    </row>
    <row r="1075" spans="1:1" x14ac:dyDescent="0.25">
      <c r="A1075" s="462"/>
    </row>
    <row r="1076" spans="1:1" x14ac:dyDescent="0.25">
      <c r="A1076" s="462"/>
    </row>
    <row r="1077" spans="1:1" x14ac:dyDescent="0.25">
      <c r="A1077" s="462"/>
    </row>
    <row r="1078" spans="1:1" x14ac:dyDescent="0.25">
      <c r="A1078" s="462"/>
    </row>
    <row r="1079" spans="1:1" x14ac:dyDescent="0.25">
      <c r="A1079" s="462"/>
    </row>
    <row r="1080" spans="1:1" x14ac:dyDescent="0.25">
      <c r="A1080" s="462"/>
    </row>
    <row r="1081" spans="1:1" x14ac:dyDescent="0.25">
      <c r="A1081" s="462"/>
    </row>
    <row r="1082" spans="1:1" x14ac:dyDescent="0.25">
      <c r="A1082" s="462"/>
    </row>
    <row r="1083" spans="1:1" x14ac:dyDescent="0.25">
      <c r="A1083" s="462"/>
    </row>
    <row r="1084" spans="1:1" x14ac:dyDescent="0.25">
      <c r="A1084" s="462"/>
    </row>
    <row r="1085" spans="1:1" x14ac:dyDescent="0.25">
      <c r="A1085" s="462"/>
    </row>
    <row r="1086" spans="1:1" x14ac:dyDescent="0.25">
      <c r="A1086" s="462"/>
    </row>
    <row r="1087" spans="1:1" x14ac:dyDescent="0.25">
      <c r="A1087" s="462"/>
    </row>
    <row r="1088" spans="1:1" x14ac:dyDescent="0.25">
      <c r="A1088" s="462"/>
    </row>
    <row r="1089" spans="1:1" x14ac:dyDescent="0.25">
      <c r="A1089" s="462"/>
    </row>
    <row r="1090" spans="1:1" x14ac:dyDescent="0.25">
      <c r="A1090" s="462"/>
    </row>
    <row r="1091" spans="1:1" x14ac:dyDescent="0.25">
      <c r="A1091" s="462"/>
    </row>
    <row r="1092" spans="1:1" x14ac:dyDescent="0.25">
      <c r="A1092" s="462"/>
    </row>
    <row r="1093" spans="1:1" x14ac:dyDescent="0.25">
      <c r="A1093" s="462"/>
    </row>
    <row r="1094" spans="1:1" x14ac:dyDescent="0.25">
      <c r="A1094" s="462"/>
    </row>
    <row r="1095" spans="1:1" x14ac:dyDescent="0.25">
      <c r="A1095" s="462"/>
    </row>
    <row r="1096" spans="1:1" x14ac:dyDescent="0.25">
      <c r="A1096" s="462"/>
    </row>
    <row r="1097" spans="1:1" x14ac:dyDescent="0.25">
      <c r="A1097" s="462"/>
    </row>
    <row r="1098" spans="1:1" x14ac:dyDescent="0.25">
      <c r="A1098" s="462"/>
    </row>
    <row r="1099" spans="1:1" x14ac:dyDescent="0.25">
      <c r="A1099" s="462"/>
    </row>
    <row r="1100" spans="1:1" x14ac:dyDescent="0.25">
      <c r="A1100" s="462"/>
    </row>
    <row r="1101" spans="1:1" x14ac:dyDescent="0.25">
      <c r="A1101" s="462"/>
    </row>
    <row r="1102" spans="1:1" x14ac:dyDescent="0.25">
      <c r="A1102" s="462"/>
    </row>
    <row r="1103" spans="1:1" x14ac:dyDescent="0.25">
      <c r="A1103" s="462"/>
    </row>
    <row r="1104" spans="1:1" x14ac:dyDescent="0.25">
      <c r="A1104" s="462"/>
    </row>
    <row r="1105" spans="1:1" x14ac:dyDescent="0.25">
      <c r="A1105" s="462"/>
    </row>
    <row r="1106" spans="1:1" x14ac:dyDescent="0.25">
      <c r="A1106" s="462"/>
    </row>
    <row r="1107" spans="1:1" x14ac:dyDescent="0.25">
      <c r="A1107" s="462"/>
    </row>
    <row r="1108" spans="1:1" x14ac:dyDescent="0.25">
      <c r="A1108" s="462"/>
    </row>
    <row r="1109" spans="1:1" x14ac:dyDescent="0.25">
      <c r="A1109" s="462"/>
    </row>
    <row r="1110" spans="1:1" x14ac:dyDescent="0.25">
      <c r="A1110" s="462"/>
    </row>
    <row r="1111" spans="1:1" x14ac:dyDescent="0.25">
      <c r="A1111" s="462"/>
    </row>
    <row r="1112" spans="1:1" x14ac:dyDescent="0.25">
      <c r="A1112" s="462"/>
    </row>
    <row r="1113" spans="1:1" x14ac:dyDescent="0.25">
      <c r="A1113" s="462"/>
    </row>
    <row r="1114" spans="1:1" x14ac:dyDescent="0.25">
      <c r="A1114" s="462"/>
    </row>
    <row r="1115" spans="1:1" x14ac:dyDescent="0.25">
      <c r="A1115" s="462"/>
    </row>
    <row r="1116" spans="1:1" x14ac:dyDescent="0.25">
      <c r="A1116" s="462"/>
    </row>
    <row r="1117" spans="1:1" x14ac:dyDescent="0.25">
      <c r="A1117" s="462"/>
    </row>
    <row r="1118" spans="1:1" x14ac:dyDescent="0.25">
      <c r="A1118" s="462"/>
    </row>
    <row r="1119" spans="1:1" x14ac:dyDescent="0.25">
      <c r="A1119" s="462"/>
    </row>
    <row r="1120" spans="1:1" x14ac:dyDescent="0.25">
      <c r="A1120" s="462"/>
    </row>
    <row r="1121" spans="1:1" x14ac:dyDescent="0.25">
      <c r="A1121" s="462"/>
    </row>
    <row r="1122" spans="1:1" x14ac:dyDescent="0.25">
      <c r="A1122" s="462"/>
    </row>
    <row r="1123" spans="1:1" x14ac:dyDescent="0.25">
      <c r="A1123" s="462"/>
    </row>
    <row r="1124" spans="1:1" x14ac:dyDescent="0.25">
      <c r="A1124" s="462"/>
    </row>
    <row r="1125" spans="1:1" x14ac:dyDescent="0.25">
      <c r="A1125" s="462"/>
    </row>
    <row r="1126" spans="1:1" x14ac:dyDescent="0.25">
      <c r="A1126" s="462"/>
    </row>
    <row r="1127" spans="1:1" x14ac:dyDescent="0.25">
      <c r="A1127" s="462"/>
    </row>
    <row r="1128" spans="1:1" x14ac:dyDescent="0.25">
      <c r="A1128" s="462"/>
    </row>
    <row r="1129" spans="1:1" x14ac:dyDescent="0.25">
      <c r="A1129" s="462"/>
    </row>
    <row r="1130" spans="1:1" x14ac:dyDescent="0.25">
      <c r="A1130" s="462"/>
    </row>
    <row r="1131" spans="1:1" x14ac:dyDescent="0.25">
      <c r="A1131" s="462"/>
    </row>
    <row r="1132" spans="1:1" x14ac:dyDescent="0.25">
      <c r="A1132" s="462"/>
    </row>
    <row r="1133" spans="1:1" x14ac:dyDescent="0.25">
      <c r="A1133" s="462"/>
    </row>
    <row r="1134" spans="1:1" x14ac:dyDescent="0.25">
      <c r="A1134" s="462"/>
    </row>
    <row r="1135" spans="1:1" x14ac:dyDescent="0.25">
      <c r="A1135" s="462"/>
    </row>
    <row r="1136" spans="1:1" x14ac:dyDescent="0.25">
      <c r="A1136" s="462"/>
    </row>
    <row r="1137" spans="1:1" x14ac:dyDescent="0.25">
      <c r="A1137" s="462"/>
    </row>
    <row r="1138" spans="1:1" x14ac:dyDescent="0.25">
      <c r="A1138" s="462"/>
    </row>
    <row r="1139" spans="1:1" x14ac:dyDescent="0.25">
      <c r="A1139" s="462"/>
    </row>
    <row r="1140" spans="1:1" x14ac:dyDescent="0.25">
      <c r="A1140" s="462"/>
    </row>
    <row r="1141" spans="1:1" x14ac:dyDescent="0.25">
      <c r="A1141" s="462"/>
    </row>
    <row r="1142" spans="1:1" x14ac:dyDescent="0.25">
      <c r="A1142" s="462"/>
    </row>
    <row r="1143" spans="1:1" x14ac:dyDescent="0.25">
      <c r="A1143" s="462"/>
    </row>
    <row r="1144" spans="1:1" x14ac:dyDescent="0.25">
      <c r="A1144" s="462"/>
    </row>
    <row r="1145" spans="1:1" x14ac:dyDescent="0.25">
      <c r="A1145" s="462"/>
    </row>
    <row r="1146" spans="1:1" x14ac:dyDescent="0.25">
      <c r="A1146" s="462"/>
    </row>
    <row r="1147" spans="1:1" x14ac:dyDescent="0.25">
      <c r="A1147" s="462"/>
    </row>
    <row r="1148" spans="1:1" x14ac:dyDescent="0.25">
      <c r="A1148" s="462"/>
    </row>
    <row r="1149" spans="1:1" x14ac:dyDescent="0.25">
      <c r="A1149" s="462"/>
    </row>
    <row r="1150" spans="1:1" x14ac:dyDescent="0.25">
      <c r="A1150" s="462"/>
    </row>
    <row r="1151" spans="1:1" x14ac:dyDescent="0.25">
      <c r="A1151" s="462"/>
    </row>
    <row r="1152" spans="1:1" x14ac:dyDescent="0.25">
      <c r="A1152" s="462"/>
    </row>
    <row r="1153" spans="1:1" x14ac:dyDescent="0.25">
      <c r="A1153" s="462"/>
    </row>
    <row r="1154" spans="1:1" x14ac:dyDescent="0.25">
      <c r="A1154" s="462"/>
    </row>
    <row r="1155" spans="1:1" x14ac:dyDescent="0.25">
      <c r="A1155" s="462"/>
    </row>
    <row r="1156" spans="1:1" x14ac:dyDescent="0.25">
      <c r="A1156" s="462"/>
    </row>
    <row r="1157" spans="1:1" x14ac:dyDescent="0.25">
      <c r="A1157" s="462"/>
    </row>
    <row r="1158" spans="1:1" x14ac:dyDescent="0.25">
      <c r="A1158" s="462"/>
    </row>
    <row r="1159" spans="1:1" x14ac:dyDescent="0.25">
      <c r="A1159" s="462"/>
    </row>
    <row r="1160" spans="1:1" x14ac:dyDescent="0.25">
      <c r="A1160" s="462"/>
    </row>
    <row r="1161" spans="1:1" x14ac:dyDescent="0.25">
      <c r="A1161" s="462"/>
    </row>
    <row r="1162" spans="1:1" x14ac:dyDescent="0.25">
      <c r="A1162" s="462"/>
    </row>
    <row r="1163" spans="1:1" x14ac:dyDescent="0.25">
      <c r="A1163" s="462"/>
    </row>
    <row r="1164" spans="1:1" x14ac:dyDescent="0.25">
      <c r="A1164" s="462"/>
    </row>
    <row r="1165" spans="1:1" x14ac:dyDescent="0.25">
      <c r="A1165" s="462"/>
    </row>
    <row r="1166" spans="1:1" x14ac:dyDescent="0.25">
      <c r="A1166" s="462"/>
    </row>
    <row r="1167" spans="1:1" x14ac:dyDescent="0.25">
      <c r="A1167" s="462"/>
    </row>
    <row r="1168" spans="1:1" x14ac:dyDescent="0.25">
      <c r="A1168" s="462"/>
    </row>
    <row r="1169" spans="1:1" x14ac:dyDescent="0.25">
      <c r="A1169" s="462"/>
    </row>
    <row r="1170" spans="1:1" x14ac:dyDescent="0.25">
      <c r="A1170" s="462"/>
    </row>
    <row r="1171" spans="1:1" x14ac:dyDescent="0.25">
      <c r="A1171" s="462"/>
    </row>
    <row r="1172" spans="1:1" x14ac:dyDescent="0.25">
      <c r="A1172" s="462"/>
    </row>
    <row r="1173" spans="1:1" x14ac:dyDescent="0.25">
      <c r="A1173" s="462"/>
    </row>
    <row r="1174" spans="1:1" x14ac:dyDescent="0.25">
      <c r="A1174" s="462"/>
    </row>
    <row r="1175" spans="1:1" x14ac:dyDescent="0.25">
      <c r="A1175" s="462"/>
    </row>
    <row r="1176" spans="1:1" x14ac:dyDescent="0.25">
      <c r="A1176" s="462"/>
    </row>
    <row r="1177" spans="1:1" x14ac:dyDescent="0.25">
      <c r="A1177" s="462"/>
    </row>
    <row r="1178" spans="1:1" x14ac:dyDescent="0.25">
      <c r="A1178" s="462"/>
    </row>
    <row r="1179" spans="1:1" x14ac:dyDescent="0.25">
      <c r="A1179" s="462"/>
    </row>
    <row r="1180" spans="1:1" x14ac:dyDescent="0.25">
      <c r="A1180" s="462"/>
    </row>
    <row r="1181" spans="1:1" x14ac:dyDescent="0.25">
      <c r="A1181" s="462"/>
    </row>
    <row r="1182" spans="1:1" x14ac:dyDescent="0.25">
      <c r="A1182" s="462"/>
    </row>
    <row r="1183" spans="1:1" x14ac:dyDescent="0.25">
      <c r="A1183" s="462"/>
    </row>
    <row r="1184" spans="1:1" x14ac:dyDescent="0.25">
      <c r="A1184" s="462"/>
    </row>
    <row r="1185" spans="1:1" x14ac:dyDescent="0.25">
      <c r="A1185" s="462"/>
    </row>
    <row r="1186" spans="1:1" x14ac:dyDescent="0.25">
      <c r="A1186" s="462"/>
    </row>
    <row r="1187" spans="1:1" x14ac:dyDescent="0.25">
      <c r="A1187" s="462"/>
    </row>
    <row r="1188" spans="1:1" x14ac:dyDescent="0.25">
      <c r="A1188" s="462"/>
    </row>
    <row r="1189" spans="1:1" x14ac:dyDescent="0.25">
      <c r="A1189" s="462"/>
    </row>
    <row r="1190" spans="1:1" x14ac:dyDescent="0.25">
      <c r="A1190" s="462"/>
    </row>
    <row r="1191" spans="1:1" x14ac:dyDescent="0.25">
      <c r="A1191" s="462"/>
    </row>
    <row r="1192" spans="1:1" x14ac:dyDescent="0.25">
      <c r="A1192" s="462"/>
    </row>
    <row r="1193" spans="1:1" x14ac:dyDescent="0.25">
      <c r="A1193" s="462"/>
    </row>
    <row r="1194" spans="1:1" x14ac:dyDescent="0.25">
      <c r="A1194" s="462"/>
    </row>
    <row r="1195" spans="1:1" x14ac:dyDescent="0.25">
      <c r="A1195" s="462"/>
    </row>
    <row r="1196" spans="1:1" x14ac:dyDescent="0.25">
      <c r="A1196" s="462"/>
    </row>
    <row r="1197" spans="1:1" x14ac:dyDescent="0.25">
      <c r="A1197" s="462"/>
    </row>
    <row r="1198" spans="1:1" x14ac:dyDescent="0.25">
      <c r="A1198" s="462"/>
    </row>
    <row r="1199" spans="1:1" x14ac:dyDescent="0.25">
      <c r="A1199" s="462"/>
    </row>
    <row r="1200" spans="1:1" x14ac:dyDescent="0.25">
      <c r="A1200" s="462"/>
    </row>
    <row r="1201" spans="1:1" x14ac:dyDescent="0.25">
      <c r="A1201" s="462"/>
    </row>
    <row r="1202" spans="1:1" x14ac:dyDescent="0.25">
      <c r="A1202" s="462"/>
    </row>
    <row r="1203" spans="1:1" x14ac:dyDescent="0.25">
      <c r="A1203" s="462"/>
    </row>
    <row r="1204" spans="1:1" x14ac:dyDescent="0.25">
      <c r="A1204" s="462"/>
    </row>
    <row r="1205" spans="1:1" x14ac:dyDescent="0.25">
      <c r="A1205" s="462"/>
    </row>
    <row r="1206" spans="1:1" x14ac:dyDescent="0.25">
      <c r="A1206" s="462"/>
    </row>
    <row r="1207" spans="1:1" x14ac:dyDescent="0.25">
      <c r="A1207" s="462"/>
    </row>
    <row r="1208" spans="1:1" x14ac:dyDescent="0.25">
      <c r="A1208" s="462"/>
    </row>
    <row r="1209" spans="1:1" x14ac:dyDescent="0.25">
      <c r="A1209" s="462"/>
    </row>
    <row r="1210" spans="1:1" x14ac:dyDescent="0.25">
      <c r="A1210" s="462"/>
    </row>
    <row r="1211" spans="1:1" x14ac:dyDescent="0.25">
      <c r="A1211" s="462"/>
    </row>
    <row r="1212" spans="1:1" x14ac:dyDescent="0.25">
      <c r="A1212" s="462"/>
    </row>
    <row r="1213" spans="1:1" x14ac:dyDescent="0.25">
      <c r="A1213" s="462"/>
    </row>
    <row r="1214" spans="1:1" x14ac:dyDescent="0.25">
      <c r="A1214" s="462"/>
    </row>
    <row r="1215" spans="1:1" x14ac:dyDescent="0.25">
      <c r="A1215" s="462"/>
    </row>
    <row r="1216" spans="1:1" x14ac:dyDescent="0.25">
      <c r="A1216" s="462"/>
    </row>
    <row r="1217" spans="1:1" x14ac:dyDescent="0.25">
      <c r="A1217" s="462"/>
    </row>
    <row r="1218" spans="1:1" x14ac:dyDescent="0.25">
      <c r="A1218" s="462"/>
    </row>
    <row r="1219" spans="1:1" x14ac:dyDescent="0.25">
      <c r="A1219" s="462"/>
    </row>
    <row r="1220" spans="1:1" x14ac:dyDescent="0.25">
      <c r="A1220" s="462"/>
    </row>
    <row r="1221" spans="1:1" x14ac:dyDescent="0.25">
      <c r="A1221" s="462"/>
    </row>
    <row r="1222" spans="1:1" x14ac:dyDescent="0.25">
      <c r="A1222" s="462"/>
    </row>
    <row r="1223" spans="1:1" x14ac:dyDescent="0.25">
      <c r="A1223" s="462"/>
    </row>
    <row r="1224" spans="1:1" x14ac:dyDescent="0.25">
      <c r="A1224" s="462"/>
    </row>
    <row r="1225" spans="1:1" x14ac:dyDescent="0.25">
      <c r="A1225" s="462"/>
    </row>
    <row r="1226" spans="1:1" x14ac:dyDescent="0.25">
      <c r="A1226" s="462"/>
    </row>
    <row r="1227" spans="1:1" x14ac:dyDescent="0.25">
      <c r="A1227" s="462"/>
    </row>
    <row r="1228" spans="1:1" x14ac:dyDescent="0.25">
      <c r="A1228" s="462"/>
    </row>
    <row r="1229" spans="1:1" x14ac:dyDescent="0.25">
      <c r="A1229" s="462"/>
    </row>
    <row r="1230" spans="1:1" x14ac:dyDescent="0.25">
      <c r="A1230" s="462"/>
    </row>
    <row r="1231" spans="1:1" x14ac:dyDescent="0.25">
      <c r="A1231" s="462"/>
    </row>
    <row r="1232" spans="1:1" x14ac:dyDescent="0.25">
      <c r="A1232" s="462"/>
    </row>
    <row r="1233" spans="1:1" x14ac:dyDescent="0.25">
      <c r="A1233" s="462"/>
    </row>
    <row r="1234" spans="1:1" x14ac:dyDescent="0.25">
      <c r="A1234" s="462"/>
    </row>
    <row r="1235" spans="1:1" x14ac:dyDescent="0.25">
      <c r="A1235" s="462"/>
    </row>
    <row r="1236" spans="1:1" x14ac:dyDescent="0.25">
      <c r="A1236" s="462"/>
    </row>
    <row r="1237" spans="1:1" x14ac:dyDescent="0.25">
      <c r="A1237" s="462"/>
    </row>
    <row r="1238" spans="1:1" x14ac:dyDescent="0.25">
      <c r="A1238" s="462"/>
    </row>
    <row r="1239" spans="1:1" x14ac:dyDescent="0.25">
      <c r="A1239" s="462"/>
    </row>
    <row r="1240" spans="1:1" x14ac:dyDescent="0.25">
      <c r="A1240" s="462"/>
    </row>
    <row r="1241" spans="1:1" x14ac:dyDescent="0.25">
      <c r="A1241" s="462"/>
    </row>
    <row r="1242" spans="1:1" x14ac:dyDescent="0.25">
      <c r="A1242" s="462"/>
    </row>
    <row r="1243" spans="1:1" x14ac:dyDescent="0.25">
      <c r="A1243" s="462"/>
    </row>
    <row r="1244" spans="1:1" x14ac:dyDescent="0.25">
      <c r="A1244" s="462"/>
    </row>
    <row r="1245" spans="1:1" x14ac:dyDescent="0.25">
      <c r="A1245" s="462"/>
    </row>
    <row r="1246" spans="1:1" x14ac:dyDescent="0.25">
      <c r="A1246" s="462"/>
    </row>
    <row r="1247" spans="1:1" x14ac:dyDescent="0.25">
      <c r="A1247" s="462"/>
    </row>
    <row r="1248" spans="1:1" x14ac:dyDescent="0.25">
      <c r="A1248" s="462"/>
    </row>
    <row r="1249" spans="1:1" x14ac:dyDescent="0.25">
      <c r="A1249" s="462"/>
    </row>
    <row r="1250" spans="1:1" x14ac:dyDescent="0.25">
      <c r="A1250" s="462"/>
    </row>
    <row r="1251" spans="1:1" x14ac:dyDescent="0.25">
      <c r="A1251" s="462"/>
    </row>
    <row r="1252" spans="1:1" x14ac:dyDescent="0.25">
      <c r="A1252" s="462"/>
    </row>
    <row r="1253" spans="1:1" x14ac:dyDescent="0.25">
      <c r="A1253" s="462"/>
    </row>
    <row r="1254" spans="1:1" x14ac:dyDescent="0.25">
      <c r="A1254" s="462"/>
    </row>
    <row r="1255" spans="1:1" x14ac:dyDescent="0.25">
      <c r="A1255" s="462"/>
    </row>
    <row r="1256" spans="1:1" x14ac:dyDescent="0.25">
      <c r="A1256" s="462"/>
    </row>
    <row r="1257" spans="1:1" x14ac:dyDescent="0.25">
      <c r="A1257" s="462"/>
    </row>
    <row r="1258" spans="1:1" x14ac:dyDescent="0.25">
      <c r="A1258" s="462"/>
    </row>
    <row r="1259" spans="1:1" x14ac:dyDescent="0.25">
      <c r="A1259" s="462"/>
    </row>
    <row r="1260" spans="1:1" x14ac:dyDescent="0.25">
      <c r="A1260" s="462"/>
    </row>
    <row r="1261" spans="1:1" x14ac:dyDescent="0.25">
      <c r="A1261" s="462"/>
    </row>
    <row r="1262" spans="1:1" x14ac:dyDescent="0.25">
      <c r="A1262" s="462"/>
    </row>
    <row r="1263" spans="1:1" x14ac:dyDescent="0.25">
      <c r="A1263" s="462"/>
    </row>
    <row r="1264" spans="1:1" x14ac:dyDescent="0.25">
      <c r="A1264" s="462"/>
    </row>
    <row r="1265" spans="1:1" x14ac:dyDescent="0.25">
      <c r="A1265" s="462"/>
    </row>
    <row r="1266" spans="1:1" x14ac:dyDescent="0.25">
      <c r="A1266" s="462"/>
    </row>
    <row r="1267" spans="1:1" x14ac:dyDescent="0.25">
      <c r="A1267" s="462"/>
    </row>
    <row r="1268" spans="1:1" x14ac:dyDescent="0.25">
      <c r="A1268" s="462"/>
    </row>
    <row r="1269" spans="1:1" x14ac:dyDescent="0.25">
      <c r="A1269" s="462"/>
    </row>
    <row r="1270" spans="1:1" x14ac:dyDescent="0.25">
      <c r="A1270" s="462"/>
    </row>
    <row r="1271" spans="1:1" x14ac:dyDescent="0.25">
      <c r="A1271" s="462"/>
    </row>
    <row r="1272" spans="1:1" x14ac:dyDescent="0.25">
      <c r="A1272" s="462"/>
    </row>
    <row r="1273" spans="1:1" x14ac:dyDescent="0.25">
      <c r="A1273" s="462"/>
    </row>
    <row r="1274" spans="1:1" x14ac:dyDescent="0.25">
      <c r="A1274" s="462"/>
    </row>
    <row r="1275" spans="1:1" x14ac:dyDescent="0.25">
      <c r="A1275" s="462"/>
    </row>
    <row r="1276" spans="1:1" x14ac:dyDescent="0.25">
      <c r="A1276" s="462"/>
    </row>
    <row r="1277" spans="1:1" x14ac:dyDescent="0.25">
      <c r="A1277" s="462"/>
    </row>
    <row r="1278" spans="1:1" x14ac:dyDescent="0.25">
      <c r="A1278" s="462"/>
    </row>
    <row r="1279" spans="1:1" x14ac:dyDescent="0.25">
      <c r="A1279" s="462"/>
    </row>
    <row r="1280" spans="1:1" x14ac:dyDescent="0.25">
      <c r="A1280" s="462"/>
    </row>
    <row r="1281" spans="1:1" x14ac:dyDescent="0.25">
      <c r="A1281" s="462"/>
    </row>
    <row r="1282" spans="1:1" x14ac:dyDescent="0.25">
      <c r="A1282" s="462"/>
    </row>
    <row r="1283" spans="1:1" x14ac:dyDescent="0.25">
      <c r="A1283" s="462"/>
    </row>
    <row r="1284" spans="1:1" x14ac:dyDescent="0.25">
      <c r="A1284" s="462"/>
    </row>
    <row r="1285" spans="1:1" x14ac:dyDescent="0.25">
      <c r="A1285" s="462"/>
    </row>
    <row r="1286" spans="1:1" x14ac:dyDescent="0.25">
      <c r="A1286" s="462"/>
    </row>
    <row r="1287" spans="1:1" x14ac:dyDescent="0.25">
      <c r="A1287" s="462"/>
    </row>
    <row r="1288" spans="1:1" x14ac:dyDescent="0.25">
      <c r="A1288" s="462"/>
    </row>
    <row r="1289" spans="1:1" x14ac:dyDescent="0.25">
      <c r="A1289" s="462"/>
    </row>
    <row r="1290" spans="1:1" x14ac:dyDescent="0.25">
      <c r="A1290" s="462"/>
    </row>
    <row r="1291" spans="1:1" x14ac:dyDescent="0.25">
      <c r="A1291" s="462"/>
    </row>
    <row r="1292" spans="1:1" x14ac:dyDescent="0.25">
      <c r="A1292" s="462"/>
    </row>
    <row r="1293" spans="1:1" x14ac:dyDescent="0.25">
      <c r="A1293" s="462"/>
    </row>
    <row r="1294" spans="1:1" x14ac:dyDescent="0.25">
      <c r="A1294" s="462"/>
    </row>
    <row r="1295" spans="1:1" x14ac:dyDescent="0.25">
      <c r="A1295" s="462"/>
    </row>
    <row r="1296" spans="1:1" x14ac:dyDescent="0.25">
      <c r="A1296" s="462"/>
    </row>
    <row r="1297" spans="1:1" x14ac:dyDescent="0.25">
      <c r="A1297" s="462"/>
    </row>
    <row r="1298" spans="1:1" x14ac:dyDescent="0.25">
      <c r="A1298" s="462"/>
    </row>
    <row r="1299" spans="1:1" x14ac:dyDescent="0.25">
      <c r="A1299" s="462"/>
    </row>
    <row r="1300" spans="1:1" x14ac:dyDescent="0.25">
      <c r="A1300" s="462"/>
    </row>
    <row r="1301" spans="1:1" x14ac:dyDescent="0.25">
      <c r="A1301" s="462"/>
    </row>
    <row r="1302" spans="1:1" x14ac:dyDescent="0.25">
      <c r="A1302" s="462"/>
    </row>
    <row r="1303" spans="1:1" x14ac:dyDescent="0.25">
      <c r="A1303" s="462"/>
    </row>
    <row r="1304" spans="1:1" x14ac:dyDescent="0.25">
      <c r="A1304" s="462"/>
    </row>
    <row r="1305" spans="1:1" x14ac:dyDescent="0.25">
      <c r="A1305" s="462"/>
    </row>
    <row r="1306" spans="1:1" x14ac:dyDescent="0.25">
      <c r="A1306" s="462"/>
    </row>
    <row r="1307" spans="1:1" x14ac:dyDescent="0.25">
      <c r="A1307" s="462"/>
    </row>
    <row r="1308" spans="1:1" x14ac:dyDescent="0.25">
      <c r="A1308" s="462"/>
    </row>
    <row r="1309" spans="1:1" x14ac:dyDescent="0.25">
      <c r="A1309" s="462"/>
    </row>
    <row r="1310" spans="1:1" x14ac:dyDescent="0.25">
      <c r="A1310" s="462"/>
    </row>
    <row r="1311" spans="1:1" x14ac:dyDescent="0.25">
      <c r="A1311" s="462"/>
    </row>
    <row r="1312" spans="1:1" x14ac:dyDescent="0.25">
      <c r="A1312" s="462"/>
    </row>
    <row r="1313" spans="1:1" x14ac:dyDescent="0.25">
      <c r="A1313" s="462"/>
    </row>
    <row r="1314" spans="1:1" x14ac:dyDescent="0.25">
      <c r="A1314" s="462"/>
    </row>
    <row r="1315" spans="1:1" x14ac:dyDescent="0.25">
      <c r="A1315" s="462"/>
    </row>
    <row r="1316" spans="1:1" x14ac:dyDescent="0.25">
      <c r="A1316" s="462"/>
    </row>
    <row r="1317" spans="1:1" x14ac:dyDescent="0.25">
      <c r="A1317" s="462"/>
    </row>
    <row r="1318" spans="1:1" x14ac:dyDescent="0.25">
      <c r="A1318" s="462"/>
    </row>
    <row r="1319" spans="1:1" x14ac:dyDescent="0.25">
      <c r="A1319" s="462"/>
    </row>
    <row r="1320" spans="1:1" x14ac:dyDescent="0.25">
      <c r="A1320" s="462"/>
    </row>
    <row r="1321" spans="1:1" x14ac:dyDescent="0.25">
      <c r="A1321" s="462"/>
    </row>
    <row r="1322" spans="1:1" x14ac:dyDescent="0.25">
      <c r="A1322" s="462"/>
    </row>
    <row r="1323" spans="1:1" x14ac:dyDescent="0.25">
      <c r="A1323" s="462"/>
    </row>
    <row r="1324" spans="1:1" x14ac:dyDescent="0.25">
      <c r="A1324" s="462"/>
    </row>
    <row r="1325" spans="1:1" x14ac:dyDescent="0.25">
      <c r="A1325" s="462"/>
    </row>
    <row r="1326" spans="1:1" x14ac:dyDescent="0.25">
      <c r="A1326" s="462"/>
    </row>
    <row r="1327" spans="1:1" x14ac:dyDescent="0.25">
      <c r="A1327" s="462"/>
    </row>
    <row r="1328" spans="1:1" x14ac:dyDescent="0.25">
      <c r="A1328" s="462"/>
    </row>
    <row r="1329" spans="1:1" x14ac:dyDescent="0.25">
      <c r="A1329" s="462"/>
    </row>
    <row r="1330" spans="1:1" x14ac:dyDescent="0.25">
      <c r="A1330" s="462"/>
    </row>
    <row r="1331" spans="1:1" x14ac:dyDescent="0.25">
      <c r="A1331" s="462"/>
    </row>
    <row r="1332" spans="1:1" x14ac:dyDescent="0.25">
      <c r="A1332" s="462"/>
    </row>
    <row r="1333" spans="1:1" x14ac:dyDescent="0.25">
      <c r="A1333" s="462"/>
    </row>
    <row r="1334" spans="1:1" x14ac:dyDescent="0.25">
      <c r="A1334" s="462"/>
    </row>
    <row r="1335" spans="1:1" x14ac:dyDescent="0.25">
      <c r="A1335" s="462"/>
    </row>
    <row r="1336" spans="1:1" x14ac:dyDescent="0.25">
      <c r="A1336" s="462"/>
    </row>
    <row r="1337" spans="1:1" x14ac:dyDescent="0.25">
      <c r="A1337" s="462"/>
    </row>
    <row r="1338" spans="1:1" x14ac:dyDescent="0.25">
      <c r="A1338" s="462"/>
    </row>
    <row r="1339" spans="1:1" x14ac:dyDescent="0.25">
      <c r="A1339" s="462"/>
    </row>
    <row r="1340" spans="1:1" x14ac:dyDescent="0.25">
      <c r="A1340" s="462"/>
    </row>
    <row r="1341" spans="1:1" x14ac:dyDescent="0.25">
      <c r="A1341" s="462"/>
    </row>
    <row r="1342" spans="1:1" x14ac:dyDescent="0.25">
      <c r="A1342" s="462"/>
    </row>
    <row r="1343" spans="1:1" x14ac:dyDescent="0.25">
      <c r="A1343" s="462"/>
    </row>
    <row r="1344" spans="1:1" x14ac:dyDescent="0.25">
      <c r="A1344" s="462"/>
    </row>
    <row r="1345" spans="1:1" x14ac:dyDescent="0.25">
      <c r="A1345" s="462"/>
    </row>
    <row r="1346" spans="1:1" x14ac:dyDescent="0.25">
      <c r="A1346" s="462"/>
    </row>
    <row r="1347" spans="1:1" x14ac:dyDescent="0.25">
      <c r="A1347" s="462"/>
    </row>
    <row r="1348" spans="1:1" x14ac:dyDescent="0.25">
      <c r="A1348" s="462"/>
    </row>
    <row r="1349" spans="1:1" x14ac:dyDescent="0.25">
      <c r="A1349" s="462"/>
    </row>
    <row r="1350" spans="1:1" x14ac:dyDescent="0.25">
      <c r="A1350" s="462"/>
    </row>
    <row r="1351" spans="1:1" x14ac:dyDescent="0.25">
      <c r="A1351" s="462"/>
    </row>
    <row r="1352" spans="1:1" x14ac:dyDescent="0.25">
      <c r="A1352" s="462"/>
    </row>
    <row r="1353" spans="1:1" x14ac:dyDescent="0.25">
      <c r="A1353" s="462"/>
    </row>
    <row r="1354" spans="1:1" x14ac:dyDescent="0.25">
      <c r="A1354" s="462"/>
    </row>
    <row r="1355" spans="1:1" x14ac:dyDescent="0.25">
      <c r="A1355" s="462"/>
    </row>
    <row r="1356" spans="1:1" x14ac:dyDescent="0.25">
      <c r="A1356" s="462"/>
    </row>
    <row r="1357" spans="1:1" x14ac:dyDescent="0.25">
      <c r="A1357" s="462"/>
    </row>
    <row r="1358" spans="1:1" x14ac:dyDescent="0.25">
      <c r="A1358" s="462"/>
    </row>
    <row r="1359" spans="1:1" x14ac:dyDescent="0.25">
      <c r="A1359" s="462"/>
    </row>
    <row r="1360" spans="1:1" x14ac:dyDescent="0.25">
      <c r="A1360" s="462"/>
    </row>
    <row r="1361" spans="1:1" x14ac:dyDescent="0.25">
      <c r="A1361" s="462"/>
    </row>
    <row r="1362" spans="1:1" x14ac:dyDescent="0.25">
      <c r="A1362" s="462"/>
    </row>
    <row r="1363" spans="1:1" x14ac:dyDescent="0.25">
      <c r="A1363" s="462"/>
    </row>
    <row r="1364" spans="1:1" x14ac:dyDescent="0.25">
      <c r="A1364" s="462"/>
    </row>
    <row r="1365" spans="1:1" x14ac:dyDescent="0.25">
      <c r="A1365" s="462"/>
    </row>
    <row r="1366" spans="1:1" x14ac:dyDescent="0.25">
      <c r="A1366" s="462"/>
    </row>
    <row r="1367" spans="1:1" x14ac:dyDescent="0.25">
      <c r="A1367" s="462"/>
    </row>
    <row r="1368" spans="1:1" x14ac:dyDescent="0.25">
      <c r="A1368" s="462"/>
    </row>
    <row r="1369" spans="1:1" x14ac:dyDescent="0.25">
      <c r="A1369" s="462"/>
    </row>
    <row r="1370" spans="1:1" x14ac:dyDescent="0.25">
      <c r="A1370" s="462"/>
    </row>
    <row r="1371" spans="1:1" x14ac:dyDescent="0.25">
      <c r="A1371" s="462"/>
    </row>
    <row r="1372" spans="1:1" x14ac:dyDescent="0.25">
      <c r="A1372" s="462"/>
    </row>
    <row r="1373" spans="1:1" x14ac:dyDescent="0.25">
      <c r="A1373" s="462"/>
    </row>
    <row r="1374" spans="1:1" x14ac:dyDescent="0.25">
      <c r="A1374" s="462"/>
    </row>
    <row r="1375" spans="1:1" x14ac:dyDescent="0.25">
      <c r="A1375" s="462"/>
    </row>
    <row r="1376" spans="1:1" x14ac:dyDescent="0.25">
      <c r="A1376" s="462"/>
    </row>
    <row r="1377" spans="1:1" x14ac:dyDescent="0.25">
      <c r="A1377" s="462"/>
    </row>
    <row r="1378" spans="1:1" x14ac:dyDescent="0.25">
      <c r="A1378" s="462"/>
    </row>
    <row r="1379" spans="1:1" x14ac:dyDescent="0.25">
      <c r="A1379" s="462"/>
    </row>
    <row r="1380" spans="1:1" x14ac:dyDescent="0.25">
      <c r="A1380" s="462"/>
    </row>
    <row r="1381" spans="1:1" x14ac:dyDescent="0.25">
      <c r="A1381" s="462"/>
    </row>
    <row r="1382" spans="1:1" x14ac:dyDescent="0.25">
      <c r="A1382" s="462"/>
    </row>
    <row r="1383" spans="1:1" x14ac:dyDescent="0.25">
      <c r="A1383" s="462"/>
    </row>
    <row r="1384" spans="1:1" x14ac:dyDescent="0.25">
      <c r="A1384" s="462"/>
    </row>
    <row r="1385" spans="1:1" x14ac:dyDescent="0.25">
      <c r="A1385" s="462"/>
    </row>
    <row r="1386" spans="1:1" x14ac:dyDescent="0.25">
      <c r="A1386" s="462"/>
    </row>
    <row r="1387" spans="1:1" x14ac:dyDescent="0.25">
      <c r="A1387" s="462"/>
    </row>
    <row r="1388" spans="1:1" x14ac:dyDescent="0.25">
      <c r="A1388" s="462"/>
    </row>
    <row r="1389" spans="1:1" x14ac:dyDescent="0.25">
      <c r="A1389" s="462"/>
    </row>
    <row r="1390" spans="1:1" x14ac:dyDescent="0.25">
      <c r="A1390" s="462"/>
    </row>
    <row r="1391" spans="1:1" x14ac:dyDescent="0.25">
      <c r="A1391" s="462"/>
    </row>
    <row r="1392" spans="1:1" x14ac:dyDescent="0.25">
      <c r="A1392" s="462"/>
    </row>
    <row r="1393" spans="1:1" x14ac:dyDescent="0.25">
      <c r="A1393" s="462"/>
    </row>
    <row r="1394" spans="1:1" x14ac:dyDescent="0.25">
      <c r="A1394" s="462"/>
    </row>
    <row r="1395" spans="1:1" x14ac:dyDescent="0.25">
      <c r="A1395" s="462"/>
    </row>
    <row r="1396" spans="1:1" x14ac:dyDescent="0.25">
      <c r="A1396" s="462"/>
    </row>
    <row r="1397" spans="1:1" x14ac:dyDescent="0.25">
      <c r="A1397" s="462"/>
    </row>
    <row r="1398" spans="1:1" x14ac:dyDescent="0.25">
      <c r="A1398" s="462"/>
    </row>
    <row r="1399" spans="1:1" x14ac:dyDescent="0.25">
      <c r="A1399" s="462"/>
    </row>
    <row r="1400" spans="1:1" x14ac:dyDescent="0.25">
      <c r="A1400" s="462"/>
    </row>
    <row r="1401" spans="1:1" x14ac:dyDescent="0.25">
      <c r="A1401" s="462"/>
    </row>
    <row r="1402" spans="1:1" x14ac:dyDescent="0.25">
      <c r="A1402" s="462"/>
    </row>
    <row r="1403" spans="1:1" x14ac:dyDescent="0.25">
      <c r="A1403" s="462"/>
    </row>
    <row r="1404" spans="1:1" x14ac:dyDescent="0.25">
      <c r="A1404" s="462"/>
    </row>
    <row r="1405" spans="1:1" x14ac:dyDescent="0.25">
      <c r="A1405" s="462"/>
    </row>
    <row r="1406" spans="1:1" x14ac:dyDescent="0.25">
      <c r="A1406" s="462"/>
    </row>
    <row r="1407" spans="1:1" x14ac:dyDescent="0.25">
      <c r="A1407" s="462"/>
    </row>
    <row r="1408" spans="1:1" x14ac:dyDescent="0.25">
      <c r="A1408" s="462"/>
    </row>
    <row r="1409" spans="1:1" x14ac:dyDescent="0.25">
      <c r="A1409" s="462"/>
    </row>
    <row r="1410" spans="1:1" x14ac:dyDescent="0.25">
      <c r="A1410" s="462"/>
    </row>
    <row r="1411" spans="1:1" x14ac:dyDescent="0.25">
      <c r="A1411" s="462"/>
    </row>
    <row r="1412" spans="1:1" x14ac:dyDescent="0.25">
      <c r="A1412" s="462"/>
    </row>
    <row r="1413" spans="1:1" x14ac:dyDescent="0.25">
      <c r="A1413" s="462"/>
    </row>
    <row r="1414" spans="1:1" x14ac:dyDescent="0.25">
      <c r="A1414" s="462"/>
    </row>
    <row r="1415" spans="1:1" x14ac:dyDescent="0.25">
      <c r="A1415" s="462"/>
    </row>
    <row r="1416" spans="1:1" x14ac:dyDescent="0.25">
      <c r="A1416" s="462"/>
    </row>
    <row r="1417" spans="1:1" x14ac:dyDescent="0.25">
      <c r="A1417" s="462"/>
    </row>
    <row r="1418" spans="1:1" x14ac:dyDescent="0.25">
      <c r="A1418" s="462"/>
    </row>
    <row r="1419" spans="1:1" x14ac:dyDescent="0.25">
      <c r="A1419" s="462"/>
    </row>
    <row r="1420" spans="1:1" x14ac:dyDescent="0.25">
      <c r="A1420" s="462"/>
    </row>
    <row r="1421" spans="1:1" x14ac:dyDescent="0.25">
      <c r="A1421" s="462"/>
    </row>
    <row r="1422" spans="1:1" x14ac:dyDescent="0.25">
      <c r="A1422" s="462"/>
    </row>
    <row r="1423" spans="1:1" x14ac:dyDescent="0.25">
      <c r="A1423" s="462"/>
    </row>
    <row r="1424" spans="1:1" x14ac:dyDescent="0.25">
      <c r="A1424" s="462"/>
    </row>
    <row r="1425" spans="1:1" x14ac:dyDescent="0.25">
      <c r="A1425" s="462"/>
    </row>
    <row r="1426" spans="1:1" x14ac:dyDescent="0.25">
      <c r="A1426" s="462"/>
    </row>
    <row r="1427" spans="1:1" x14ac:dyDescent="0.25">
      <c r="A1427" s="462"/>
    </row>
    <row r="1428" spans="1:1" x14ac:dyDescent="0.25">
      <c r="A1428" s="462"/>
    </row>
    <row r="1429" spans="1:1" x14ac:dyDescent="0.25">
      <c r="A1429" s="462"/>
    </row>
    <row r="1430" spans="1:1" x14ac:dyDescent="0.25">
      <c r="A1430" s="462"/>
    </row>
    <row r="1431" spans="1:1" x14ac:dyDescent="0.25">
      <c r="A1431" s="462"/>
    </row>
    <row r="1432" spans="1:1" x14ac:dyDescent="0.25">
      <c r="A1432" s="462"/>
    </row>
    <row r="1433" spans="1:1" x14ac:dyDescent="0.25">
      <c r="A1433" s="462"/>
    </row>
    <row r="1434" spans="1:1" x14ac:dyDescent="0.25">
      <c r="A1434" s="462"/>
    </row>
    <row r="1435" spans="1:1" x14ac:dyDescent="0.25">
      <c r="A1435" s="462"/>
    </row>
    <row r="1436" spans="1:1" x14ac:dyDescent="0.25">
      <c r="A1436" s="462"/>
    </row>
    <row r="1437" spans="1:1" x14ac:dyDescent="0.25">
      <c r="A1437" s="462"/>
    </row>
    <row r="1438" spans="1:1" x14ac:dyDescent="0.25">
      <c r="A1438" s="462"/>
    </row>
    <row r="1439" spans="1:1" x14ac:dyDescent="0.25">
      <c r="A1439" s="462"/>
    </row>
    <row r="1440" spans="1:1" x14ac:dyDescent="0.25">
      <c r="A1440" s="462"/>
    </row>
    <row r="1441" spans="1:1" x14ac:dyDescent="0.25">
      <c r="A1441" s="462"/>
    </row>
    <row r="1442" spans="1:1" x14ac:dyDescent="0.25">
      <c r="A1442" s="462"/>
    </row>
    <row r="1443" spans="1:1" x14ac:dyDescent="0.25">
      <c r="A1443" s="462"/>
    </row>
    <row r="1444" spans="1:1" x14ac:dyDescent="0.25">
      <c r="A1444" s="462"/>
    </row>
    <row r="1445" spans="1:1" x14ac:dyDescent="0.25">
      <c r="A1445" s="462"/>
    </row>
    <row r="1446" spans="1:1" x14ac:dyDescent="0.25">
      <c r="A1446" s="462"/>
    </row>
    <row r="1447" spans="1:1" x14ac:dyDescent="0.25">
      <c r="A1447" s="462"/>
    </row>
    <row r="1448" spans="1:1" x14ac:dyDescent="0.25">
      <c r="A1448" s="462"/>
    </row>
    <row r="1449" spans="1:1" x14ac:dyDescent="0.25">
      <c r="A1449" s="462"/>
    </row>
    <row r="1450" spans="1:1" x14ac:dyDescent="0.25">
      <c r="A1450" s="462"/>
    </row>
    <row r="1451" spans="1:1" x14ac:dyDescent="0.25">
      <c r="A1451" s="462"/>
    </row>
    <row r="1452" spans="1:1" x14ac:dyDescent="0.25">
      <c r="A1452" s="462"/>
    </row>
    <row r="1453" spans="1:1" x14ac:dyDescent="0.25">
      <c r="A1453" s="462"/>
    </row>
    <row r="1454" spans="1:1" x14ac:dyDescent="0.25">
      <c r="A1454" s="462"/>
    </row>
    <row r="1455" spans="1:1" x14ac:dyDescent="0.25">
      <c r="A1455" s="462"/>
    </row>
    <row r="1456" spans="1:1" x14ac:dyDescent="0.25">
      <c r="A1456" s="462"/>
    </row>
    <row r="1457" spans="1:1" x14ac:dyDescent="0.25">
      <c r="A1457" s="462"/>
    </row>
    <row r="1458" spans="1:1" x14ac:dyDescent="0.25">
      <c r="A1458" s="462"/>
    </row>
    <row r="1459" spans="1:1" x14ac:dyDescent="0.25">
      <c r="A1459" s="462"/>
    </row>
    <row r="1460" spans="1:1" x14ac:dyDescent="0.25">
      <c r="A1460" s="462"/>
    </row>
    <row r="1461" spans="1:1" x14ac:dyDescent="0.25">
      <c r="A1461" s="462"/>
    </row>
    <row r="1462" spans="1:1" x14ac:dyDescent="0.25">
      <c r="A1462" s="462"/>
    </row>
    <row r="1463" spans="1:1" x14ac:dyDescent="0.25">
      <c r="A1463" s="462"/>
    </row>
    <row r="1464" spans="1:1" x14ac:dyDescent="0.25">
      <c r="A1464" s="462"/>
    </row>
    <row r="1465" spans="1:1" x14ac:dyDescent="0.25">
      <c r="A1465" s="462"/>
    </row>
    <row r="1466" spans="1:1" x14ac:dyDescent="0.25">
      <c r="A1466" s="462"/>
    </row>
    <row r="1467" spans="1:1" x14ac:dyDescent="0.25">
      <c r="A1467" s="462"/>
    </row>
    <row r="1468" spans="1:1" x14ac:dyDescent="0.25">
      <c r="A1468" s="462"/>
    </row>
    <row r="1469" spans="1:1" x14ac:dyDescent="0.25">
      <c r="A1469" s="462"/>
    </row>
    <row r="1470" spans="1:1" x14ac:dyDescent="0.25">
      <c r="A1470" s="462"/>
    </row>
    <row r="1471" spans="1:1" x14ac:dyDescent="0.25">
      <c r="A1471" s="462"/>
    </row>
    <row r="1472" spans="1:1" x14ac:dyDescent="0.25">
      <c r="A1472" s="462"/>
    </row>
    <row r="1473" spans="1:1" x14ac:dyDescent="0.25">
      <c r="A1473" s="462"/>
    </row>
    <row r="1474" spans="1:1" x14ac:dyDescent="0.25">
      <c r="A1474" s="462"/>
    </row>
    <row r="1475" spans="1:1" x14ac:dyDescent="0.25">
      <c r="A1475" s="462"/>
    </row>
    <row r="1476" spans="1:1" x14ac:dyDescent="0.25">
      <c r="A1476" s="462"/>
    </row>
    <row r="1477" spans="1:1" x14ac:dyDescent="0.25">
      <c r="A1477" s="462"/>
    </row>
    <row r="1478" spans="1:1" x14ac:dyDescent="0.25">
      <c r="A1478" s="462"/>
    </row>
    <row r="1479" spans="1:1" x14ac:dyDescent="0.25">
      <c r="A1479" s="462"/>
    </row>
    <row r="1480" spans="1:1" x14ac:dyDescent="0.25">
      <c r="A1480" s="462"/>
    </row>
    <row r="1481" spans="1:1" x14ac:dyDescent="0.25">
      <c r="A1481" s="462"/>
    </row>
    <row r="1482" spans="1:1" x14ac:dyDescent="0.25">
      <c r="A1482" s="462"/>
    </row>
    <row r="1483" spans="1:1" x14ac:dyDescent="0.25">
      <c r="A1483" s="462"/>
    </row>
    <row r="1484" spans="1:1" x14ac:dyDescent="0.25">
      <c r="A1484" s="462"/>
    </row>
    <row r="1485" spans="1:1" x14ac:dyDescent="0.25">
      <c r="A1485" s="462"/>
    </row>
    <row r="1486" spans="1:1" x14ac:dyDescent="0.25">
      <c r="A1486" s="462"/>
    </row>
    <row r="1487" spans="1:1" x14ac:dyDescent="0.25">
      <c r="A1487" s="462"/>
    </row>
    <row r="1488" spans="1:1" x14ac:dyDescent="0.25">
      <c r="A1488" s="462"/>
    </row>
    <row r="1489" spans="1:1" x14ac:dyDescent="0.25">
      <c r="A1489" s="462"/>
    </row>
    <row r="1490" spans="1:1" x14ac:dyDescent="0.25">
      <c r="A1490" s="462"/>
    </row>
    <row r="1491" spans="1:1" x14ac:dyDescent="0.25">
      <c r="A1491" s="462"/>
    </row>
    <row r="1492" spans="1:1" x14ac:dyDescent="0.25">
      <c r="A1492" s="462"/>
    </row>
    <row r="1493" spans="1:1" x14ac:dyDescent="0.25">
      <c r="A1493" s="462"/>
    </row>
    <row r="1494" spans="1:1" x14ac:dyDescent="0.25">
      <c r="A1494" s="462"/>
    </row>
    <row r="1495" spans="1:1" x14ac:dyDescent="0.25">
      <c r="A1495" s="462"/>
    </row>
    <row r="1496" spans="1:1" x14ac:dyDescent="0.25">
      <c r="A1496" s="462"/>
    </row>
    <row r="1497" spans="1:1" x14ac:dyDescent="0.25">
      <c r="A1497" s="462"/>
    </row>
    <row r="1498" spans="1:1" x14ac:dyDescent="0.25">
      <c r="A1498" s="462"/>
    </row>
    <row r="1499" spans="1:1" x14ac:dyDescent="0.25">
      <c r="A1499" s="462"/>
    </row>
    <row r="1500" spans="1:1" x14ac:dyDescent="0.25">
      <c r="A1500" s="462"/>
    </row>
    <row r="1501" spans="1:1" x14ac:dyDescent="0.25">
      <c r="A1501" s="462"/>
    </row>
    <row r="1502" spans="1:1" x14ac:dyDescent="0.25">
      <c r="A1502" s="462"/>
    </row>
    <row r="1503" spans="1:1" x14ac:dyDescent="0.25">
      <c r="A1503" s="462"/>
    </row>
    <row r="1504" spans="1:1" x14ac:dyDescent="0.25">
      <c r="A1504" s="462"/>
    </row>
    <row r="1505" spans="1:1" x14ac:dyDescent="0.25">
      <c r="A1505" s="462"/>
    </row>
    <row r="1506" spans="1:1" x14ac:dyDescent="0.25">
      <c r="A1506" s="462"/>
    </row>
    <row r="1507" spans="1:1" x14ac:dyDescent="0.25">
      <c r="A1507" s="462"/>
    </row>
    <row r="1508" spans="1:1" x14ac:dyDescent="0.25">
      <c r="A1508" s="462"/>
    </row>
    <row r="1509" spans="1:1" x14ac:dyDescent="0.25">
      <c r="A1509" s="462"/>
    </row>
    <row r="1510" spans="1:1" x14ac:dyDescent="0.25">
      <c r="A1510" s="462"/>
    </row>
    <row r="1511" spans="1:1" x14ac:dyDescent="0.25">
      <c r="A1511" s="462"/>
    </row>
    <row r="1512" spans="1:1" x14ac:dyDescent="0.25">
      <c r="A1512" s="462"/>
    </row>
    <row r="1513" spans="1:1" x14ac:dyDescent="0.25">
      <c r="A1513" s="462"/>
    </row>
    <row r="1514" spans="1:1" x14ac:dyDescent="0.25">
      <c r="A1514" s="462"/>
    </row>
    <row r="1515" spans="1:1" x14ac:dyDescent="0.25">
      <c r="A1515" s="462"/>
    </row>
    <row r="1516" spans="1:1" x14ac:dyDescent="0.25">
      <c r="A1516" s="462"/>
    </row>
    <row r="1517" spans="1:1" x14ac:dyDescent="0.25">
      <c r="A1517" s="462"/>
    </row>
    <row r="1518" spans="1:1" x14ac:dyDescent="0.25">
      <c r="A1518" s="462"/>
    </row>
    <row r="1519" spans="1:1" x14ac:dyDescent="0.25">
      <c r="A1519" s="462"/>
    </row>
    <row r="1520" spans="1:1" x14ac:dyDescent="0.25">
      <c r="A1520" s="462"/>
    </row>
    <row r="1521" spans="1:1" x14ac:dyDescent="0.25">
      <c r="A1521" s="462"/>
    </row>
    <row r="1522" spans="1:1" x14ac:dyDescent="0.25">
      <c r="A1522" s="462"/>
    </row>
    <row r="1523" spans="1:1" x14ac:dyDescent="0.25">
      <c r="A1523" s="462"/>
    </row>
    <row r="1524" spans="1:1" x14ac:dyDescent="0.25">
      <c r="A1524" s="462"/>
    </row>
    <row r="1525" spans="1:1" x14ac:dyDescent="0.25">
      <c r="A1525" s="462"/>
    </row>
    <row r="1526" spans="1:1" x14ac:dyDescent="0.25">
      <c r="A1526" s="462"/>
    </row>
    <row r="1527" spans="1:1" x14ac:dyDescent="0.25">
      <c r="A1527" s="462"/>
    </row>
    <row r="1528" spans="1:1" x14ac:dyDescent="0.25">
      <c r="A1528" s="462"/>
    </row>
    <row r="1529" spans="1:1" x14ac:dyDescent="0.25">
      <c r="A1529" s="462"/>
    </row>
    <row r="1530" spans="1:1" x14ac:dyDescent="0.25">
      <c r="A1530" s="462"/>
    </row>
    <row r="1531" spans="1:1" x14ac:dyDescent="0.25">
      <c r="A1531" s="462"/>
    </row>
    <row r="1532" spans="1:1" x14ac:dyDescent="0.25">
      <c r="A1532" s="462"/>
    </row>
    <row r="1533" spans="1:1" x14ac:dyDescent="0.25">
      <c r="A1533" s="462"/>
    </row>
    <row r="1534" spans="1:1" x14ac:dyDescent="0.25">
      <c r="A1534" s="462"/>
    </row>
    <row r="1535" spans="1:1" x14ac:dyDescent="0.25">
      <c r="A1535" s="462"/>
    </row>
    <row r="1536" spans="1:1" x14ac:dyDescent="0.25">
      <c r="A1536" s="462"/>
    </row>
    <row r="1537" spans="1:1" x14ac:dyDescent="0.25">
      <c r="A1537" s="462"/>
    </row>
    <row r="1538" spans="1:1" x14ac:dyDescent="0.25">
      <c r="A1538" s="462"/>
    </row>
    <row r="1539" spans="1:1" x14ac:dyDescent="0.25">
      <c r="A1539" s="462"/>
    </row>
    <row r="1540" spans="1:1" x14ac:dyDescent="0.25">
      <c r="A1540" s="462"/>
    </row>
    <row r="1541" spans="1:1" x14ac:dyDescent="0.25">
      <c r="A1541" s="462"/>
    </row>
    <row r="1542" spans="1:1" x14ac:dyDescent="0.25">
      <c r="A1542" s="462"/>
    </row>
    <row r="1543" spans="1:1" x14ac:dyDescent="0.25">
      <c r="A1543" s="462"/>
    </row>
    <row r="1544" spans="1:1" x14ac:dyDescent="0.25">
      <c r="A1544" s="462"/>
    </row>
    <row r="1545" spans="1:1" x14ac:dyDescent="0.25">
      <c r="A1545" s="462"/>
    </row>
    <row r="1546" spans="1:1" x14ac:dyDescent="0.25">
      <c r="A1546" s="462"/>
    </row>
    <row r="1547" spans="1:1" x14ac:dyDescent="0.25">
      <c r="A1547" s="462"/>
    </row>
    <row r="1548" spans="1:1" x14ac:dyDescent="0.25">
      <c r="A1548" s="462"/>
    </row>
    <row r="1549" spans="1:1" x14ac:dyDescent="0.25">
      <c r="A1549" s="462"/>
    </row>
    <row r="1550" spans="1:1" x14ac:dyDescent="0.25">
      <c r="A1550" s="462"/>
    </row>
    <row r="1551" spans="1:1" x14ac:dyDescent="0.25">
      <c r="A1551" s="462"/>
    </row>
    <row r="1552" spans="1:1" x14ac:dyDescent="0.25">
      <c r="A1552" s="462"/>
    </row>
    <row r="1553" spans="1:1" x14ac:dyDescent="0.25">
      <c r="A1553" s="462"/>
    </row>
    <row r="1554" spans="1:1" x14ac:dyDescent="0.25">
      <c r="A1554" s="462"/>
    </row>
    <row r="1555" spans="1:1" x14ac:dyDescent="0.25">
      <c r="A1555" s="462"/>
    </row>
    <row r="1556" spans="1:1" x14ac:dyDescent="0.25">
      <c r="A1556" s="462"/>
    </row>
    <row r="1557" spans="1:1" x14ac:dyDescent="0.25">
      <c r="A1557" s="462"/>
    </row>
    <row r="1558" spans="1:1" x14ac:dyDescent="0.25">
      <c r="A1558" s="462"/>
    </row>
    <row r="1559" spans="1:1" x14ac:dyDescent="0.25">
      <c r="A1559" s="462"/>
    </row>
    <row r="1560" spans="1:1" x14ac:dyDescent="0.25">
      <c r="A1560" s="462"/>
    </row>
    <row r="1561" spans="1:1" x14ac:dyDescent="0.25">
      <c r="A1561" s="462"/>
    </row>
    <row r="1562" spans="1:1" x14ac:dyDescent="0.25">
      <c r="A1562" s="462"/>
    </row>
    <row r="1563" spans="1:1" x14ac:dyDescent="0.25">
      <c r="A1563" s="462"/>
    </row>
    <row r="1564" spans="1:1" x14ac:dyDescent="0.25">
      <c r="A1564" s="462"/>
    </row>
    <row r="1565" spans="1:1" x14ac:dyDescent="0.25">
      <c r="A1565" s="462"/>
    </row>
    <row r="1566" spans="1:1" x14ac:dyDescent="0.25">
      <c r="A1566" s="462"/>
    </row>
    <row r="1567" spans="1:1" x14ac:dyDescent="0.25">
      <c r="A1567" s="462"/>
    </row>
    <row r="1568" spans="1:1" x14ac:dyDescent="0.25">
      <c r="A1568" s="462"/>
    </row>
    <row r="1569" spans="1:1" x14ac:dyDescent="0.25">
      <c r="A1569" s="462"/>
    </row>
    <row r="1570" spans="1:1" x14ac:dyDescent="0.25">
      <c r="A1570" s="462"/>
    </row>
    <row r="1571" spans="1:1" x14ac:dyDescent="0.25">
      <c r="A1571" s="462"/>
    </row>
    <row r="1572" spans="1:1" x14ac:dyDescent="0.25">
      <c r="A1572" s="462"/>
    </row>
    <row r="1573" spans="1:1" x14ac:dyDescent="0.25">
      <c r="A1573" s="462"/>
    </row>
    <row r="1574" spans="1:1" x14ac:dyDescent="0.25">
      <c r="A1574" s="462"/>
    </row>
    <row r="1575" spans="1:1" x14ac:dyDescent="0.25">
      <c r="A1575" s="462"/>
    </row>
    <row r="1576" spans="1:1" x14ac:dyDescent="0.25">
      <c r="A1576" s="462"/>
    </row>
    <row r="1577" spans="1:1" x14ac:dyDescent="0.25">
      <c r="A1577" s="462"/>
    </row>
    <row r="1578" spans="1:1" x14ac:dyDescent="0.25">
      <c r="A1578" s="462"/>
    </row>
    <row r="1579" spans="1:1" x14ac:dyDescent="0.25">
      <c r="A1579" s="462"/>
    </row>
    <row r="1580" spans="1:1" x14ac:dyDescent="0.25">
      <c r="A1580" s="462"/>
    </row>
    <row r="1581" spans="1:1" x14ac:dyDescent="0.25">
      <c r="A1581" s="462"/>
    </row>
    <row r="1582" spans="1:1" x14ac:dyDescent="0.25">
      <c r="A1582" s="462"/>
    </row>
    <row r="1583" spans="1:1" x14ac:dyDescent="0.25">
      <c r="A1583" s="462"/>
    </row>
    <row r="1584" spans="1:1" x14ac:dyDescent="0.25">
      <c r="A1584" s="462"/>
    </row>
    <row r="1585" spans="1:1" x14ac:dyDescent="0.25">
      <c r="A1585" s="462"/>
    </row>
    <row r="1586" spans="1:1" x14ac:dyDescent="0.25">
      <c r="A1586" s="462"/>
    </row>
    <row r="1587" spans="1:1" x14ac:dyDescent="0.25">
      <c r="A1587" s="462"/>
    </row>
    <row r="1588" spans="1:1" x14ac:dyDescent="0.25">
      <c r="A1588" s="462"/>
    </row>
    <row r="1589" spans="1:1" x14ac:dyDescent="0.25">
      <c r="A1589" s="462"/>
    </row>
    <row r="1590" spans="1:1" x14ac:dyDescent="0.25">
      <c r="A1590" s="462"/>
    </row>
    <row r="1591" spans="1:1" x14ac:dyDescent="0.25">
      <c r="A1591" s="462"/>
    </row>
    <row r="1592" spans="1:1" x14ac:dyDescent="0.25">
      <c r="A1592" s="462"/>
    </row>
    <row r="1593" spans="1:1" x14ac:dyDescent="0.25">
      <c r="A1593" s="462"/>
    </row>
    <row r="1594" spans="1:1" x14ac:dyDescent="0.25">
      <c r="A1594" s="462"/>
    </row>
    <row r="1595" spans="1:1" x14ac:dyDescent="0.25">
      <c r="A1595" s="462"/>
    </row>
    <row r="1596" spans="1:1" x14ac:dyDescent="0.25">
      <c r="A1596" s="462"/>
    </row>
    <row r="1597" spans="1:1" x14ac:dyDescent="0.25">
      <c r="A1597" s="462"/>
    </row>
    <row r="1598" spans="1:1" x14ac:dyDescent="0.25">
      <c r="A1598" s="462"/>
    </row>
    <row r="1599" spans="1:1" x14ac:dyDescent="0.25">
      <c r="A1599" s="462"/>
    </row>
    <row r="1600" spans="1:1" x14ac:dyDescent="0.25">
      <c r="A1600" s="462"/>
    </row>
    <row r="1601" spans="1:1" x14ac:dyDescent="0.25">
      <c r="A1601" s="462"/>
    </row>
    <row r="1602" spans="1:1" x14ac:dyDescent="0.25">
      <c r="A1602" s="462"/>
    </row>
    <row r="1603" spans="1:1" x14ac:dyDescent="0.25">
      <c r="A1603" s="462"/>
    </row>
    <row r="1604" spans="1:1" x14ac:dyDescent="0.25">
      <c r="A1604" s="462"/>
    </row>
    <row r="1605" spans="1:1" x14ac:dyDescent="0.25">
      <c r="A1605" s="462"/>
    </row>
    <row r="1606" spans="1:1" x14ac:dyDescent="0.25">
      <c r="A1606" s="462"/>
    </row>
    <row r="1607" spans="1:1" x14ac:dyDescent="0.25">
      <c r="A1607" s="462"/>
    </row>
    <row r="1608" spans="1:1" x14ac:dyDescent="0.25">
      <c r="A1608" s="462"/>
    </row>
    <row r="1609" spans="1:1" x14ac:dyDescent="0.25">
      <c r="A1609" s="462"/>
    </row>
    <row r="1610" spans="1:1" x14ac:dyDescent="0.25">
      <c r="A1610" s="462"/>
    </row>
    <row r="1611" spans="1:1" x14ac:dyDescent="0.25">
      <c r="A1611" s="462"/>
    </row>
    <row r="1612" spans="1:1" x14ac:dyDescent="0.25">
      <c r="A1612" s="462"/>
    </row>
    <row r="1613" spans="1:1" x14ac:dyDescent="0.25">
      <c r="A1613" s="462"/>
    </row>
    <row r="1614" spans="1:1" x14ac:dyDescent="0.25">
      <c r="A1614" s="462"/>
    </row>
    <row r="1615" spans="1:1" x14ac:dyDescent="0.25">
      <c r="A1615" s="462"/>
    </row>
    <row r="1616" spans="1:1" x14ac:dyDescent="0.25">
      <c r="A1616" s="462"/>
    </row>
    <row r="1617" spans="1:1" x14ac:dyDescent="0.25">
      <c r="A1617" s="462"/>
    </row>
    <row r="1618" spans="1:1" x14ac:dyDescent="0.25">
      <c r="A1618" s="462"/>
    </row>
    <row r="1619" spans="1:1" x14ac:dyDescent="0.25">
      <c r="A1619" s="462"/>
    </row>
    <row r="1620" spans="1:1" x14ac:dyDescent="0.25">
      <c r="A1620" s="462"/>
    </row>
    <row r="1621" spans="1:1" x14ac:dyDescent="0.25">
      <c r="A1621" s="462"/>
    </row>
    <row r="1622" spans="1:1" x14ac:dyDescent="0.25">
      <c r="A1622" s="462"/>
    </row>
    <row r="1623" spans="1:1" x14ac:dyDescent="0.25">
      <c r="A1623" s="462"/>
    </row>
    <row r="1624" spans="1:1" x14ac:dyDescent="0.25">
      <c r="A1624" s="462"/>
    </row>
    <row r="1625" spans="1:1" x14ac:dyDescent="0.25">
      <c r="A1625" s="462"/>
    </row>
    <row r="1626" spans="1:1" x14ac:dyDescent="0.25">
      <c r="A1626" s="462"/>
    </row>
    <row r="1627" spans="1:1" x14ac:dyDescent="0.25">
      <c r="A1627" s="462"/>
    </row>
    <row r="1628" spans="1:1" x14ac:dyDescent="0.25">
      <c r="A1628" s="462"/>
    </row>
    <row r="1629" spans="1:1" x14ac:dyDescent="0.25">
      <c r="A1629" s="462"/>
    </row>
    <row r="1630" spans="1:1" x14ac:dyDescent="0.25">
      <c r="A1630" s="462"/>
    </row>
    <row r="1631" spans="1:1" x14ac:dyDescent="0.25">
      <c r="A1631" s="462"/>
    </row>
    <row r="1632" spans="1:1" x14ac:dyDescent="0.25">
      <c r="A1632" s="462"/>
    </row>
    <row r="1633" spans="1:1" x14ac:dyDescent="0.25">
      <c r="A1633" s="462"/>
    </row>
    <row r="1634" spans="1:1" x14ac:dyDescent="0.25">
      <c r="A1634" s="462"/>
    </row>
    <row r="1635" spans="1:1" x14ac:dyDescent="0.25">
      <c r="A1635" s="462"/>
    </row>
    <row r="1636" spans="1:1" x14ac:dyDescent="0.25">
      <c r="A1636" s="462"/>
    </row>
    <row r="1637" spans="1:1" x14ac:dyDescent="0.25">
      <c r="A1637" s="462"/>
    </row>
    <row r="1638" spans="1:1" x14ac:dyDescent="0.25">
      <c r="A1638" s="462"/>
    </row>
    <row r="1639" spans="1:1" x14ac:dyDescent="0.25">
      <c r="A1639" s="462"/>
    </row>
    <row r="1640" spans="1:1" x14ac:dyDescent="0.25">
      <c r="A1640" s="462"/>
    </row>
    <row r="1641" spans="1:1" x14ac:dyDescent="0.25">
      <c r="A1641" s="462"/>
    </row>
    <row r="1642" spans="1:1" x14ac:dyDescent="0.25">
      <c r="A1642" s="462"/>
    </row>
    <row r="1643" spans="1:1" x14ac:dyDescent="0.25">
      <c r="A1643" s="462"/>
    </row>
    <row r="1644" spans="1:1" x14ac:dyDescent="0.25">
      <c r="A1644" s="462"/>
    </row>
    <row r="1645" spans="1:1" x14ac:dyDescent="0.25">
      <c r="A1645" s="462"/>
    </row>
    <row r="1646" spans="1:1" x14ac:dyDescent="0.25">
      <c r="A1646" s="462"/>
    </row>
    <row r="1647" spans="1:1" x14ac:dyDescent="0.25">
      <c r="A1647" s="462"/>
    </row>
    <row r="1648" spans="1:1" x14ac:dyDescent="0.25">
      <c r="A1648" s="462"/>
    </row>
    <row r="1649" spans="1:1" x14ac:dyDescent="0.25">
      <c r="A1649" s="462"/>
    </row>
    <row r="1650" spans="1:1" x14ac:dyDescent="0.25">
      <c r="A1650" s="462"/>
    </row>
    <row r="1651" spans="1:1" x14ac:dyDescent="0.25">
      <c r="A1651" s="462"/>
    </row>
    <row r="1652" spans="1:1" x14ac:dyDescent="0.25">
      <c r="A1652" s="462"/>
    </row>
    <row r="1653" spans="1:1" x14ac:dyDescent="0.25">
      <c r="A1653" s="462"/>
    </row>
    <row r="1654" spans="1:1" x14ac:dyDescent="0.25">
      <c r="A1654" s="462"/>
    </row>
    <row r="1655" spans="1:1" x14ac:dyDescent="0.25">
      <c r="A1655" s="462"/>
    </row>
    <row r="1656" spans="1:1" x14ac:dyDescent="0.25">
      <c r="A1656" s="462"/>
    </row>
    <row r="1657" spans="1:1" x14ac:dyDescent="0.25">
      <c r="A1657" s="462"/>
    </row>
    <row r="1658" spans="1:1" x14ac:dyDescent="0.25">
      <c r="A1658" s="462"/>
    </row>
    <row r="1659" spans="1:1" x14ac:dyDescent="0.25">
      <c r="A1659" s="462"/>
    </row>
    <row r="1660" spans="1:1" x14ac:dyDescent="0.25">
      <c r="A1660" s="462"/>
    </row>
    <row r="1661" spans="1:1" x14ac:dyDescent="0.25">
      <c r="A1661" s="462"/>
    </row>
    <row r="1662" spans="1:1" x14ac:dyDescent="0.25">
      <c r="A1662" s="462"/>
    </row>
    <row r="1663" spans="1:1" x14ac:dyDescent="0.25">
      <c r="A1663" s="462"/>
    </row>
    <row r="1664" spans="1:1" x14ac:dyDescent="0.25">
      <c r="A1664" s="462"/>
    </row>
    <row r="1665" spans="1:1" x14ac:dyDescent="0.25">
      <c r="A1665" s="462"/>
    </row>
    <row r="1666" spans="1:1" x14ac:dyDescent="0.25">
      <c r="A1666" s="462"/>
    </row>
    <row r="1667" spans="1:1" x14ac:dyDescent="0.25">
      <c r="A1667" s="462"/>
    </row>
    <row r="1668" spans="1:1" x14ac:dyDescent="0.25">
      <c r="A1668" s="462"/>
    </row>
    <row r="1669" spans="1:1" x14ac:dyDescent="0.25">
      <c r="A1669" s="462"/>
    </row>
    <row r="1670" spans="1:1" x14ac:dyDescent="0.25">
      <c r="A1670" s="462"/>
    </row>
    <row r="1671" spans="1:1" x14ac:dyDescent="0.25">
      <c r="A1671" s="462"/>
    </row>
    <row r="1672" spans="1:1" x14ac:dyDescent="0.25">
      <c r="A1672" s="462"/>
    </row>
    <row r="1673" spans="1:1" x14ac:dyDescent="0.25">
      <c r="A1673" s="462"/>
    </row>
    <row r="1674" spans="1:1" x14ac:dyDescent="0.25">
      <c r="A1674" s="462"/>
    </row>
    <row r="1675" spans="1:1" x14ac:dyDescent="0.25">
      <c r="A1675" s="462"/>
    </row>
    <row r="1676" spans="1:1" x14ac:dyDescent="0.25">
      <c r="A1676" s="462"/>
    </row>
    <row r="1677" spans="1:1" x14ac:dyDescent="0.25">
      <c r="A1677" s="462"/>
    </row>
    <row r="1678" spans="1:1" x14ac:dyDescent="0.25">
      <c r="A1678" s="462"/>
    </row>
    <row r="1679" spans="1:1" x14ac:dyDescent="0.25">
      <c r="A1679" s="462"/>
    </row>
    <row r="1680" spans="1:1" x14ac:dyDescent="0.25">
      <c r="A1680" s="462"/>
    </row>
    <row r="1681" spans="1:1" x14ac:dyDescent="0.25">
      <c r="A1681" s="462"/>
    </row>
    <row r="1682" spans="1:1" x14ac:dyDescent="0.25">
      <c r="A1682" s="462"/>
    </row>
    <row r="1683" spans="1:1" x14ac:dyDescent="0.25">
      <c r="A1683" s="462"/>
    </row>
    <row r="1684" spans="1:1" x14ac:dyDescent="0.25">
      <c r="A1684" s="462"/>
    </row>
    <row r="1685" spans="1:1" x14ac:dyDescent="0.25">
      <c r="A1685" s="462"/>
    </row>
    <row r="1686" spans="1:1" x14ac:dyDescent="0.25">
      <c r="A1686" s="462"/>
    </row>
    <row r="1687" spans="1:1" x14ac:dyDescent="0.25">
      <c r="A1687" s="462"/>
    </row>
    <row r="1688" spans="1:1" x14ac:dyDescent="0.25">
      <c r="A1688" s="462"/>
    </row>
    <row r="1689" spans="1:1" x14ac:dyDescent="0.25">
      <c r="A1689" s="462"/>
    </row>
    <row r="1690" spans="1:1" x14ac:dyDescent="0.25">
      <c r="A1690" s="462"/>
    </row>
    <row r="1691" spans="1:1" x14ac:dyDescent="0.25">
      <c r="A1691" s="462"/>
    </row>
    <row r="1692" spans="1:1" x14ac:dyDescent="0.25">
      <c r="A1692" s="462"/>
    </row>
    <row r="1693" spans="1:1" x14ac:dyDescent="0.25">
      <c r="A1693" s="462"/>
    </row>
    <row r="1694" spans="1:1" x14ac:dyDescent="0.25">
      <c r="A1694" s="462"/>
    </row>
    <row r="1695" spans="1:1" x14ac:dyDescent="0.25">
      <c r="A1695" s="462"/>
    </row>
    <row r="1696" spans="1:1" x14ac:dyDescent="0.25">
      <c r="A1696" s="462"/>
    </row>
    <row r="1697" spans="1:1" x14ac:dyDescent="0.25">
      <c r="A1697" s="462"/>
    </row>
    <row r="1698" spans="1:1" x14ac:dyDescent="0.25">
      <c r="A1698" s="462"/>
    </row>
    <row r="1699" spans="1:1" x14ac:dyDescent="0.25">
      <c r="A1699" s="462"/>
    </row>
    <row r="1700" spans="1:1" x14ac:dyDescent="0.25">
      <c r="A1700" s="462"/>
    </row>
    <row r="1701" spans="1:1" x14ac:dyDescent="0.25">
      <c r="A1701" s="462"/>
    </row>
    <row r="1702" spans="1:1" x14ac:dyDescent="0.25">
      <c r="A1702" s="462"/>
    </row>
    <row r="1703" spans="1:1" x14ac:dyDescent="0.25">
      <c r="A1703" s="462"/>
    </row>
    <row r="1704" spans="1:1" x14ac:dyDescent="0.25">
      <c r="A1704" s="462"/>
    </row>
    <row r="1705" spans="1:1" x14ac:dyDescent="0.25">
      <c r="A1705" s="462"/>
    </row>
    <row r="1706" spans="1:1" x14ac:dyDescent="0.25">
      <c r="A1706" s="462"/>
    </row>
    <row r="1707" spans="1:1" x14ac:dyDescent="0.25">
      <c r="A1707" s="462"/>
    </row>
    <row r="1708" spans="1:1" x14ac:dyDescent="0.25">
      <c r="A1708" s="462"/>
    </row>
    <row r="1709" spans="1:1" x14ac:dyDescent="0.25">
      <c r="A1709" s="462"/>
    </row>
    <row r="1710" spans="1:1" x14ac:dyDescent="0.25">
      <c r="A1710" s="462"/>
    </row>
    <row r="1711" spans="1:1" x14ac:dyDescent="0.25">
      <c r="A1711" s="462"/>
    </row>
    <row r="1712" spans="1:1" x14ac:dyDescent="0.25">
      <c r="A1712" s="462"/>
    </row>
    <row r="1713" spans="1:1" x14ac:dyDescent="0.25">
      <c r="A1713" s="462"/>
    </row>
    <row r="1714" spans="1:1" x14ac:dyDescent="0.25">
      <c r="A1714" s="462"/>
    </row>
    <row r="1715" spans="1:1" x14ac:dyDescent="0.25">
      <c r="A1715" s="462"/>
    </row>
    <row r="1716" spans="1:1" x14ac:dyDescent="0.25">
      <c r="A1716" s="462"/>
    </row>
    <row r="1717" spans="1:1" x14ac:dyDescent="0.25">
      <c r="A1717" s="462"/>
    </row>
    <row r="1718" spans="1:1" x14ac:dyDescent="0.25">
      <c r="A1718" s="462"/>
    </row>
    <row r="1719" spans="1:1" x14ac:dyDescent="0.25">
      <c r="A1719" s="462"/>
    </row>
    <row r="1720" spans="1:1" x14ac:dyDescent="0.25">
      <c r="A1720" s="462"/>
    </row>
    <row r="1721" spans="1:1" x14ac:dyDescent="0.25">
      <c r="A1721" s="462"/>
    </row>
    <row r="1722" spans="1:1" x14ac:dyDescent="0.25">
      <c r="A1722" s="462"/>
    </row>
    <row r="1723" spans="1:1" x14ac:dyDescent="0.25">
      <c r="A1723" s="462"/>
    </row>
    <row r="1724" spans="1:1" x14ac:dyDescent="0.25">
      <c r="A1724" s="462"/>
    </row>
    <row r="1725" spans="1:1" x14ac:dyDescent="0.25">
      <c r="A1725" s="462"/>
    </row>
    <row r="1726" spans="1:1" x14ac:dyDescent="0.25">
      <c r="A1726" s="462"/>
    </row>
    <row r="1727" spans="1:1" x14ac:dyDescent="0.25">
      <c r="A1727" s="462"/>
    </row>
    <row r="1728" spans="1:1" x14ac:dyDescent="0.25">
      <c r="A1728" s="462"/>
    </row>
    <row r="1729" spans="1:1" x14ac:dyDescent="0.25">
      <c r="A1729" s="462"/>
    </row>
    <row r="1730" spans="1:1" x14ac:dyDescent="0.25">
      <c r="A1730" s="462"/>
    </row>
    <row r="1731" spans="1:1" x14ac:dyDescent="0.25">
      <c r="A1731" s="462"/>
    </row>
    <row r="1732" spans="1:1" x14ac:dyDescent="0.25">
      <c r="A1732" s="462"/>
    </row>
    <row r="1733" spans="1:1" x14ac:dyDescent="0.25">
      <c r="A1733" s="462"/>
    </row>
    <row r="1734" spans="1:1" x14ac:dyDescent="0.25">
      <c r="A1734" s="462"/>
    </row>
    <row r="1735" spans="1:1" x14ac:dyDescent="0.25">
      <c r="A1735" s="462"/>
    </row>
    <row r="1736" spans="1:1" x14ac:dyDescent="0.25">
      <c r="A1736" s="462"/>
    </row>
    <row r="1737" spans="1:1" x14ac:dyDescent="0.25">
      <c r="A1737" s="462"/>
    </row>
    <row r="1738" spans="1:1" x14ac:dyDescent="0.25">
      <c r="A1738" s="462"/>
    </row>
    <row r="1739" spans="1:1" x14ac:dyDescent="0.25">
      <c r="A1739" s="462"/>
    </row>
    <row r="1740" spans="1:1" x14ac:dyDescent="0.25">
      <c r="A1740" s="462"/>
    </row>
    <row r="1741" spans="1:1" x14ac:dyDescent="0.25">
      <c r="A1741" s="462"/>
    </row>
    <row r="1742" spans="1:1" x14ac:dyDescent="0.25">
      <c r="A1742" s="462"/>
    </row>
    <row r="1743" spans="1:1" x14ac:dyDescent="0.25">
      <c r="A1743" s="462"/>
    </row>
    <row r="1744" spans="1:1" x14ac:dyDescent="0.25">
      <c r="A1744" s="462"/>
    </row>
    <row r="1745" spans="1:1" x14ac:dyDescent="0.25">
      <c r="A1745" s="462"/>
    </row>
    <row r="1746" spans="1:1" x14ac:dyDescent="0.25">
      <c r="A1746" s="462"/>
    </row>
    <row r="1747" spans="1:1" x14ac:dyDescent="0.25">
      <c r="A1747" s="462"/>
    </row>
    <row r="1748" spans="1:1" x14ac:dyDescent="0.25">
      <c r="A1748" s="462"/>
    </row>
    <row r="1749" spans="1:1" x14ac:dyDescent="0.25">
      <c r="A1749" s="462"/>
    </row>
    <row r="1750" spans="1:1" x14ac:dyDescent="0.25">
      <c r="A1750" s="462"/>
    </row>
    <row r="1751" spans="1:1" x14ac:dyDescent="0.25">
      <c r="A1751" s="462"/>
    </row>
    <row r="1752" spans="1:1" x14ac:dyDescent="0.25">
      <c r="A1752" s="462"/>
    </row>
    <row r="1753" spans="1:1" x14ac:dyDescent="0.25">
      <c r="A1753" s="462"/>
    </row>
    <row r="1754" spans="1:1" x14ac:dyDescent="0.25">
      <c r="A1754" s="462"/>
    </row>
    <row r="1755" spans="1:1" x14ac:dyDescent="0.25">
      <c r="A1755" s="462"/>
    </row>
    <row r="1756" spans="1:1" x14ac:dyDescent="0.25">
      <c r="A1756" s="462"/>
    </row>
    <row r="1757" spans="1:1" x14ac:dyDescent="0.25">
      <c r="A1757" s="462"/>
    </row>
    <row r="1758" spans="1:1" x14ac:dyDescent="0.25">
      <c r="A1758" s="462"/>
    </row>
    <row r="1759" spans="1:1" x14ac:dyDescent="0.25">
      <c r="A1759" s="462"/>
    </row>
    <row r="1760" spans="1:1" x14ac:dyDescent="0.25">
      <c r="A1760" s="462"/>
    </row>
    <row r="1761" spans="1:1" x14ac:dyDescent="0.25">
      <c r="A1761" s="462"/>
    </row>
    <row r="1762" spans="1:1" x14ac:dyDescent="0.25">
      <c r="A1762" s="462"/>
    </row>
    <row r="1763" spans="1:1" x14ac:dyDescent="0.25">
      <c r="A1763" s="462"/>
    </row>
    <row r="1764" spans="1:1" x14ac:dyDescent="0.25">
      <c r="A1764" s="462"/>
    </row>
    <row r="1765" spans="1:1" x14ac:dyDescent="0.25">
      <c r="A1765" s="462"/>
    </row>
    <row r="1766" spans="1:1" x14ac:dyDescent="0.25">
      <c r="A1766" s="462"/>
    </row>
    <row r="1767" spans="1:1" x14ac:dyDescent="0.25">
      <c r="A1767" s="462"/>
    </row>
    <row r="1768" spans="1:1" x14ac:dyDescent="0.25">
      <c r="A1768" s="462"/>
    </row>
    <row r="1769" spans="1:1" x14ac:dyDescent="0.25">
      <c r="A1769" s="462"/>
    </row>
    <row r="1770" spans="1:1" x14ac:dyDescent="0.25">
      <c r="A1770" s="462"/>
    </row>
    <row r="1771" spans="1:1" x14ac:dyDescent="0.25">
      <c r="A1771" s="462"/>
    </row>
    <row r="1772" spans="1:1" x14ac:dyDescent="0.25">
      <c r="A1772" s="462"/>
    </row>
    <row r="1773" spans="1:1" x14ac:dyDescent="0.25">
      <c r="A1773" s="462"/>
    </row>
    <row r="1774" spans="1:1" x14ac:dyDescent="0.25">
      <c r="A1774" s="462"/>
    </row>
    <row r="1775" spans="1:1" x14ac:dyDescent="0.25">
      <c r="A1775" s="462"/>
    </row>
    <row r="1776" spans="1:1" x14ac:dyDescent="0.25">
      <c r="A1776" s="462"/>
    </row>
    <row r="1777" spans="1:1" x14ac:dyDescent="0.25">
      <c r="A1777" s="462"/>
    </row>
    <row r="1778" spans="1:1" x14ac:dyDescent="0.25">
      <c r="A1778" s="462"/>
    </row>
    <row r="1779" spans="1:1" x14ac:dyDescent="0.25">
      <c r="A1779" s="462"/>
    </row>
    <row r="1780" spans="1:1" x14ac:dyDescent="0.25">
      <c r="A1780" s="462"/>
    </row>
    <row r="1781" spans="1:1" x14ac:dyDescent="0.25">
      <c r="A1781" s="462"/>
    </row>
    <row r="1782" spans="1:1" x14ac:dyDescent="0.25">
      <c r="A1782" s="462"/>
    </row>
    <row r="1783" spans="1:1" x14ac:dyDescent="0.25">
      <c r="A1783" s="462"/>
    </row>
    <row r="1784" spans="1:1" x14ac:dyDescent="0.25">
      <c r="A1784" s="462"/>
    </row>
    <row r="1785" spans="1:1" x14ac:dyDescent="0.25">
      <c r="A1785" s="462"/>
    </row>
    <row r="1786" spans="1:1" x14ac:dyDescent="0.25">
      <c r="A1786" s="462"/>
    </row>
    <row r="1787" spans="1:1" x14ac:dyDescent="0.25">
      <c r="A1787" s="462"/>
    </row>
    <row r="1788" spans="1:1" x14ac:dyDescent="0.25">
      <c r="A1788" s="462"/>
    </row>
    <row r="1789" spans="1:1" x14ac:dyDescent="0.25">
      <c r="A1789" s="462"/>
    </row>
    <row r="1790" spans="1:1" x14ac:dyDescent="0.25">
      <c r="A1790" s="462"/>
    </row>
    <row r="1791" spans="1:1" x14ac:dyDescent="0.25">
      <c r="A1791" s="462"/>
    </row>
    <row r="1792" spans="1:1" x14ac:dyDescent="0.25">
      <c r="A1792" s="462"/>
    </row>
    <row r="1793" spans="1:1" x14ac:dyDescent="0.25">
      <c r="A1793" s="462"/>
    </row>
    <row r="1794" spans="1:1" x14ac:dyDescent="0.25">
      <c r="A1794" s="462"/>
    </row>
    <row r="1795" spans="1:1" x14ac:dyDescent="0.25">
      <c r="A1795" s="462"/>
    </row>
    <row r="1796" spans="1:1" x14ac:dyDescent="0.25">
      <c r="A1796" s="462"/>
    </row>
    <row r="1797" spans="1:1" x14ac:dyDescent="0.25">
      <c r="A1797" s="462"/>
    </row>
    <row r="1798" spans="1:1" x14ac:dyDescent="0.25">
      <c r="A1798" s="462"/>
    </row>
    <row r="1799" spans="1:1" x14ac:dyDescent="0.25">
      <c r="A1799" s="462"/>
    </row>
    <row r="1800" spans="1:1" x14ac:dyDescent="0.25">
      <c r="A1800" s="462"/>
    </row>
    <row r="1801" spans="1:1" x14ac:dyDescent="0.25">
      <c r="A1801" s="462"/>
    </row>
    <row r="1802" spans="1:1" x14ac:dyDescent="0.25">
      <c r="A1802" s="462"/>
    </row>
    <row r="1803" spans="1:1" x14ac:dyDescent="0.25">
      <c r="A1803" s="462"/>
    </row>
    <row r="1804" spans="1:1" x14ac:dyDescent="0.25">
      <c r="A1804" s="462"/>
    </row>
    <row r="1805" spans="1:1" x14ac:dyDescent="0.25">
      <c r="A1805" s="462"/>
    </row>
    <row r="1806" spans="1:1" x14ac:dyDescent="0.25">
      <c r="A1806" s="462"/>
    </row>
    <row r="1807" spans="1:1" x14ac:dyDescent="0.25">
      <c r="A1807" s="462"/>
    </row>
    <row r="1808" spans="1:1" x14ac:dyDescent="0.25">
      <c r="A1808" s="462"/>
    </row>
    <row r="1809" spans="1:1" x14ac:dyDescent="0.25">
      <c r="A1809" s="462"/>
    </row>
    <row r="1810" spans="1:1" x14ac:dyDescent="0.25">
      <c r="A1810" s="462"/>
    </row>
    <row r="1811" spans="1:1" x14ac:dyDescent="0.25">
      <c r="A1811" s="462"/>
    </row>
    <row r="1812" spans="1:1" x14ac:dyDescent="0.25">
      <c r="A1812" s="462"/>
    </row>
    <row r="1813" spans="1:1" x14ac:dyDescent="0.25">
      <c r="A1813" s="462"/>
    </row>
    <row r="1814" spans="1:1" x14ac:dyDescent="0.25">
      <c r="A1814" s="462"/>
    </row>
    <row r="1815" spans="1:1" x14ac:dyDescent="0.25">
      <c r="A1815" s="462"/>
    </row>
    <row r="1816" spans="1:1" x14ac:dyDescent="0.25">
      <c r="A1816" s="462"/>
    </row>
    <row r="1817" spans="1:1" x14ac:dyDescent="0.25">
      <c r="A1817" s="462"/>
    </row>
    <row r="1818" spans="1:1" x14ac:dyDescent="0.25">
      <c r="A1818" s="462"/>
    </row>
    <row r="1819" spans="1:1" x14ac:dyDescent="0.25">
      <c r="A1819" s="462"/>
    </row>
    <row r="1820" spans="1:1" x14ac:dyDescent="0.25">
      <c r="A1820" s="462"/>
    </row>
    <row r="1821" spans="1:1" x14ac:dyDescent="0.25">
      <c r="A1821" s="462"/>
    </row>
    <row r="1822" spans="1:1" x14ac:dyDescent="0.25">
      <c r="A1822" s="462"/>
    </row>
    <row r="1823" spans="1:1" x14ac:dyDescent="0.25">
      <c r="A1823" s="462"/>
    </row>
    <row r="1824" spans="1:1" x14ac:dyDescent="0.25">
      <c r="A1824" s="462"/>
    </row>
    <row r="1825" spans="1:1" x14ac:dyDescent="0.25">
      <c r="A1825" s="462"/>
    </row>
    <row r="1826" spans="1:1" x14ac:dyDescent="0.25">
      <c r="A1826" s="462"/>
    </row>
    <row r="1827" spans="1:1" x14ac:dyDescent="0.25">
      <c r="A1827" s="462"/>
    </row>
    <row r="1828" spans="1:1" x14ac:dyDescent="0.25">
      <c r="A1828" s="462"/>
    </row>
    <row r="1829" spans="1:1" x14ac:dyDescent="0.25">
      <c r="A1829" s="462"/>
    </row>
    <row r="1830" spans="1:1" x14ac:dyDescent="0.25">
      <c r="A1830" s="462"/>
    </row>
    <row r="1831" spans="1:1" x14ac:dyDescent="0.25">
      <c r="A1831" s="462"/>
    </row>
    <row r="1832" spans="1:1" x14ac:dyDescent="0.25">
      <c r="A1832" s="462"/>
    </row>
    <row r="1833" spans="1:1" x14ac:dyDescent="0.25">
      <c r="A1833" s="462"/>
    </row>
    <row r="1834" spans="1:1" x14ac:dyDescent="0.25">
      <c r="A1834" s="462"/>
    </row>
    <row r="1835" spans="1:1" x14ac:dyDescent="0.25">
      <c r="A1835" s="462"/>
    </row>
    <row r="1836" spans="1:1" x14ac:dyDescent="0.25">
      <c r="A1836" s="462"/>
    </row>
    <row r="1837" spans="1:1" x14ac:dyDescent="0.25">
      <c r="A1837" s="462"/>
    </row>
    <row r="1838" spans="1:1" x14ac:dyDescent="0.25">
      <c r="A1838" s="462"/>
    </row>
    <row r="1839" spans="1:1" x14ac:dyDescent="0.25">
      <c r="A1839" s="462"/>
    </row>
    <row r="1840" spans="1:1" x14ac:dyDescent="0.25">
      <c r="A1840" s="462"/>
    </row>
    <row r="1841" spans="1:1" x14ac:dyDescent="0.25">
      <c r="A1841" s="462"/>
    </row>
    <row r="1842" spans="1:1" x14ac:dyDescent="0.25">
      <c r="A1842" s="462"/>
    </row>
    <row r="1843" spans="1:1" x14ac:dyDescent="0.25">
      <c r="A1843" s="462"/>
    </row>
    <row r="1844" spans="1:1" x14ac:dyDescent="0.25">
      <c r="A1844" s="462"/>
    </row>
    <row r="1845" spans="1:1" x14ac:dyDescent="0.25">
      <c r="A1845" s="462"/>
    </row>
    <row r="1846" spans="1:1" x14ac:dyDescent="0.25">
      <c r="A1846" s="462"/>
    </row>
    <row r="1847" spans="1:1" x14ac:dyDescent="0.25">
      <c r="A1847" s="462"/>
    </row>
    <row r="1848" spans="1:1" x14ac:dyDescent="0.25">
      <c r="A1848" s="462"/>
    </row>
    <row r="1849" spans="1:1" x14ac:dyDescent="0.25">
      <c r="A1849" s="462"/>
    </row>
    <row r="1850" spans="1:1" x14ac:dyDescent="0.25">
      <c r="A1850" s="462"/>
    </row>
    <row r="1851" spans="1:1" x14ac:dyDescent="0.25">
      <c r="A1851" s="462"/>
    </row>
    <row r="1852" spans="1:1" x14ac:dyDescent="0.25">
      <c r="A1852" s="462"/>
    </row>
    <row r="1853" spans="1:1" x14ac:dyDescent="0.25">
      <c r="A1853" s="462"/>
    </row>
    <row r="1854" spans="1:1" x14ac:dyDescent="0.25">
      <c r="A1854" s="462"/>
    </row>
    <row r="1855" spans="1:1" x14ac:dyDescent="0.25">
      <c r="A1855" s="462"/>
    </row>
    <row r="1856" spans="1:1" x14ac:dyDescent="0.25">
      <c r="A1856" s="462"/>
    </row>
    <row r="1857" spans="1:1" x14ac:dyDescent="0.25">
      <c r="A1857" s="462"/>
    </row>
    <row r="1858" spans="1:1" x14ac:dyDescent="0.25">
      <c r="A1858" s="462"/>
    </row>
    <row r="1859" spans="1:1" x14ac:dyDescent="0.25">
      <c r="A1859" s="462"/>
    </row>
    <row r="1860" spans="1:1" x14ac:dyDescent="0.25">
      <c r="A1860" s="462"/>
    </row>
    <row r="1861" spans="1:1" x14ac:dyDescent="0.25">
      <c r="A1861" s="462"/>
    </row>
    <row r="1862" spans="1:1" x14ac:dyDescent="0.25">
      <c r="A1862" s="462"/>
    </row>
    <row r="1863" spans="1:1" x14ac:dyDescent="0.25">
      <c r="A1863" s="462"/>
    </row>
    <row r="1864" spans="1:1" x14ac:dyDescent="0.25">
      <c r="A1864" s="462"/>
    </row>
    <row r="1865" spans="1:1" x14ac:dyDescent="0.25">
      <c r="A1865" s="462"/>
    </row>
    <row r="1866" spans="1:1" x14ac:dyDescent="0.25">
      <c r="A1866" s="462"/>
    </row>
    <row r="1867" spans="1:1" x14ac:dyDescent="0.25">
      <c r="A1867" s="462"/>
    </row>
    <row r="1868" spans="1:1" x14ac:dyDescent="0.25">
      <c r="A1868" s="462"/>
    </row>
    <row r="1869" spans="1:1" x14ac:dyDescent="0.25">
      <c r="A1869" s="462"/>
    </row>
    <row r="1870" spans="1:1" x14ac:dyDescent="0.25">
      <c r="A1870" s="462"/>
    </row>
    <row r="1871" spans="1:1" x14ac:dyDescent="0.25">
      <c r="A1871" s="462"/>
    </row>
    <row r="1872" spans="1:1" x14ac:dyDescent="0.25">
      <c r="A1872" s="462"/>
    </row>
    <row r="1873" spans="1:1" x14ac:dyDescent="0.25">
      <c r="A1873" s="462"/>
    </row>
    <row r="1874" spans="1:1" x14ac:dyDescent="0.25">
      <c r="A1874" s="462"/>
    </row>
    <row r="1875" spans="1:1" x14ac:dyDescent="0.25">
      <c r="A1875" s="462"/>
    </row>
    <row r="1876" spans="1:1" x14ac:dyDescent="0.25">
      <c r="A1876" s="462"/>
    </row>
    <row r="1877" spans="1:1" x14ac:dyDescent="0.25">
      <c r="A1877" s="462"/>
    </row>
    <row r="1878" spans="1:1" x14ac:dyDescent="0.25">
      <c r="A1878" s="462"/>
    </row>
    <row r="1879" spans="1:1" x14ac:dyDescent="0.25">
      <c r="A1879" s="462"/>
    </row>
    <row r="1880" spans="1:1" x14ac:dyDescent="0.25">
      <c r="A1880" s="462"/>
    </row>
    <row r="1881" spans="1:1" x14ac:dyDescent="0.25">
      <c r="A1881" s="462"/>
    </row>
    <row r="1882" spans="1:1" x14ac:dyDescent="0.25">
      <c r="A1882" s="462"/>
    </row>
    <row r="1883" spans="1:1" x14ac:dyDescent="0.25">
      <c r="A1883" s="462"/>
    </row>
    <row r="1884" spans="1:1" x14ac:dyDescent="0.25">
      <c r="A1884" s="462"/>
    </row>
    <row r="1885" spans="1:1" x14ac:dyDescent="0.25">
      <c r="A1885" s="462"/>
    </row>
    <row r="1886" spans="1:1" x14ac:dyDescent="0.25">
      <c r="A1886" s="462"/>
    </row>
    <row r="1887" spans="1:1" x14ac:dyDescent="0.25">
      <c r="A1887" s="462"/>
    </row>
    <row r="1888" spans="1:1" x14ac:dyDescent="0.25">
      <c r="A1888" s="462"/>
    </row>
    <row r="1889" spans="1:1" x14ac:dyDescent="0.25">
      <c r="A1889" s="462"/>
    </row>
    <row r="1890" spans="1:1" x14ac:dyDescent="0.25">
      <c r="A1890" s="462"/>
    </row>
    <row r="1891" spans="1:1" x14ac:dyDescent="0.25">
      <c r="A1891" s="462"/>
    </row>
    <row r="1892" spans="1:1" x14ac:dyDescent="0.25">
      <c r="A1892" s="462"/>
    </row>
    <row r="1893" spans="1:1" x14ac:dyDescent="0.25">
      <c r="A1893" s="462"/>
    </row>
    <row r="1894" spans="1:1" x14ac:dyDescent="0.25">
      <c r="A1894" s="462"/>
    </row>
    <row r="1895" spans="1:1" x14ac:dyDescent="0.25">
      <c r="A1895" s="462"/>
    </row>
    <row r="1896" spans="1:1" x14ac:dyDescent="0.25">
      <c r="A1896" s="462"/>
    </row>
    <row r="1897" spans="1:1" x14ac:dyDescent="0.25">
      <c r="A1897" s="462"/>
    </row>
    <row r="1898" spans="1:1" x14ac:dyDescent="0.25">
      <c r="A1898" s="462"/>
    </row>
    <row r="1899" spans="1:1" x14ac:dyDescent="0.25">
      <c r="A1899" s="462"/>
    </row>
    <row r="1900" spans="1:1" x14ac:dyDescent="0.25">
      <c r="A1900" s="462"/>
    </row>
    <row r="1901" spans="1:1" x14ac:dyDescent="0.25">
      <c r="A1901" s="462"/>
    </row>
    <row r="1902" spans="1:1" x14ac:dyDescent="0.25">
      <c r="A1902" s="462"/>
    </row>
    <row r="1903" spans="1:1" x14ac:dyDescent="0.25">
      <c r="A1903" s="462"/>
    </row>
    <row r="1904" spans="1:1" x14ac:dyDescent="0.25">
      <c r="A1904" s="462"/>
    </row>
    <row r="1905" spans="1:1" x14ac:dyDescent="0.25">
      <c r="A1905" s="462"/>
    </row>
    <row r="1906" spans="1:1" x14ac:dyDescent="0.25">
      <c r="A1906" s="462"/>
    </row>
    <row r="1907" spans="1:1" x14ac:dyDescent="0.25">
      <c r="A1907" s="462"/>
    </row>
    <row r="1908" spans="1:1" x14ac:dyDescent="0.25">
      <c r="A1908" s="462"/>
    </row>
    <row r="1909" spans="1:1" x14ac:dyDescent="0.25">
      <c r="A1909" s="462"/>
    </row>
    <row r="1910" spans="1:1" x14ac:dyDescent="0.25">
      <c r="A1910" s="462"/>
    </row>
    <row r="1911" spans="1:1" x14ac:dyDescent="0.25">
      <c r="A1911" s="462"/>
    </row>
    <row r="1912" spans="1:1" x14ac:dyDescent="0.25">
      <c r="A1912" s="462"/>
    </row>
    <row r="1913" spans="1:1" x14ac:dyDescent="0.25">
      <c r="A1913" s="462"/>
    </row>
    <row r="1914" spans="1:1" x14ac:dyDescent="0.25">
      <c r="A1914" s="462"/>
    </row>
    <row r="1915" spans="1:1" x14ac:dyDescent="0.25">
      <c r="A1915" s="462"/>
    </row>
    <row r="1916" spans="1:1" x14ac:dyDescent="0.25">
      <c r="A1916" s="462"/>
    </row>
    <row r="1917" spans="1:1" x14ac:dyDescent="0.25">
      <c r="A1917" s="462"/>
    </row>
    <row r="1918" spans="1:1" x14ac:dyDescent="0.25">
      <c r="A1918" s="462"/>
    </row>
    <row r="1919" spans="1:1" x14ac:dyDescent="0.25">
      <c r="A1919" s="462"/>
    </row>
    <row r="1920" spans="1:1" x14ac:dyDescent="0.25">
      <c r="A1920" s="462"/>
    </row>
    <row r="1921" spans="1:1" x14ac:dyDescent="0.25">
      <c r="A1921" s="462"/>
    </row>
    <row r="1922" spans="1:1" x14ac:dyDescent="0.25">
      <c r="A1922" s="462"/>
    </row>
    <row r="1923" spans="1:1" x14ac:dyDescent="0.25">
      <c r="A1923" s="462"/>
    </row>
    <row r="1924" spans="1:1" x14ac:dyDescent="0.25">
      <c r="A1924" s="462"/>
    </row>
    <row r="1925" spans="1:1" x14ac:dyDescent="0.25">
      <c r="A1925" s="462"/>
    </row>
    <row r="1926" spans="1:1" x14ac:dyDescent="0.25">
      <c r="A1926" s="462"/>
    </row>
    <row r="1927" spans="1:1" x14ac:dyDescent="0.25">
      <c r="A1927" s="462"/>
    </row>
    <row r="1928" spans="1:1" x14ac:dyDescent="0.25">
      <c r="A1928" s="462"/>
    </row>
    <row r="1929" spans="1:1" x14ac:dyDescent="0.25">
      <c r="A1929" s="462"/>
    </row>
    <row r="1930" spans="1:1" x14ac:dyDescent="0.25">
      <c r="A1930" s="462"/>
    </row>
    <row r="1931" spans="1:1" x14ac:dyDescent="0.25">
      <c r="A1931" s="462"/>
    </row>
    <row r="1932" spans="1:1" x14ac:dyDescent="0.25">
      <c r="A1932" s="462"/>
    </row>
    <row r="1933" spans="1:1" x14ac:dyDescent="0.25">
      <c r="A1933" s="462"/>
    </row>
    <row r="1934" spans="1:1" x14ac:dyDescent="0.25">
      <c r="A1934" s="462"/>
    </row>
    <row r="1935" spans="1:1" x14ac:dyDescent="0.25">
      <c r="A1935" s="462"/>
    </row>
    <row r="1936" spans="1:1" x14ac:dyDescent="0.25">
      <c r="A1936" s="462"/>
    </row>
    <row r="1937" spans="1:1" x14ac:dyDescent="0.25">
      <c r="A1937" s="462"/>
    </row>
    <row r="1938" spans="1:1" x14ac:dyDescent="0.25">
      <c r="A1938" s="462"/>
    </row>
    <row r="1939" spans="1:1" x14ac:dyDescent="0.25">
      <c r="A1939" s="462"/>
    </row>
    <row r="1940" spans="1:1" x14ac:dyDescent="0.25">
      <c r="A1940" s="462"/>
    </row>
    <row r="1941" spans="1:1" x14ac:dyDescent="0.25">
      <c r="A1941" s="462"/>
    </row>
    <row r="1942" spans="1:1" x14ac:dyDescent="0.25">
      <c r="A1942" s="462"/>
    </row>
    <row r="1943" spans="1:1" x14ac:dyDescent="0.25">
      <c r="A1943" s="462"/>
    </row>
    <row r="1944" spans="1:1" x14ac:dyDescent="0.25">
      <c r="A1944" s="462"/>
    </row>
    <row r="1945" spans="1:1" x14ac:dyDescent="0.25">
      <c r="A1945" s="462"/>
    </row>
    <row r="1946" spans="1:1" x14ac:dyDescent="0.25">
      <c r="A1946" s="462"/>
    </row>
    <row r="1947" spans="1:1" x14ac:dyDescent="0.25">
      <c r="A1947" s="462"/>
    </row>
    <row r="1948" spans="1:1" x14ac:dyDescent="0.25">
      <c r="A1948" s="462"/>
    </row>
    <row r="1949" spans="1:1" x14ac:dyDescent="0.25">
      <c r="A1949" s="462"/>
    </row>
    <row r="1950" spans="1:1" x14ac:dyDescent="0.25">
      <c r="A1950" s="462"/>
    </row>
    <row r="1951" spans="1:1" x14ac:dyDescent="0.25">
      <c r="A1951" s="462"/>
    </row>
    <row r="1952" spans="1:1" x14ac:dyDescent="0.25">
      <c r="A1952" s="462"/>
    </row>
    <row r="1953" spans="1:1" x14ac:dyDescent="0.25">
      <c r="A1953" s="462"/>
    </row>
    <row r="1954" spans="1:1" x14ac:dyDescent="0.25">
      <c r="A1954" s="462"/>
    </row>
    <row r="1955" spans="1:1" x14ac:dyDescent="0.25">
      <c r="A1955" s="462"/>
    </row>
    <row r="1956" spans="1:1" x14ac:dyDescent="0.25">
      <c r="A1956" s="462"/>
    </row>
    <row r="1957" spans="1:1" x14ac:dyDescent="0.25">
      <c r="A1957" s="462"/>
    </row>
    <row r="1958" spans="1:1" x14ac:dyDescent="0.25">
      <c r="A1958" s="462"/>
    </row>
    <row r="1959" spans="1:1" x14ac:dyDescent="0.25">
      <c r="A1959" s="462"/>
    </row>
    <row r="1960" spans="1:1" x14ac:dyDescent="0.25">
      <c r="A1960" s="462"/>
    </row>
    <row r="1961" spans="1:1" x14ac:dyDescent="0.25">
      <c r="A1961" s="462"/>
    </row>
    <row r="1962" spans="1:1" x14ac:dyDescent="0.25">
      <c r="A1962" s="462"/>
    </row>
    <row r="1963" spans="1:1" x14ac:dyDescent="0.25">
      <c r="A1963" s="462"/>
    </row>
    <row r="1964" spans="1:1" x14ac:dyDescent="0.25">
      <c r="A1964" s="462"/>
    </row>
    <row r="1965" spans="1:1" x14ac:dyDescent="0.25">
      <c r="A1965" s="462"/>
    </row>
    <row r="1966" spans="1:1" x14ac:dyDescent="0.25">
      <c r="A1966" s="462"/>
    </row>
    <row r="1967" spans="1:1" x14ac:dyDescent="0.25">
      <c r="A1967" s="462"/>
    </row>
    <row r="1968" spans="1:1" x14ac:dyDescent="0.25">
      <c r="A1968" s="462"/>
    </row>
    <row r="1969" spans="1:1" x14ac:dyDescent="0.25">
      <c r="A1969" s="462"/>
    </row>
    <row r="1970" spans="1:1" x14ac:dyDescent="0.25">
      <c r="A1970" s="462"/>
    </row>
    <row r="1971" spans="1:1" x14ac:dyDescent="0.25">
      <c r="A1971" s="462"/>
    </row>
    <row r="1972" spans="1:1" x14ac:dyDescent="0.25">
      <c r="A1972" s="462"/>
    </row>
    <row r="1973" spans="1:1" x14ac:dyDescent="0.25">
      <c r="A1973" s="462"/>
    </row>
    <row r="1974" spans="1:1" x14ac:dyDescent="0.25">
      <c r="A1974" s="462"/>
    </row>
    <row r="1975" spans="1:1" x14ac:dyDescent="0.25">
      <c r="A1975" s="462"/>
    </row>
    <row r="1976" spans="1:1" x14ac:dyDescent="0.25">
      <c r="A1976" s="462"/>
    </row>
    <row r="1977" spans="1:1" x14ac:dyDescent="0.25">
      <c r="A1977" s="462"/>
    </row>
    <row r="1978" spans="1:1" x14ac:dyDescent="0.25">
      <c r="A1978" s="462"/>
    </row>
    <row r="1979" spans="1:1" x14ac:dyDescent="0.25">
      <c r="A1979" s="462"/>
    </row>
    <row r="1980" spans="1:1" x14ac:dyDescent="0.25">
      <c r="A1980" s="462"/>
    </row>
    <row r="1981" spans="1:1" x14ac:dyDescent="0.25">
      <c r="A1981" s="462"/>
    </row>
    <row r="1982" spans="1:1" x14ac:dyDescent="0.25">
      <c r="A1982" s="462"/>
    </row>
    <row r="1983" spans="1:1" x14ac:dyDescent="0.25">
      <c r="A1983" s="462"/>
    </row>
    <row r="1984" spans="1:1" x14ac:dyDescent="0.25">
      <c r="A1984" s="462"/>
    </row>
    <row r="1985" spans="1:1" x14ac:dyDescent="0.25">
      <c r="A1985" s="462"/>
    </row>
    <row r="1986" spans="1:1" x14ac:dyDescent="0.25">
      <c r="A1986" s="462"/>
    </row>
    <row r="1987" spans="1:1" x14ac:dyDescent="0.25">
      <c r="A1987" s="462"/>
    </row>
    <row r="1988" spans="1:1" x14ac:dyDescent="0.25">
      <c r="A1988" s="462"/>
    </row>
    <row r="1989" spans="1:1" x14ac:dyDescent="0.25">
      <c r="A1989" s="462"/>
    </row>
    <row r="1990" spans="1:1" x14ac:dyDescent="0.25">
      <c r="A1990" s="462"/>
    </row>
    <row r="1991" spans="1:1" x14ac:dyDescent="0.25">
      <c r="A1991" s="462"/>
    </row>
    <row r="1992" spans="1:1" x14ac:dyDescent="0.25">
      <c r="A1992" s="462"/>
    </row>
    <row r="1993" spans="1:1" x14ac:dyDescent="0.25">
      <c r="A1993" s="462"/>
    </row>
    <row r="1994" spans="1:1" x14ac:dyDescent="0.25">
      <c r="A1994" s="462"/>
    </row>
    <row r="1995" spans="1:1" x14ac:dyDescent="0.25">
      <c r="A1995" s="462"/>
    </row>
    <row r="1996" spans="1:1" x14ac:dyDescent="0.25">
      <c r="A1996" s="462"/>
    </row>
    <row r="1997" spans="1:1" x14ac:dyDescent="0.25">
      <c r="A1997" s="462"/>
    </row>
    <row r="1998" spans="1:1" x14ac:dyDescent="0.25">
      <c r="A1998" s="462"/>
    </row>
    <row r="1999" spans="1:1" x14ac:dyDescent="0.25">
      <c r="A1999" s="462"/>
    </row>
    <row r="2000" spans="1:1" x14ac:dyDescent="0.25">
      <c r="A2000" s="462"/>
    </row>
    <row r="2001" spans="1:1" x14ac:dyDescent="0.25">
      <c r="A2001" s="462"/>
    </row>
    <row r="2002" spans="1:1" x14ac:dyDescent="0.25">
      <c r="A2002" s="462"/>
    </row>
    <row r="2003" spans="1:1" x14ac:dyDescent="0.25">
      <c r="A2003" s="462"/>
    </row>
    <row r="2004" spans="1:1" x14ac:dyDescent="0.25">
      <c r="A2004" s="462"/>
    </row>
    <row r="2005" spans="1:1" x14ac:dyDescent="0.25">
      <c r="A2005" s="462"/>
    </row>
    <row r="2006" spans="1:1" x14ac:dyDescent="0.25">
      <c r="A2006" s="462"/>
    </row>
    <row r="2007" spans="1:1" x14ac:dyDescent="0.25">
      <c r="A2007" s="462"/>
    </row>
    <row r="2008" spans="1:1" x14ac:dyDescent="0.25">
      <c r="A2008" s="462"/>
    </row>
    <row r="2009" spans="1:1" x14ac:dyDescent="0.25">
      <c r="A2009" s="462"/>
    </row>
    <row r="2010" spans="1:1" x14ac:dyDescent="0.25">
      <c r="A2010" s="462"/>
    </row>
    <row r="2011" spans="1:1" x14ac:dyDescent="0.25">
      <c r="A2011" s="462"/>
    </row>
    <row r="2012" spans="1:1" x14ac:dyDescent="0.25">
      <c r="A2012" s="462"/>
    </row>
    <row r="2013" spans="1:1" x14ac:dyDescent="0.25">
      <c r="A2013" s="462"/>
    </row>
    <row r="2014" spans="1:1" x14ac:dyDescent="0.25">
      <c r="A2014" s="462"/>
    </row>
    <row r="2015" spans="1:1" x14ac:dyDescent="0.25">
      <c r="A2015" s="462"/>
    </row>
    <row r="2016" spans="1:1" x14ac:dyDescent="0.25">
      <c r="A2016" s="462"/>
    </row>
    <row r="2017" spans="1:1" x14ac:dyDescent="0.25">
      <c r="A2017" s="462"/>
    </row>
    <row r="2018" spans="1:1" x14ac:dyDescent="0.25">
      <c r="A2018" s="462"/>
    </row>
    <row r="2019" spans="1:1" x14ac:dyDescent="0.25">
      <c r="A2019" s="462"/>
    </row>
    <row r="2020" spans="1:1" x14ac:dyDescent="0.25">
      <c r="A2020" s="462"/>
    </row>
    <row r="2021" spans="1:1" x14ac:dyDescent="0.25">
      <c r="A2021" s="462"/>
    </row>
    <row r="2022" spans="1:1" x14ac:dyDescent="0.25">
      <c r="A2022" s="462"/>
    </row>
    <row r="2023" spans="1:1" x14ac:dyDescent="0.25">
      <c r="A2023" s="462"/>
    </row>
    <row r="2024" spans="1:1" x14ac:dyDescent="0.25">
      <c r="A2024" s="462"/>
    </row>
    <row r="2025" spans="1:1" x14ac:dyDescent="0.25">
      <c r="A2025" s="462"/>
    </row>
    <row r="2026" spans="1:1" x14ac:dyDescent="0.25">
      <c r="A2026" s="462"/>
    </row>
    <row r="2027" spans="1:1" x14ac:dyDescent="0.25">
      <c r="A2027" s="462"/>
    </row>
    <row r="2028" spans="1:1" x14ac:dyDescent="0.25">
      <c r="A2028" s="462"/>
    </row>
    <row r="2029" spans="1:1" x14ac:dyDescent="0.25">
      <c r="A2029" s="462"/>
    </row>
    <row r="2030" spans="1:1" x14ac:dyDescent="0.25">
      <c r="A2030" s="462"/>
    </row>
    <row r="2031" spans="1:1" x14ac:dyDescent="0.25">
      <c r="A2031" s="462"/>
    </row>
    <row r="2032" spans="1:1" x14ac:dyDescent="0.25">
      <c r="A2032" s="462"/>
    </row>
    <row r="2033" spans="1:1" x14ac:dyDescent="0.25">
      <c r="A2033" s="462"/>
    </row>
    <row r="2034" spans="1:1" x14ac:dyDescent="0.25">
      <c r="A2034" s="462"/>
    </row>
    <row r="2035" spans="1:1" x14ac:dyDescent="0.25">
      <c r="A2035" s="462"/>
    </row>
    <row r="2036" spans="1:1" x14ac:dyDescent="0.25">
      <c r="A2036" s="462"/>
    </row>
    <row r="2037" spans="1:1" x14ac:dyDescent="0.25">
      <c r="A2037" s="462"/>
    </row>
    <row r="2038" spans="1:1" x14ac:dyDescent="0.25">
      <c r="A2038" s="462"/>
    </row>
    <row r="2039" spans="1:1" x14ac:dyDescent="0.25">
      <c r="A2039" s="462"/>
    </row>
    <row r="2040" spans="1:1" x14ac:dyDescent="0.25">
      <c r="A2040" s="462"/>
    </row>
    <row r="2041" spans="1:1" x14ac:dyDescent="0.25">
      <c r="A2041" s="462"/>
    </row>
    <row r="2042" spans="1:1" x14ac:dyDescent="0.25">
      <c r="A2042" s="462"/>
    </row>
    <row r="2043" spans="1:1" x14ac:dyDescent="0.25">
      <c r="A2043" s="462"/>
    </row>
    <row r="2044" spans="1:1" x14ac:dyDescent="0.25">
      <c r="A2044" s="462"/>
    </row>
    <row r="2045" spans="1:1" x14ac:dyDescent="0.25">
      <c r="A2045" s="462"/>
    </row>
    <row r="2046" spans="1:1" x14ac:dyDescent="0.25">
      <c r="A2046" s="462"/>
    </row>
    <row r="2047" spans="1:1" x14ac:dyDescent="0.25">
      <c r="A2047" s="462"/>
    </row>
    <row r="2048" spans="1:1" x14ac:dyDescent="0.25">
      <c r="A2048" s="462"/>
    </row>
    <row r="2049" spans="1:1" x14ac:dyDescent="0.25">
      <c r="A2049" s="462"/>
    </row>
    <row r="2050" spans="1:1" x14ac:dyDescent="0.25">
      <c r="A2050" s="462"/>
    </row>
    <row r="2051" spans="1:1" x14ac:dyDescent="0.25">
      <c r="A2051" s="462"/>
    </row>
    <row r="2052" spans="1:1" x14ac:dyDescent="0.25">
      <c r="A2052" s="462"/>
    </row>
    <row r="2053" spans="1:1" x14ac:dyDescent="0.25">
      <c r="A2053" s="462"/>
    </row>
    <row r="2054" spans="1:1" x14ac:dyDescent="0.25">
      <c r="A2054" s="462"/>
    </row>
    <row r="2055" spans="1:1" x14ac:dyDescent="0.25">
      <c r="A2055" s="462"/>
    </row>
    <row r="2056" spans="1:1" x14ac:dyDescent="0.25">
      <c r="A2056" s="462"/>
    </row>
    <row r="2057" spans="1:1" x14ac:dyDescent="0.25">
      <c r="A2057" s="462"/>
    </row>
    <row r="2058" spans="1:1" x14ac:dyDescent="0.25">
      <c r="A2058" s="462"/>
    </row>
    <row r="2059" spans="1:1" x14ac:dyDescent="0.25">
      <c r="A2059" s="462"/>
    </row>
    <row r="2060" spans="1:1" x14ac:dyDescent="0.25">
      <c r="A2060" s="462"/>
    </row>
    <row r="2061" spans="1:1" x14ac:dyDescent="0.25">
      <c r="A2061" s="462"/>
    </row>
    <row r="2062" spans="1:1" x14ac:dyDescent="0.25">
      <c r="A2062" s="462"/>
    </row>
    <row r="2063" spans="1:1" x14ac:dyDescent="0.25">
      <c r="A2063" s="462"/>
    </row>
    <row r="2064" spans="1:1" x14ac:dyDescent="0.25">
      <c r="A2064" s="462"/>
    </row>
    <row r="2065" spans="1:1" x14ac:dyDescent="0.25">
      <c r="A2065" s="462"/>
    </row>
    <row r="2066" spans="1:1" x14ac:dyDescent="0.25">
      <c r="A2066" s="462"/>
    </row>
    <row r="2067" spans="1:1" x14ac:dyDescent="0.25">
      <c r="A2067" s="462"/>
    </row>
    <row r="2068" spans="1:1" x14ac:dyDescent="0.25">
      <c r="A2068" s="462"/>
    </row>
    <row r="2069" spans="1:1" x14ac:dyDescent="0.25">
      <c r="A2069" s="462"/>
    </row>
    <row r="2070" spans="1:1" x14ac:dyDescent="0.25">
      <c r="A2070" s="462"/>
    </row>
    <row r="2071" spans="1:1" x14ac:dyDescent="0.25">
      <c r="A2071" s="462"/>
    </row>
    <row r="2072" spans="1:1" x14ac:dyDescent="0.25">
      <c r="A2072" s="462"/>
    </row>
    <row r="2073" spans="1:1" x14ac:dyDescent="0.25">
      <c r="A2073" s="462"/>
    </row>
    <row r="2074" spans="1:1" x14ac:dyDescent="0.25">
      <c r="A2074" s="462"/>
    </row>
    <row r="2075" spans="1:1" x14ac:dyDescent="0.25">
      <c r="A2075" s="462"/>
    </row>
    <row r="2076" spans="1:1" x14ac:dyDescent="0.25">
      <c r="A2076" s="462"/>
    </row>
    <row r="2077" spans="1:1" x14ac:dyDescent="0.25">
      <c r="A2077" s="462"/>
    </row>
    <row r="2078" spans="1:1" x14ac:dyDescent="0.25">
      <c r="A2078" s="462"/>
    </row>
    <row r="2079" spans="1:1" x14ac:dyDescent="0.25">
      <c r="A2079" s="462"/>
    </row>
    <row r="2080" spans="1:1" x14ac:dyDescent="0.25">
      <c r="A2080" s="462"/>
    </row>
    <row r="2081" spans="1:1" x14ac:dyDescent="0.25">
      <c r="A2081" s="462"/>
    </row>
    <row r="2082" spans="1:1" x14ac:dyDescent="0.25">
      <c r="A2082" s="462"/>
    </row>
    <row r="2083" spans="1:1" x14ac:dyDescent="0.25">
      <c r="A2083" s="462"/>
    </row>
    <row r="2084" spans="1:1" x14ac:dyDescent="0.25">
      <c r="A2084" s="462"/>
    </row>
    <row r="2085" spans="1:1" x14ac:dyDescent="0.25">
      <c r="A2085" s="462"/>
    </row>
    <row r="2086" spans="1:1" x14ac:dyDescent="0.25">
      <c r="A2086" s="462"/>
    </row>
    <row r="2087" spans="1:1" x14ac:dyDescent="0.25">
      <c r="A2087" s="462"/>
    </row>
    <row r="2088" spans="1:1" x14ac:dyDescent="0.25">
      <c r="A2088" s="462"/>
    </row>
    <row r="2089" spans="1:1" x14ac:dyDescent="0.25">
      <c r="A2089" s="462"/>
    </row>
    <row r="2090" spans="1:1" x14ac:dyDescent="0.25">
      <c r="A2090" s="462"/>
    </row>
    <row r="2091" spans="1:1" x14ac:dyDescent="0.25">
      <c r="A2091" s="462"/>
    </row>
    <row r="2092" spans="1:1" x14ac:dyDescent="0.25">
      <c r="A2092" s="462"/>
    </row>
    <row r="2093" spans="1:1" x14ac:dyDescent="0.25">
      <c r="A2093" s="462"/>
    </row>
    <row r="2094" spans="1:1" x14ac:dyDescent="0.25">
      <c r="A2094" s="462"/>
    </row>
    <row r="2095" spans="1:1" x14ac:dyDescent="0.25">
      <c r="A2095" s="462"/>
    </row>
    <row r="2096" spans="1:1" x14ac:dyDescent="0.25">
      <c r="A2096" s="462"/>
    </row>
    <row r="2097" spans="1:1" x14ac:dyDescent="0.25">
      <c r="A2097" s="462"/>
    </row>
    <row r="2098" spans="1:1" x14ac:dyDescent="0.25">
      <c r="A2098" s="462"/>
    </row>
    <row r="2099" spans="1:1" x14ac:dyDescent="0.25">
      <c r="A2099" s="462"/>
    </row>
    <row r="2100" spans="1:1" x14ac:dyDescent="0.25">
      <c r="A2100" s="462"/>
    </row>
    <row r="2101" spans="1:1" x14ac:dyDescent="0.25">
      <c r="A2101" s="462"/>
    </row>
    <row r="2102" spans="1:1" x14ac:dyDescent="0.25">
      <c r="A2102" s="462"/>
    </row>
    <row r="2103" spans="1:1" x14ac:dyDescent="0.25">
      <c r="A2103" s="462"/>
    </row>
    <row r="2104" spans="1:1" x14ac:dyDescent="0.25">
      <c r="A2104" s="462"/>
    </row>
    <row r="2105" spans="1:1" x14ac:dyDescent="0.25">
      <c r="A2105" s="462"/>
    </row>
    <row r="2106" spans="1:1" x14ac:dyDescent="0.25">
      <c r="A2106" s="462"/>
    </row>
    <row r="2107" spans="1:1" x14ac:dyDescent="0.25">
      <c r="A2107" s="462"/>
    </row>
    <row r="2108" spans="1:1" x14ac:dyDescent="0.25">
      <c r="A2108" s="462"/>
    </row>
    <row r="2109" spans="1:1" x14ac:dyDescent="0.25">
      <c r="A2109" s="462"/>
    </row>
    <row r="2110" spans="1:1" x14ac:dyDescent="0.25">
      <c r="A2110" s="462"/>
    </row>
    <row r="2111" spans="1:1" x14ac:dyDescent="0.25">
      <c r="A2111" s="462"/>
    </row>
    <row r="2112" spans="1:1" x14ac:dyDescent="0.25">
      <c r="A2112" s="462"/>
    </row>
    <row r="2113" spans="1:1" x14ac:dyDescent="0.25">
      <c r="A2113" s="462"/>
    </row>
    <row r="2114" spans="1:1" x14ac:dyDescent="0.25">
      <c r="A2114" s="462"/>
    </row>
    <row r="2115" spans="1:1" x14ac:dyDescent="0.25">
      <c r="A2115" s="462"/>
    </row>
    <row r="2116" spans="1:1" x14ac:dyDescent="0.25">
      <c r="A2116" s="462"/>
    </row>
    <row r="2117" spans="1:1" x14ac:dyDescent="0.25">
      <c r="A2117" s="462"/>
    </row>
    <row r="2118" spans="1:1" x14ac:dyDescent="0.25">
      <c r="A2118" s="462"/>
    </row>
    <row r="2119" spans="1:1" x14ac:dyDescent="0.25">
      <c r="A2119" s="462"/>
    </row>
    <row r="2120" spans="1:1" x14ac:dyDescent="0.25">
      <c r="A2120" s="462"/>
    </row>
    <row r="2121" spans="1:1" x14ac:dyDescent="0.25">
      <c r="A2121" s="462"/>
    </row>
    <row r="2122" spans="1:1" x14ac:dyDescent="0.25">
      <c r="A2122" s="462"/>
    </row>
    <row r="2123" spans="1:1" x14ac:dyDescent="0.25">
      <c r="A2123" s="462"/>
    </row>
    <row r="2124" spans="1:1" x14ac:dyDescent="0.25">
      <c r="A2124" s="462"/>
    </row>
    <row r="2125" spans="1:1" x14ac:dyDescent="0.25">
      <c r="A2125" s="462"/>
    </row>
    <row r="2126" spans="1:1" x14ac:dyDescent="0.25">
      <c r="A2126" s="462"/>
    </row>
    <row r="2127" spans="1:1" x14ac:dyDescent="0.25">
      <c r="A2127" s="462"/>
    </row>
    <row r="2128" spans="1:1" x14ac:dyDescent="0.25">
      <c r="A2128" s="462"/>
    </row>
    <row r="2129" spans="1:1" x14ac:dyDescent="0.25">
      <c r="A2129" s="462"/>
    </row>
    <row r="2130" spans="1:1" x14ac:dyDescent="0.25">
      <c r="A2130" s="462"/>
    </row>
    <row r="2131" spans="1:1" x14ac:dyDescent="0.25">
      <c r="A2131" s="462"/>
    </row>
    <row r="2132" spans="1:1" x14ac:dyDescent="0.25">
      <c r="A2132" s="462"/>
    </row>
    <row r="2133" spans="1:1" x14ac:dyDescent="0.25">
      <c r="A2133" s="462"/>
    </row>
    <row r="2134" spans="1:1" x14ac:dyDescent="0.25">
      <c r="A2134" s="462"/>
    </row>
    <row r="2135" spans="1:1" x14ac:dyDescent="0.25">
      <c r="A2135" s="462"/>
    </row>
    <row r="2136" spans="1:1" x14ac:dyDescent="0.25">
      <c r="A2136" s="462"/>
    </row>
    <row r="2137" spans="1:1" x14ac:dyDescent="0.25">
      <c r="A2137" s="462"/>
    </row>
    <row r="2138" spans="1:1" x14ac:dyDescent="0.25">
      <c r="A2138" s="462"/>
    </row>
    <row r="2139" spans="1:1" x14ac:dyDescent="0.25">
      <c r="A2139" s="462"/>
    </row>
    <row r="2140" spans="1:1" x14ac:dyDescent="0.25">
      <c r="A2140" s="462"/>
    </row>
    <row r="2141" spans="1:1" x14ac:dyDescent="0.25">
      <c r="A2141" s="462"/>
    </row>
    <row r="2142" spans="1:1" x14ac:dyDescent="0.25">
      <c r="A2142" s="462"/>
    </row>
    <row r="2143" spans="1:1" x14ac:dyDescent="0.25">
      <c r="A2143" s="462"/>
    </row>
    <row r="2144" spans="1:1" x14ac:dyDescent="0.25">
      <c r="A2144" s="462"/>
    </row>
    <row r="2145" spans="1:1" x14ac:dyDescent="0.25">
      <c r="A2145" s="462"/>
    </row>
    <row r="2146" spans="1:1" x14ac:dyDescent="0.25">
      <c r="A2146" s="462"/>
    </row>
    <row r="2147" spans="1:1" x14ac:dyDescent="0.25">
      <c r="A2147" s="462"/>
    </row>
    <row r="2148" spans="1:1" x14ac:dyDescent="0.25">
      <c r="A2148" s="462"/>
    </row>
    <row r="2149" spans="1:1" x14ac:dyDescent="0.25">
      <c r="A2149" s="462"/>
    </row>
    <row r="2150" spans="1:1" x14ac:dyDescent="0.25">
      <c r="A2150" s="462"/>
    </row>
    <row r="2151" spans="1:1" x14ac:dyDescent="0.25">
      <c r="A2151" s="462"/>
    </row>
    <row r="2152" spans="1:1" x14ac:dyDescent="0.25">
      <c r="A2152" s="462"/>
    </row>
    <row r="2153" spans="1:1" x14ac:dyDescent="0.25">
      <c r="A2153" s="462"/>
    </row>
    <row r="2154" spans="1:1" x14ac:dyDescent="0.25">
      <c r="A2154" s="462"/>
    </row>
    <row r="2155" spans="1:1" x14ac:dyDescent="0.25">
      <c r="A2155" s="462"/>
    </row>
    <row r="2156" spans="1:1" x14ac:dyDescent="0.25">
      <c r="A2156" s="462"/>
    </row>
    <row r="2157" spans="1:1" x14ac:dyDescent="0.25">
      <c r="A2157" s="462"/>
    </row>
    <row r="2158" spans="1:1" x14ac:dyDescent="0.25">
      <c r="A2158" s="462"/>
    </row>
    <row r="2159" spans="1:1" x14ac:dyDescent="0.25">
      <c r="A2159" s="462"/>
    </row>
    <row r="2160" spans="1:1" x14ac:dyDescent="0.25">
      <c r="A2160" s="462"/>
    </row>
    <row r="2161" spans="1:1" x14ac:dyDescent="0.25">
      <c r="A2161" s="462"/>
    </row>
    <row r="2162" spans="1:1" x14ac:dyDescent="0.25">
      <c r="A2162" s="462"/>
    </row>
    <row r="2163" spans="1:1" x14ac:dyDescent="0.25">
      <c r="A2163" s="462"/>
    </row>
    <row r="2164" spans="1:1" x14ac:dyDescent="0.25">
      <c r="A2164" s="462"/>
    </row>
    <row r="2165" spans="1:1" x14ac:dyDescent="0.25">
      <c r="A2165" s="462"/>
    </row>
    <row r="2166" spans="1:1" x14ac:dyDescent="0.25">
      <c r="A2166" s="462"/>
    </row>
    <row r="2167" spans="1:1" x14ac:dyDescent="0.25">
      <c r="A2167" s="462"/>
    </row>
    <row r="2168" spans="1:1" x14ac:dyDescent="0.25">
      <c r="A2168" s="462"/>
    </row>
    <row r="2169" spans="1:1" x14ac:dyDescent="0.25">
      <c r="A2169" s="462"/>
    </row>
    <row r="2170" spans="1:1" x14ac:dyDescent="0.25">
      <c r="A2170" s="462"/>
    </row>
    <row r="2171" spans="1:1" x14ac:dyDescent="0.25">
      <c r="A2171" s="462"/>
    </row>
    <row r="2172" spans="1:1" x14ac:dyDescent="0.25">
      <c r="A2172" s="462"/>
    </row>
    <row r="2173" spans="1:1" x14ac:dyDescent="0.25">
      <c r="A2173" s="462"/>
    </row>
    <row r="2174" spans="1:1" x14ac:dyDescent="0.25">
      <c r="A2174" s="462"/>
    </row>
    <row r="2175" spans="1:1" x14ac:dyDescent="0.25">
      <c r="A2175" s="462"/>
    </row>
    <row r="2176" spans="1:1" x14ac:dyDescent="0.25">
      <c r="A2176" s="462"/>
    </row>
    <row r="2177" spans="1:1" x14ac:dyDescent="0.25">
      <c r="A2177" s="462"/>
    </row>
    <row r="2178" spans="1:1" x14ac:dyDescent="0.25">
      <c r="A2178" s="462"/>
    </row>
    <row r="2179" spans="1:1" x14ac:dyDescent="0.25">
      <c r="A2179" s="462"/>
    </row>
    <row r="2180" spans="1:1" x14ac:dyDescent="0.25">
      <c r="A2180" s="462"/>
    </row>
    <row r="2181" spans="1:1" x14ac:dyDescent="0.25">
      <c r="A2181" s="462"/>
    </row>
    <row r="2182" spans="1:1" x14ac:dyDescent="0.25">
      <c r="A2182" s="462"/>
    </row>
    <row r="2183" spans="1:1" x14ac:dyDescent="0.25">
      <c r="A2183" s="462"/>
    </row>
    <row r="2184" spans="1:1" x14ac:dyDescent="0.25">
      <c r="A2184" s="462"/>
    </row>
    <row r="2185" spans="1:1" x14ac:dyDescent="0.25">
      <c r="A2185" s="462"/>
    </row>
    <row r="2186" spans="1:1" x14ac:dyDescent="0.25">
      <c r="A2186" s="462"/>
    </row>
    <row r="2187" spans="1:1" x14ac:dyDescent="0.25">
      <c r="A2187" s="462"/>
    </row>
    <row r="2188" spans="1:1" x14ac:dyDescent="0.25">
      <c r="A2188" s="462"/>
    </row>
    <row r="2189" spans="1:1" x14ac:dyDescent="0.25">
      <c r="A2189" s="462"/>
    </row>
    <row r="2190" spans="1:1" x14ac:dyDescent="0.25">
      <c r="A2190" s="462"/>
    </row>
    <row r="2191" spans="1:1" x14ac:dyDescent="0.25">
      <c r="A2191" s="462"/>
    </row>
    <row r="2192" spans="1:1" x14ac:dyDescent="0.25">
      <c r="A2192" s="462"/>
    </row>
    <row r="2193" spans="1:1" x14ac:dyDescent="0.25">
      <c r="A2193" s="462"/>
    </row>
    <row r="2194" spans="1:1" x14ac:dyDescent="0.25">
      <c r="A2194" s="462"/>
    </row>
    <row r="2195" spans="1:1" x14ac:dyDescent="0.25">
      <c r="A2195" s="462"/>
    </row>
    <row r="2196" spans="1:1" x14ac:dyDescent="0.25">
      <c r="A2196" s="462"/>
    </row>
    <row r="2197" spans="1:1" x14ac:dyDescent="0.25">
      <c r="A2197" s="462"/>
    </row>
    <row r="2198" spans="1:1" x14ac:dyDescent="0.25">
      <c r="A2198" s="462"/>
    </row>
    <row r="2199" spans="1:1" x14ac:dyDescent="0.25">
      <c r="A2199" s="462"/>
    </row>
    <row r="2200" spans="1:1" x14ac:dyDescent="0.25">
      <c r="A2200" s="462"/>
    </row>
    <row r="2201" spans="1:1" x14ac:dyDescent="0.25">
      <c r="A2201" s="462"/>
    </row>
    <row r="2202" spans="1:1" x14ac:dyDescent="0.25">
      <c r="A2202" s="462"/>
    </row>
    <row r="2203" spans="1:1" x14ac:dyDescent="0.25">
      <c r="A2203" s="462"/>
    </row>
    <row r="2204" spans="1:1" x14ac:dyDescent="0.25">
      <c r="A2204" s="462"/>
    </row>
    <row r="2205" spans="1:1" x14ac:dyDescent="0.25">
      <c r="A2205" s="462"/>
    </row>
    <row r="2206" spans="1:1" x14ac:dyDescent="0.25">
      <c r="A2206" s="462"/>
    </row>
    <row r="2207" spans="1:1" x14ac:dyDescent="0.25">
      <c r="A2207" s="462"/>
    </row>
    <row r="2208" spans="1:1" x14ac:dyDescent="0.25">
      <c r="A2208" s="462"/>
    </row>
    <row r="2209" spans="1:1" x14ac:dyDescent="0.25">
      <c r="A2209" s="462"/>
    </row>
    <row r="2210" spans="1:1" x14ac:dyDescent="0.25">
      <c r="A2210" s="462"/>
    </row>
    <row r="2211" spans="1:1" x14ac:dyDescent="0.25">
      <c r="A2211" s="462"/>
    </row>
    <row r="2212" spans="1:1" x14ac:dyDescent="0.25">
      <c r="A2212" s="462"/>
    </row>
    <row r="2213" spans="1:1" x14ac:dyDescent="0.25">
      <c r="A2213" s="462"/>
    </row>
    <row r="2214" spans="1:1" x14ac:dyDescent="0.25">
      <c r="A2214" s="462"/>
    </row>
    <row r="2215" spans="1:1" x14ac:dyDescent="0.25">
      <c r="A2215" s="462"/>
    </row>
    <row r="2216" spans="1:1" x14ac:dyDescent="0.25">
      <c r="A2216" s="462"/>
    </row>
    <row r="2217" spans="1:1" x14ac:dyDescent="0.25">
      <c r="A2217" s="462"/>
    </row>
    <row r="2218" spans="1:1" x14ac:dyDescent="0.25">
      <c r="A2218" s="462"/>
    </row>
    <row r="2219" spans="1:1" x14ac:dyDescent="0.25">
      <c r="A2219" s="462"/>
    </row>
    <row r="2220" spans="1:1" x14ac:dyDescent="0.25">
      <c r="A2220" s="462"/>
    </row>
    <row r="2221" spans="1:1" x14ac:dyDescent="0.25">
      <c r="A2221" s="462"/>
    </row>
    <row r="2222" spans="1:1" x14ac:dyDescent="0.25">
      <c r="A2222" s="462"/>
    </row>
    <row r="2223" spans="1:1" x14ac:dyDescent="0.25">
      <c r="A2223" s="462"/>
    </row>
    <row r="2224" spans="1:1" x14ac:dyDescent="0.25">
      <c r="A2224" s="462"/>
    </row>
    <row r="2225" spans="1:1" x14ac:dyDescent="0.25">
      <c r="A2225" s="462"/>
    </row>
    <row r="2226" spans="1:1" x14ac:dyDescent="0.25">
      <c r="A2226" s="462"/>
    </row>
    <row r="2227" spans="1:1" x14ac:dyDescent="0.25">
      <c r="A2227" s="462"/>
    </row>
    <row r="2228" spans="1:1" x14ac:dyDescent="0.25">
      <c r="A2228" s="462"/>
    </row>
    <row r="2229" spans="1:1" x14ac:dyDescent="0.25">
      <c r="A2229" s="462"/>
    </row>
    <row r="2230" spans="1:1" x14ac:dyDescent="0.25">
      <c r="A2230" s="462"/>
    </row>
    <row r="2231" spans="1:1" x14ac:dyDescent="0.25">
      <c r="A2231" s="462"/>
    </row>
    <row r="2232" spans="1:1" x14ac:dyDescent="0.25">
      <c r="A2232" s="462"/>
    </row>
    <row r="2233" spans="1:1" x14ac:dyDescent="0.25">
      <c r="A2233" s="462"/>
    </row>
    <row r="2234" spans="1:1" x14ac:dyDescent="0.25">
      <c r="A2234" s="462"/>
    </row>
    <row r="2235" spans="1:1" x14ac:dyDescent="0.25">
      <c r="A2235" s="462"/>
    </row>
    <row r="2236" spans="1:1" x14ac:dyDescent="0.25">
      <c r="A2236" s="462"/>
    </row>
    <row r="2237" spans="1:1" x14ac:dyDescent="0.25">
      <c r="A2237" s="462"/>
    </row>
    <row r="2238" spans="1:1" x14ac:dyDescent="0.25">
      <c r="A2238" s="462"/>
    </row>
    <row r="2239" spans="1:1" x14ac:dyDescent="0.25">
      <c r="A2239" s="462"/>
    </row>
    <row r="2240" spans="1:1" x14ac:dyDescent="0.25">
      <c r="A2240" s="462"/>
    </row>
    <row r="2241" spans="1:1" x14ac:dyDescent="0.25">
      <c r="A2241" s="462"/>
    </row>
    <row r="2242" spans="1:1" x14ac:dyDescent="0.25">
      <c r="A2242" s="462"/>
    </row>
    <row r="2243" spans="1:1" x14ac:dyDescent="0.25">
      <c r="A2243" s="462"/>
    </row>
    <row r="2244" spans="1:1" x14ac:dyDescent="0.25">
      <c r="A2244" s="462"/>
    </row>
    <row r="2245" spans="1:1" x14ac:dyDescent="0.25">
      <c r="A2245" s="462"/>
    </row>
    <row r="2246" spans="1:1" x14ac:dyDescent="0.25">
      <c r="A2246" s="462"/>
    </row>
    <row r="2247" spans="1:1" x14ac:dyDescent="0.25">
      <c r="A2247" s="462"/>
    </row>
    <row r="2248" spans="1:1" x14ac:dyDescent="0.25">
      <c r="A2248" s="462"/>
    </row>
    <row r="2249" spans="1:1" x14ac:dyDescent="0.25">
      <c r="A2249" s="462"/>
    </row>
    <row r="2250" spans="1:1" x14ac:dyDescent="0.25">
      <c r="A2250" s="462"/>
    </row>
    <row r="2251" spans="1:1" x14ac:dyDescent="0.25">
      <c r="A2251" s="462"/>
    </row>
    <row r="2252" spans="1:1" x14ac:dyDescent="0.25">
      <c r="A2252" s="462"/>
    </row>
    <row r="2253" spans="1:1" x14ac:dyDescent="0.25">
      <c r="A2253" s="462"/>
    </row>
    <row r="2254" spans="1:1" x14ac:dyDescent="0.25">
      <c r="A2254" s="462"/>
    </row>
    <row r="2255" spans="1:1" x14ac:dyDescent="0.25">
      <c r="A2255" s="462"/>
    </row>
    <row r="2256" spans="1:1" x14ac:dyDescent="0.25">
      <c r="A2256" s="462"/>
    </row>
    <row r="2257" spans="1:1" x14ac:dyDescent="0.25">
      <c r="A2257" s="462"/>
    </row>
    <row r="2258" spans="1:1" x14ac:dyDescent="0.25">
      <c r="A2258" s="462"/>
    </row>
    <row r="2259" spans="1:1" x14ac:dyDescent="0.25">
      <c r="A2259" s="462"/>
    </row>
    <row r="2260" spans="1:1" x14ac:dyDescent="0.25">
      <c r="A2260" s="462"/>
    </row>
    <row r="2261" spans="1:1" x14ac:dyDescent="0.25">
      <c r="A2261" s="462"/>
    </row>
    <row r="2262" spans="1:1" x14ac:dyDescent="0.25">
      <c r="A2262" s="462"/>
    </row>
    <row r="2263" spans="1:1" x14ac:dyDescent="0.25">
      <c r="A2263" s="462"/>
    </row>
    <row r="2264" spans="1:1" x14ac:dyDescent="0.25">
      <c r="A2264" s="462"/>
    </row>
    <row r="2265" spans="1:1" x14ac:dyDescent="0.25">
      <c r="A2265" s="462"/>
    </row>
    <row r="2266" spans="1:1" x14ac:dyDescent="0.25">
      <c r="A2266" s="462"/>
    </row>
    <row r="2267" spans="1:1" x14ac:dyDescent="0.25">
      <c r="A2267" s="462"/>
    </row>
    <row r="2268" spans="1:1" x14ac:dyDescent="0.25">
      <c r="A2268" s="462"/>
    </row>
    <row r="2269" spans="1:1" x14ac:dyDescent="0.25">
      <c r="A2269" s="462"/>
    </row>
    <row r="2270" spans="1:1" x14ac:dyDescent="0.25">
      <c r="A2270" s="462"/>
    </row>
    <row r="2271" spans="1:1" x14ac:dyDescent="0.25">
      <c r="A2271" s="462"/>
    </row>
    <row r="2272" spans="1:1" x14ac:dyDescent="0.25">
      <c r="A2272" s="462"/>
    </row>
    <row r="2273" spans="1:1" x14ac:dyDescent="0.25">
      <c r="A2273" s="462"/>
    </row>
    <row r="2274" spans="1:1" x14ac:dyDescent="0.25">
      <c r="A2274" s="462"/>
    </row>
    <row r="2275" spans="1:1" x14ac:dyDescent="0.25">
      <c r="A2275" s="462"/>
    </row>
    <row r="2276" spans="1:1" x14ac:dyDescent="0.25">
      <c r="A2276" s="462"/>
    </row>
    <row r="2277" spans="1:1" x14ac:dyDescent="0.25">
      <c r="A2277" s="462"/>
    </row>
    <row r="2278" spans="1:1" x14ac:dyDescent="0.25">
      <c r="A2278" s="462"/>
    </row>
    <row r="2279" spans="1:1" x14ac:dyDescent="0.25">
      <c r="A2279" s="462"/>
    </row>
    <row r="2280" spans="1:1" x14ac:dyDescent="0.25">
      <c r="A2280" s="462"/>
    </row>
    <row r="2281" spans="1:1" x14ac:dyDescent="0.25">
      <c r="A2281" s="462"/>
    </row>
    <row r="2282" spans="1:1" x14ac:dyDescent="0.25">
      <c r="A2282" s="462"/>
    </row>
    <row r="2283" spans="1:1" x14ac:dyDescent="0.25">
      <c r="A2283" s="462"/>
    </row>
    <row r="2284" spans="1:1" x14ac:dyDescent="0.25">
      <c r="A2284" s="462"/>
    </row>
    <row r="2285" spans="1:1" x14ac:dyDescent="0.25">
      <c r="A2285" s="462"/>
    </row>
    <row r="2286" spans="1:1" x14ac:dyDescent="0.25">
      <c r="A2286" s="462"/>
    </row>
    <row r="2287" spans="1:1" x14ac:dyDescent="0.25">
      <c r="A2287" s="462"/>
    </row>
    <row r="2288" spans="1:1" x14ac:dyDescent="0.25">
      <c r="A2288" s="462"/>
    </row>
    <row r="2289" spans="1:1" x14ac:dyDescent="0.25">
      <c r="A2289" s="462"/>
    </row>
    <row r="2290" spans="1:1" x14ac:dyDescent="0.25">
      <c r="A2290" s="462"/>
    </row>
    <row r="2291" spans="1:1" x14ac:dyDescent="0.25">
      <c r="A2291" s="462"/>
    </row>
    <row r="2292" spans="1:1" x14ac:dyDescent="0.25">
      <c r="A2292" s="462"/>
    </row>
    <row r="2293" spans="1:1" x14ac:dyDescent="0.25">
      <c r="A2293" s="462"/>
    </row>
    <row r="2294" spans="1:1" x14ac:dyDescent="0.25">
      <c r="A2294" s="462"/>
    </row>
    <row r="2295" spans="1:1" x14ac:dyDescent="0.25">
      <c r="A2295" s="462"/>
    </row>
    <row r="2296" spans="1:1" x14ac:dyDescent="0.25">
      <c r="A2296" s="462"/>
    </row>
    <row r="2297" spans="1:1" x14ac:dyDescent="0.25">
      <c r="A2297" s="462"/>
    </row>
    <row r="2298" spans="1:1" x14ac:dyDescent="0.25">
      <c r="A2298" s="462"/>
    </row>
    <row r="2299" spans="1:1" x14ac:dyDescent="0.25">
      <c r="A2299" s="462"/>
    </row>
    <row r="2300" spans="1:1" x14ac:dyDescent="0.25">
      <c r="A2300" s="462"/>
    </row>
    <row r="2301" spans="1:1" x14ac:dyDescent="0.25">
      <c r="A2301" s="462"/>
    </row>
    <row r="2302" spans="1:1" x14ac:dyDescent="0.25">
      <c r="A2302" s="462"/>
    </row>
    <row r="2303" spans="1:1" x14ac:dyDescent="0.25">
      <c r="A2303" s="462"/>
    </row>
    <row r="2304" spans="1:1" x14ac:dyDescent="0.25">
      <c r="A2304" s="462"/>
    </row>
    <row r="2305" spans="1:1" x14ac:dyDescent="0.25">
      <c r="A2305" s="462"/>
    </row>
    <row r="2306" spans="1:1" x14ac:dyDescent="0.25">
      <c r="A2306" s="462"/>
    </row>
    <row r="2307" spans="1:1" x14ac:dyDescent="0.25">
      <c r="A2307" s="462"/>
    </row>
    <row r="2308" spans="1:1" x14ac:dyDescent="0.25">
      <c r="A2308" s="462"/>
    </row>
    <row r="2309" spans="1:1" x14ac:dyDescent="0.25">
      <c r="A2309" s="462"/>
    </row>
    <row r="2310" spans="1:1" x14ac:dyDescent="0.25">
      <c r="A2310" s="462"/>
    </row>
    <row r="2311" spans="1:1" x14ac:dyDescent="0.25">
      <c r="A2311" s="462"/>
    </row>
    <row r="2312" spans="1:1" x14ac:dyDescent="0.25">
      <c r="A2312" s="462"/>
    </row>
    <row r="2313" spans="1:1" x14ac:dyDescent="0.25">
      <c r="A2313" s="462"/>
    </row>
    <row r="2314" spans="1:1" x14ac:dyDescent="0.25">
      <c r="A2314" s="462"/>
    </row>
    <row r="2315" spans="1:1" x14ac:dyDescent="0.25">
      <c r="A2315" s="462"/>
    </row>
    <row r="2316" spans="1:1" x14ac:dyDescent="0.25">
      <c r="A2316" s="462"/>
    </row>
    <row r="2317" spans="1:1" x14ac:dyDescent="0.25">
      <c r="A2317" s="462"/>
    </row>
    <row r="2318" spans="1:1" x14ac:dyDescent="0.25">
      <c r="A2318" s="462"/>
    </row>
    <row r="2319" spans="1:1" x14ac:dyDescent="0.25">
      <c r="A2319" s="462"/>
    </row>
    <row r="2320" spans="1:1" x14ac:dyDescent="0.25">
      <c r="A2320" s="462"/>
    </row>
    <row r="2321" spans="1:1" x14ac:dyDescent="0.25">
      <c r="A2321" s="462"/>
    </row>
    <row r="2322" spans="1:1" x14ac:dyDescent="0.25">
      <c r="A2322" s="462"/>
    </row>
    <row r="2323" spans="1:1" x14ac:dyDescent="0.25">
      <c r="A2323" s="462"/>
    </row>
    <row r="2324" spans="1:1" x14ac:dyDescent="0.25">
      <c r="A2324" s="462"/>
    </row>
    <row r="2325" spans="1:1" x14ac:dyDescent="0.25">
      <c r="A2325" s="462"/>
    </row>
    <row r="2326" spans="1:1" x14ac:dyDescent="0.25">
      <c r="A2326" s="462"/>
    </row>
    <row r="2327" spans="1:1" x14ac:dyDescent="0.25">
      <c r="A2327" s="462"/>
    </row>
    <row r="2328" spans="1:1" x14ac:dyDescent="0.25">
      <c r="A2328" s="462"/>
    </row>
    <row r="2329" spans="1:1" x14ac:dyDescent="0.25">
      <c r="A2329" s="462"/>
    </row>
    <row r="2330" spans="1:1" x14ac:dyDescent="0.25">
      <c r="A2330" s="462"/>
    </row>
    <row r="2331" spans="1:1" x14ac:dyDescent="0.25">
      <c r="A2331" s="462"/>
    </row>
    <row r="2332" spans="1:1" x14ac:dyDescent="0.25">
      <c r="A2332" s="462"/>
    </row>
    <row r="2333" spans="1:1" x14ac:dyDescent="0.25">
      <c r="A2333" s="462"/>
    </row>
    <row r="2334" spans="1:1" x14ac:dyDescent="0.25">
      <c r="A2334" s="462"/>
    </row>
    <row r="2335" spans="1:1" x14ac:dyDescent="0.25">
      <c r="A2335" s="462"/>
    </row>
    <row r="2336" spans="1:1" x14ac:dyDescent="0.25">
      <c r="A2336" s="462"/>
    </row>
    <row r="2337" spans="1:1" x14ac:dyDescent="0.25">
      <c r="A2337" s="462"/>
    </row>
    <row r="2338" spans="1:1" x14ac:dyDescent="0.25">
      <c r="A2338" s="462"/>
    </row>
    <row r="2339" spans="1:1" x14ac:dyDescent="0.25">
      <c r="A2339" s="462"/>
    </row>
    <row r="2340" spans="1:1" x14ac:dyDescent="0.25">
      <c r="A2340" s="462"/>
    </row>
    <row r="2341" spans="1:1" x14ac:dyDescent="0.25">
      <c r="A2341" s="462"/>
    </row>
    <row r="2342" spans="1:1" x14ac:dyDescent="0.25">
      <c r="A2342" s="462"/>
    </row>
    <row r="2343" spans="1:1" x14ac:dyDescent="0.25">
      <c r="A2343" s="462"/>
    </row>
    <row r="2344" spans="1:1" x14ac:dyDescent="0.25">
      <c r="A2344" s="462"/>
    </row>
    <row r="2345" spans="1:1" x14ac:dyDescent="0.25">
      <c r="A2345" s="462"/>
    </row>
    <row r="2346" spans="1:1" x14ac:dyDescent="0.25">
      <c r="A2346" s="462"/>
    </row>
    <row r="2347" spans="1:1" x14ac:dyDescent="0.25">
      <c r="A2347" s="462"/>
    </row>
    <row r="2348" spans="1:1" x14ac:dyDescent="0.25">
      <c r="A2348" s="462"/>
    </row>
    <row r="2349" spans="1:1" x14ac:dyDescent="0.25">
      <c r="A2349" s="462"/>
    </row>
    <row r="2350" spans="1:1" x14ac:dyDescent="0.25">
      <c r="A2350" s="462"/>
    </row>
    <row r="2351" spans="1:1" x14ac:dyDescent="0.25">
      <c r="A2351" s="462"/>
    </row>
    <row r="2352" spans="1:1" x14ac:dyDescent="0.25">
      <c r="A2352" s="462"/>
    </row>
    <row r="2353" spans="1:1" x14ac:dyDescent="0.25">
      <c r="A2353" s="462"/>
    </row>
    <row r="2354" spans="1:1" x14ac:dyDescent="0.25">
      <c r="A2354" s="462"/>
    </row>
    <row r="2355" spans="1:1" x14ac:dyDescent="0.25">
      <c r="A2355" s="462"/>
    </row>
    <row r="2356" spans="1:1" x14ac:dyDescent="0.25">
      <c r="A2356" s="462"/>
    </row>
    <row r="2357" spans="1:1" x14ac:dyDescent="0.25">
      <c r="A2357" s="462"/>
    </row>
    <row r="2358" spans="1:1" x14ac:dyDescent="0.25">
      <c r="A2358" s="462"/>
    </row>
    <row r="2359" spans="1:1" x14ac:dyDescent="0.25">
      <c r="A2359" s="462"/>
    </row>
    <row r="2360" spans="1:1" x14ac:dyDescent="0.25">
      <c r="A2360" s="462"/>
    </row>
    <row r="2361" spans="1:1" x14ac:dyDescent="0.25">
      <c r="A2361" s="462"/>
    </row>
    <row r="2362" spans="1:1" x14ac:dyDescent="0.25">
      <c r="A2362" s="462"/>
    </row>
    <row r="2363" spans="1:1" x14ac:dyDescent="0.25">
      <c r="A2363" s="462"/>
    </row>
    <row r="2364" spans="1:1" x14ac:dyDescent="0.25">
      <c r="A2364" s="462"/>
    </row>
    <row r="2365" spans="1:1" x14ac:dyDescent="0.25">
      <c r="A2365" s="462"/>
    </row>
    <row r="2366" spans="1:1" x14ac:dyDescent="0.25">
      <c r="A2366" s="462"/>
    </row>
    <row r="2367" spans="1:1" x14ac:dyDescent="0.25">
      <c r="A2367" s="462"/>
    </row>
    <row r="2368" spans="1:1" x14ac:dyDescent="0.25">
      <c r="A2368" s="462"/>
    </row>
    <row r="2369" spans="1:1" x14ac:dyDescent="0.25">
      <c r="A2369" s="462"/>
    </row>
    <row r="2370" spans="1:1" x14ac:dyDescent="0.25">
      <c r="A2370" s="462"/>
    </row>
    <row r="2371" spans="1:1" x14ac:dyDescent="0.25">
      <c r="A2371" s="462"/>
    </row>
    <row r="2372" spans="1:1" x14ac:dyDescent="0.25">
      <c r="A2372" s="462"/>
    </row>
    <row r="2373" spans="1:1" x14ac:dyDescent="0.25">
      <c r="A2373" s="462"/>
    </row>
    <row r="2374" spans="1:1" x14ac:dyDescent="0.25">
      <c r="A2374" s="462"/>
    </row>
    <row r="2375" spans="1:1" x14ac:dyDescent="0.25">
      <c r="A2375" s="462"/>
    </row>
    <row r="2376" spans="1:1" x14ac:dyDescent="0.25">
      <c r="A2376" s="462"/>
    </row>
    <row r="2377" spans="1:1" x14ac:dyDescent="0.25">
      <c r="A2377" s="462"/>
    </row>
    <row r="2378" spans="1:1" x14ac:dyDescent="0.25">
      <c r="A2378" s="462"/>
    </row>
    <row r="2379" spans="1:1" x14ac:dyDescent="0.25">
      <c r="A2379" s="462"/>
    </row>
    <row r="2380" spans="1:1" x14ac:dyDescent="0.25">
      <c r="A2380" s="462"/>
    </row>
    <row r="2381" spans="1:1" x14ac:dyDescent="0.25">
      <c r="A2381" s="462"/>
    </row>
    <row r="2382" spans="1:1" x14ac:dyDescent="0.25">
      <c r="A2382" s="462"/>
    </row>
    <row r="2383" spans="1:1" x14ac:dyDescent="0.25">
      <c r="A2383" s="462"/>
    </row>
    <row r="2384" spans="1:1" x14ac:dyDescent="0.25">
      <c r="A2384" s="462"/>
    </row>
    <row r="2385" spans="1:1" x14ac:dyDescent="0.25">
      <c r="A2385" s="462"/>
    </row>
    <row r="2386" spans="1:1" x14ac:dyDescent="0.25">
      <c r="A2386" s="462"/>
    </row>
    <row r="2387" spans="1:1" x14ac:dyDescent="0.25">
      <c r="A2387" s="462"/>
    </row>
    <row r="2388" spans="1:1" x14ac:dyDescent="0.25">
      <c r="A2388" s="462"/>
    </row>
    <row r="2389" spans="1:1" x14ac:dyDescent="0.25">
      <c r="A2389" s="462"/>
    </row>
    <row r="2390" spans="1:1" x14ac:dyDescent="0.25">
      <c r="A2390" s="462"/>
    </row>
    <row r="2391" spans="1:1" x14ac:dyDescent="0.25">
      <c r="A2391" s="462"/>
    </row>
    <row r="2392" spans="1:1" x14ac:dyDescent="0.25">
      <c r="A2392" s="462"/>
    </row>
    <row r="2393" spans="1:1" x14ac:dyDescent="0.25">
      <c r="A2393" s="462"/>
    </row>
    <row r="2394" spans="1:1" x14ac:dyDescent="0.25">
      <c r="A2394" s="462"/>
    </row>
    <row r="2395" spans="1:1" x14ac:dyDescent="0.25">
      <c r="A2395" s="462"/>
    </row>
    <row r="2396" spans="1:1" x14ac:dyDescent="0.25">
      <c r="A2396" s="462"/>
    </row>
    <row r="2397" spans="1:1" x14ac:dyDescent="0.25">
      <c r="A2397" s="462"/>
    </row>
    <row r="2398" spans="1:1" x14ac:dyDescent="0.25">
      <c r="A2398" s="462"/>
    </row>
    <row r="2399" spans="1:1" x14ac:dyDescent="0.25">
      <c r="A2399" s="462"/>
    </row>
    <row r="2400" spans="1:1" x14ac:dyDescent="0.25">
      <c r="A2400" s="462"/>
    </row>
    <row r="2401" spans="1:1" x14ac:dyDescent="0.25">
      <c r="A2401" s="462"/>
    </row>
    <row r="2402" spans="1:1" x14ac:dyDescent="0.25">
      <c r="A2402" s="462"/>
    </row>
    <row r="2403" spans="1:1" x14ac:dyDescent="0.25">
      <c r="A2403" s="462"/>
    </row>
    <row r="2404" spans="1:1" x14ac:dyDescent="0.25">
      <c r="A2404" s="462"/>
    </row>
    <row r="2405" spans="1:1" x14ac:dyDescent="0.25">
      <c r="A2405" s="462"/>
    </row>
    <row r="2406" spans="1:1" x14ac:dyDescent="0.25">
      <c r="A2406" s="462"/>
    </row>
    <row r="2407" spans="1:1" x14ac:dyDescent="0.25">
      <c r="A2407" s="462"/>
    </row>
    <row r="2408" spans="1:1" x14ac:dyDescent="0.25">
      <c r="A2408" s="462"/>
    </row>
    <row r="2409" spans="1:1" x14ac:dyDescent="0.25">
      <c r="A2409" s="462"/>
    </row>
    <row r="2410" spans="1:1" x14ac:dyDescent="0.25">
      <c r="A2410" s="462"/>
    </row>
    <row r="2411" spans="1:1" x14ac:dyDescent="0.25">
      <c r="A2411" s="462"/>
    </row>
    <row r="2412" spans="1:1" x14ac:dyDescent="0.25">
      <c r="A2412" s="462"/>
    </row>
    <row r="2413" spans="1:1" x14ac:dyDescent="0.25">
      <c r="A2413" s="462"/>
    </row>
    <row r="2414" spans="1:1" x14ac:dyDescent="0.25">
      <c r="A2414" s="462"/>
    </row>
    <row r="2415" spans="1:1" x14ac:dyDescent="0.25">
      <c r="A2415" s="462"/>
    </row>
    <row r="2416" spans="1:1" x14ac:dyDescent="0.25">
      <c r="A2416" s="462"/>
    </row>
    <row r="2417" spans="1:1" x14ac:dyDescent="0.25">
      <c r="A2417" s="462"/>
    </row>
    <row r="2418" spans="1:1" x14ac:dyDescent="0.25">
      <c r="A2418" s="462"/>
    </row>
    <row r="2419" spans="1:1" x14ac:dyDescent="0.25">
      <c r="A2419" s="462"/>
    </row>
    <row r="2420" spans="1:1" x14ac:dyDescent="0.25">
      <c r="A2420" s="462"/>
    </row>
    <row r="2421" spans="1:1" x14ac:dyDescent="0.25">
      <c r="A2421" s="462"/>
    </row>
    <row r="2422" spans="1:1" x14ac:dyDescent="0.25">
      <c r="A2422" s="462"/>
    </row>
    <row r="2423" spans="1:1" x14ac:dyDescent="0.25">
      <c r="A2423" s="462"/>
    </row>
    <row r="2424" spans="1:1" x14ac:dyDescent="0.25">
      <c r="A2424" s="462"/>
    </row>
    <row r="2425" spans="1:1" x14ac:dyDescent="0.25">
      <c r="A2425" s="462"/>
    </row>
    <row r="2426" spans="1:1" x14ac:dyDescent="0.25">
      <c r="A2426" s="462"/>
    </row>
    <row r="2427" spans="1:1" x14ac:dyDescent="0.25">
      <c r="A2427" s="462"/>
    </row>
    <row r="2428" spans="1:1" x14ac:dyDescent="0.25">
      <c r="A2428" s="462"/>
    </row>
    <row r="2429" spans="1:1" x14ac:dyDescent="0.25">
      <c r="A2429" s="462"/>
    </row>
    <row r="2430" spans="1:1" x14ac:dyDescent="0.25">
      <c r="A2430" s="462"/>
    </row>
    <row r="2431" spans="1:1" x14ac:dyDescent="0.25">
      <c r="A2431" s="462"/>
    </row>
    <row r="2432" spans="1:1" x14ac:dyDescent="0.25">
      <c r="A2432" s="462"/>
    </row>
    <row r="2433" spans="1:1" x14ac:dyDescent="0.25">
      <c r="A2433" s="462"/>
    </row>
    <row r="2434" spans="1:1" x14ac:dyDescent="0.25">
      <c r="A2434" s="462"/>
    </row>
    <row r="2435" spans="1:1" x14ac:dyDescent="0.25">
      <c r="A2435" s="462"/>
    </row>
    <row r="2436" spans="1:1" x14ac:dyDescent="0.25">
      <c r="A2436" s="462"/>
    </row>
    <row r="2437" spans="1:1" x14ac:dyDescent="0.25">
      <c r="A2437" s="462"/>
    </row>
    <row r="2438" spans="1:1" x14ac:dyDescent="0.25">
      <c r="A2438" s="462"/>
    </row>
    <row r="2439" spans="1:1" x14ac:dyDescent="0.25">
      <c r="A2439" s="462"/>
    </row>
    <row r="2440" spans="1:1" x14ac:dyDescent="0.25">
      <c r="A2440" s="462"/>
    </row>
    <row r="2441" spans="1:1" x14ac:dyDescent="0.25">
      <c r="A2441" s="462"/>
    </row>
    <row r="2442" spans="1:1" x14ac:dyDescent="0.25">
      <c r="A2442" s="462"/>
    </row>
    <row r="2443" spans="1:1" x14ac:dyDescent="0.25">
      <c r="A2443" s="462"/>
    </row>
    <row r="2444" spans="1:1" x14ac:dyDescent="0.25">
      <c r="A2444" s="462"/>
    </row>
    <row r="2445" spans="1:1" x14ac:dyDescent="0.25">
      <c r="A2445" s="462"/>
    </row>
    <row r="2446" spans="1:1" x14ac:dyDescent="0.25">
      <c r="A2446" s="462"/>
    </row>
    <row r="2447" spans="1:1" x14ac:dyDescent="0.25">
      <c r="A2447" s="462"/>
    </row>
    <row r="2448" spans="1:1" x14ac:dyDescent="0.25">
      <c r="A2448" s="462"/>
    </row>
    <row r="2449" spans="1:1" x14ac:dyDescent="0.25">
      <c r="A2449" s="462"/>
    </row>
    <row r="2450" spans="1:1" x14ac:dyDescent="0.25">
      <c r="A2450" s="462"/>
    </row>
    <row r="2451" spans="1:1" x14ac:dyDescent="0.25">
      <c r="A2451" s="462"/>
    </row>
    <row r="2452" spans="1:1" x14ac:dyDescent="0.25">
      <c r="A2452" s="462"/>
    </row>
    <row r="2453" spans="1:1" x14ac:dyDescent="0.25">
      <c r="A2453" s="462"/>
    </row>
    <row r="2454" spans="1:1" x14ac:dyDescent="0.25">
      <c r="A2454" s="462"/>
    </row>
    <row r="2455" spans="1:1" x14ac:dyDescent="0.25">
      <c r="A2455" s="462"/>
    </row>
    <row r="2456" spans="1:1" x14ac:dyDescent="0.25">
      <c r="A2456" s="462"/>
    </row>
    <row r="2457" spans="1:1" x14ac:dyDescent="0.25">
      <c r="A2457" s="462"/>
    </row>
    <row r="2458" spans="1:1" x14ac:dyDescent="0.25">
      <c r="A2458" s="462"/>
    </row>
    <row r="2459" spans="1:1" x14ac:dyDescent="0.25">
      <c r="A2459" s="462"/>
    </row>
    <row r="2460" spans="1:1" x14ac:dyDescent="0.25">
      <c r="A2460" s="462"/>
    </row>
    <row r="2461" spans="1:1" x14ac:dyDescent="0.25">
      <c r="A2461" s="462"/>
    </row>
    <row r="2462" spans="1:1" x14ac:dyDescent="0.25">
      <c r="A2462" s="462"/>
    </row>
    <row r="2463" spans="1:1" x14ac:dyDescent="0.25">
      <c r="A2463" s="462"/>
    </row>
    <row r="2464" spans="1:1" x14ac:dyDescent="0.25">
      <c r="A2464" s="462"/>
    </row>
    <row r="2465" spans="1:1" x14ac:dyDescent="0.25">
      <c r="A2465" s="462"/>
    </row>
    <row r="2466" spans="1:1" x14ac:dyDescent="0.25">
      <c r="A2466" s="462"/>
    </row>
    <row r="2467" spans="1:1" x14ac:dyDescent="0.25">
      <c r="A2467" s="462"/>
    </row>
    <row r="2468" spans="1:1" x14ac:dyDescent="0.25">
      <c r="A2468" s="462"/>
    </row>
    <row r="2469" spans="1:1" x14ac:dyDescent="0.25">
      <c r="A2469" s="462"/>
    </row>
    <row r="2470" spans="1:1" x14ac:dyDescent="0.25">
      <c r="A2470" s="462"/>
    </row>
    <row r="2471" spans="1:1" x14ac:dyDescent="0.25">
      <c r="A2471" s="462"/>
    </row>
    <row r="2472" spans="1:1" x14ac:dyDescent="0.25">
      <c r="A2472" s="462"/>
    </row>
    <row r="2473" spans="1:1" x14ac:dyDescent="0.25">
      <c r="A2473" s="462"/>
    </row>
    <row r="2474" spans="1:1" x14ac:dyDescent="0.25">
      <c r="A2474" s="462"/>
    </row>
    <row r="2475" spans="1:1" x14ac:dyDescent="0.25">
      <c r="A2475" s="462"/>
    </row>
    <row r="2476" spans="1:1" x14ac:dyDescent="0.25">
      <c r="A2476" s="462"/>
    </row>
    <row r="2477" spans="1:1" x14ac:dyDescent="0.25">
      <c r="A2477" s="462"/>
    </row>
    <row r="2478" spans="1:1" x14ac:dyDescent="0.25">
      <c r="A2478" s="462"/>
    </row>
    <row r="2479" spans="1:1" x14ac:dyDescent="0.25">
      <c r="A2479" s="462"/>
    </row>
    <row r="2480" spans="1:1" x14ac:dyDescent="0.25">
      <c r="A2480" s="462"/>
    </row>
    <row r="2481" spans="1:1" x14ac:dyDescent="0.25">
      <c r="A2481" s="462"/>
    </row>
    <row r="2482" spans="1:1" x14ac:dyDescent="0.25">
      <c r="A2482" s="462"/>
    </row>
    <row r="2483" spans="1:1" x14ac:dyDescent="0.25">
      <c r="A2483" s="462"/>
    </row>
    <row r="2484" spans="1:1" x14ac:dyDescent="0.25">
      <c r="A2484" s="462"/>
    </row>
    <row r="2485" spans="1:1" x14ac:dyDescent="0.25">
      <c r="A2485" s="462"/>
    </row>
    <row r="2486" spans="1:1" x14ac:dyDescent="0.25">
      <c r="A2486" s="462"/>
    </row>
    <row r="2487" spans="1:1" x14ac:dyDescent="0.25">
      <c r="A2487" s="462"/>
    </row>
    <row r="2488" spans="1:1" x14ac:dyDescent="0.25">
      <c r="A2488" s="462"/>
    </row>
    <row r="2489" spans="1:1" x14ac:dyDescent="0.25">
      <c r="A2489" s="462"/>
    </row>
    <row r="2490" spans="1:1" x14ac:dyDescent="0.25">
      <c r="A2490" s="462"/>
    </row>
    <row r="2491" spans="1:1" x14ac:dyDescent="0.25">
      <c r="A2491" s="462"/>
    </row>
    <row r="2492" spans="1:1" x14ac:dyDescent="0.25">
      <c r="A2492" s="462"/>
    </row>
    <row r="2493" spans="1:1" x14ac:dyDescent="0.25">
      <c r="A2493" s="462"/>
    </row>
    <row r="2494" spans="1:1" x14ac:dyDescent="0.25">
      <c r="A2494" s="462"/>
    </row>
    <row r="2495" spans="1:1" x14ac:dyDescent="0.25">
      <c r="A2495" s="462"/>
    </row>
    <row r="2496" spans="1:1" x14ac:dyDescent="0.25">
      <c r="A2496" s="462"/>
    </row>
    <row r="2497" spans="1:1" x14ac:dyDescent="0.25">
      <c r="A2497" s="462"/>
    </row>
    <row r="2498" spans="1:1" x14ac:dyDescent="0.25">
      <c r="A2498" s="462"/>
    </row>
    <row r="2499" spans="1:1" x14ac:dyDescent="0.25">
      <c r="A2499" s="462"/>
    </row>
    <row r="2500" spans="1:1" x14ac:dyDescent="0.25">
      <c r="A2500" s="462"/>
    </row>
    <row r="2501" spans="1:1" x14ac:dyDescent="0.25">
      <c r="A2501" s="462"/>
    </row>
    <row r="2502" spans="1:1" x14ac:dyDescent="0.25">
      <c r="A2502" s="462"/>
    </row>
    <row r="2503" spans="1:1" x14ac:dyDescent="0.25">
      <c r="A2503" s="462"/>
    </row>
    <row r="2504" spans="1:1" x14ac:dyDescent="0.25">
      <c r="A2504" s="462"/>
    </row>
    <row r="2505" spans="1:1" x14ac:dyDescent="0.25">
      <c r="A2505" s="462"/>
    </row>
    <row r="2506" spans="1:1" x14ac:dyDescent="0.25">
      <c r="A2506" s="462"/>
    </row>
    <row r="2507" spans="1:1" x14ac:dyDescent="0.25">
      <c r="A2507" s="462"/>
    </row>
    <row r="2508" spans="1:1" x14ac:dyDescent="0.25">
      <c r="A2508" s="462"/>
    </row>
    <row r="2509" spans="1:1" x14ac:dyDescent="0.25">
      <c r="A2509" s="462"/>
    </row>
    <row r="2510" spans="1:1" x14ac:dyDescent="0.25">
      <c r="A2510" s="462"/>
    </row>
    <row r="2511" spans="1:1" x14ac:dyDescent="0.25">
      <c r="A2511" s="462"/>
    </row>
    <row r="2512" spans="1:1" x14ac:dyDescent="0.25">
      <c r="A2512" s="462"/>
    </row>
    <row r="2513" spans="1:1" x14ac:dyDescent="0.25">
      <c r="A2513" s="462"/>
    </row>
    <row r="2514" spans="1:1" x14ac:dyDescent="0.25">
      <c r="A2514" s="462"/>
    </row>
    <row r="2515" spans="1:1" x14ac:dyDescent="0.25">
      <c r="A2515" s="462"/>
    </row>
    <row r="2516" spans="1:1" x14ac:dyDescent="0.25">
      <c r="A2516" s="462"/>
    </row>
    <row r="2517" spans="1:1" x14ac:dyDescent="0.25">
      <c r="A2517" s="462"/>
    </row>
    <row r="2518" spans="1:1" x14ac:dyDescent="0.25">
      <c r="A2518" s="462"/>
    </row>
    <row r="2519" spans="1:1" x14ac:dyDescent="0.25">
      <c r="A2519" s="462"/>
    </row>
    <row r="2520" spans="1:1" x14ac:dyDescent="0.25">
      <c r="A2520" s="462"/>
    </row>
    <row r="2521" spans="1:1" x14ac:dyDescent="0.25">
      <c r="A2521" s="462"/>
    </row>
    <row r="2522" spans="1:1" x14ac:dyDescent="0.25">
      <c r="A2522" s="462"/>
    </row>
    <row r="2523" spans="1:1" x14ac:dyDescent="0.25">
      <c r="A2523" s="462"/>
    </row>
    <row r="2524" spans="1:1" x14ac:dyDescent="0.25">
      <c r="A2524" s="462"/>
    </row>
    <row r="2525" spans="1:1" x14ac:dyDescent="0.25">
      <c r="A2525" s="462"/>
    </row>
    <row r="2526" spans="1:1" x14ac:dyDescent="0.25">
      <c r="A2526" s="462"/>
    </row>
    <row r="2527" spans="1:1" x14ac:dyDescent="0.25">
      <c r="A2527" s="462"/>
    </row>
    <row r="2528" spans="1:1" x14ac:dyDescent="0.25">
      <c r="A2528" s="462"/>
    </row>
    <row r="2529" spans="1:1" x14ac:dyDescent="0.25">
      <c r="A2529" s="462"/>
    </row>
    <row r="2530" spans="1:1" x14ac:dyDescent="0.25">
      <c r="A2530" s="462"/>
    </row>
    <row r="2531" spans="1:1" x14ac:dyDescent="0.25">
      <c r="A2531" s="462"/>
    </row>
    <row r="2532" spans="1:1" x14ac:dyDescent="0.25">
      <c r="A2532" s="462"/>
    </row>
    <row r="2533" spans="1:1" x14ac:dyDescent="0.25">
      <c r="A2533" s="462"/>
    </row>
    <row r="2534" spans="1:1" x14ac:dyDescent="0.25">
      <c r="A2534" s="462"/>
    </row>
    <row r="2535" spans="1:1" x14ac:dyDescent="0.25">
      <c r="A2535" s="462"/>
    </row>
    <row r="2536" spans="1:1" x14ac:dyDescent="0.25">
      <c r="A2536" s="462"/>
    </row>
    <row r="2537" spans="1:1" x14ac:dyDescent="0.25">
      <c r="A2537" s="462"/>
    </row>
    <row r="2538" spans="1:1" x14ac:dyDescent="0.25">
      <c r="A2538" s="462"/>
    </row>
    <row r="2539" spans="1:1" x14ac:dyDescent="0.25">
      <c r="A2539" s="462"/>
    </row>
    <row r="2540" spans="1:1" x14ac:dyDescent="0.25">
      <c r="A2540" s="462"/>
    </row>
    <row r="2541" spans="1:1" x14ac:dyDescent="0.25">
      <c r="A2541" s="462"/>
    </row>
    <row r="2542" spans="1:1" x14ac:dyDescent="0.25">
      <c r="A2542" s="462"/>
    </row>
    <row r="2543" spans="1:1" x14ac:dyDescent="0.25">
      <c r="A2543" s="462"/>
    </row>
    <row r="2544" spans="1:1" x14ac:dyDescent="0.25">
      <c r="A2544" s="462"/>
    </row>
    <row r="2545" spans="1:1" x14ac:dyDescent="0.25">
      <c r="A2545" s="462"/>
    </row>
    <row r="2546" spans="1:1" x14ac:dyDescent="0.25">
      <c r="A2546" s="462"/>
    </row>
    <row r="2547" spans="1:1" x14ac:dyDescent="0.25">
      <c r="A2547" s="462"/>
    </row>
    <row r="2548" spans="1:1" x14ac:dyDescent="0.25">
      <c r="A2548" s="462"/>
    </row>
    <row r="2549" spans="1:1" x14ac:dyDescent="0.25">
      <c r="A2549" s="462"/>
    </row>
    <row r="2550" spans="1:1" x14ac:dyDescent="0.25">
      <c r="A2550" s="462"/>
    </row>
    <row r="2551" spans="1:1" x14ac:dyDescent="0.25">
      <c r="A2551" s="462"/>
    </row>
    <row r="2552" spans="1:1" x14ac:dyDescent="0.25">
      <c r="A2552" s="462"/>
    </row>
    <row r="2553" spans="1:1" x14ac:dyDescent="0.25">
      <c r="A2553" s="462"/>
    </row>
    <row r="2554" spans="1:1" x14ac:dyDescent="0.25">
      <c r="A2554" s="462"/>
    </row>
    <row r="2555" spans="1:1" x14ac:dyDescent="0.25">
      <c r="A2555" s="462"/>
    </row>
    <row r="2556" spans="1:1" x14ac:dyDescent="0.25">
      <c r="A2556" s="462"/>
    </row>
    <row r="2557" spans="1:1" x14ac:dyDescent="0.25">
      <c r="A2557" s="462"/>
    </row>
    <row r="2558" spans="1:1" x14ac:dyDescent="0.25">
      <c r="A2558" s="462"/>
    </row>
    <row r="2559" spans="1:1" x14ac:dyDescent="0.25">
      <c r="A2559" s="462"/>
    </row>
    <row r="2560" spans="1:1" x14ac:dyDescent="0.25">
      <c r="A2560" s="462"/>
    </row>
    <row r="2561" spans="1:1" x14ac:dyDescent="0.25">
      <c r="A2561" s="462"/>
    </row>
    <row r="2562" spans="1:1" x14ac:dyDescent="0.25">
      <c r="A2562" s="462"/>
    </row>
    <row r="2563" spans="1:1" x14ac:dyDescent="0.25">
      <c r="A2563" s="462"/>
    </row>
    <row r="2564" spans="1:1" x14ac:dyDescent="0.25">
      <c r="A2564" s="462"/>
    </row>
    <row r="2565" spans="1:1" x14ac:dyDescent="0.25">
      <c r="A2565" s="462"/>
    </row>
    <row r="2566" spans="1:1" x14ac:dyDescent="0.25">
      <c r="A2566" s="462"/>
    </row>
    <row r="2567" spans="1:1" x14ac:dyDescent="0.25">
      <c r="A2567" s="462"/>
    </row>
    <row r="2568" spans="1:1" x14ac:dyDescent="0.25">
      <c r="A2568" s="462"/>
    </row>
    <row r="2569" spans="1:1" x14ac:dyDescent="0.25">
      <c r="A2569" s="462"/>
    </row>
    <row r="2570" spans="1:1" x14ac:dyDescent="0.25">
      <c r="A2570" s="462"/>
    </row>
    <row r="2571" spans="1:1" x14ac:dyDescent="0.25">
      <c r="A2571" s="462"/>
    </row>
    <row r="2572" spans="1:1" x14ac:dyDescent="0.25">
      <c r="A2572" s="462"/>
    </row>
    <row r="2573" spans="1:1" x14ac:dyDescent="0.25">
      <c r="A2573" s="462"/>
    </row>
    <row r="2574" spans="1:1" x14ac:dyDescent="0.25">
      <c r="A2574" s="462"/>
    </row>
    <row r="2575" spans="1:1" x14ac:dyDescent="0.25">
      <c r="A2575" s="462"/>
    </row>
    <row r="2576" spans="1:1" x14ac:dyDescent="0.25">
      <c r="A2576" s="462"/>
    </row>
    <row r="2577" spans="1:1" x14ac:dyDescent="0.25">
      <c r="A2577" s="462"/>
    </row>
    <row r="2578" spans="1:1" x14ac:dyDescent="0.25">
      <c r="A2578" s="462"/>
    </row>
    <row r="2579" spans="1:1" x14ac:dyDescent="0.25">
      <c r="A2579" s="462"/>
    </row>
    <row r="2580" spans="1:1" x14ac:dyDescent="0.25">
      <c r="A2580" s="462"/>
    </row>
    <row r="2581" spans="1:1" x14ac:dyDescent="0.25">
      <c r="A2581" s="462"/>
    </row>
    <row r="2582" spans="1:1" x14ac:dyDescent="0.25">
      <c r="A2582" s="462"/>
    </row>
    <row r="2583" spans="1:1" x14ac:dyDescent="0.25">
      <c r="A2583" s="462"/>
    </row>
    <row r="2584" spans="1:1" x14ac:dyDescent="0.25">
      <c r="A2584" s="462"/>
    </row>
    <row r="2585" spans="1:1" x14ac:dyDescent="0.25">
      <c r="A2585" s="462"/>
    </row>
    <row r="2586" spans="1:1" x14ac:dyDescent="0.25">
      <c r="A2586" s="462"/>
    </row>
    <row r="2587" spans="1:1" x14ac:dyDescent="0.25">
      <c r="A2587" s="462"/>
    </row>
    <row r="2588" spans="1:1" x14ac:dyDescent="0.25">
      <c r="A2588" s="462"/>
    </row>
    <row r="2589" spans="1:1" x14ac:dyDescent="0.25">
      <c r="A2589" s="462"/>
    </row>
    <row r="2590" spans="1:1" x14ac:dyDescent="0.25">
      <c r="A2590" s="462"/>
    </row>
    <row r="2591" spans="1:1" x14ac:dyDescent="0.25">
      <c r="A2591" s="462"/>
    </row>
    <row r="2592" spans="1:1" x14ac:dyDescent="0.25">
      <c r="A2592" s="462"/>
    </row>
    <row r="2593" spans="1:1" x14ac:dyDescent="0.25">
      <c r="A2593" s="462"/>
    </row>
    <row r="2594" spans="1:1" x14ac:dyDescent="0.25">
      <c r="A2594" s="462"/>
    </row>
    <row r="2595" spans="1:1" x14ac:dyDescent="0.25">
      <c r="A2595" s="462"/>
    </row>
    <row r="2596" spans="1:1" x14ac:dyDescent="0.25">
      <c r="A2596" s="462"/>
    </row>
    <row r="2597" spans="1:1" x14ac:dyDescent="0.25">
      <c r="A2597" s="462"/>
    </row>
    <row r="2598" spans="1:1" x14ac:dyDescent="0.25">
      <c r="A2598" s="462"/>
    </row>
    <row r="2599" spans="1:1" x14ac:dyDescent="0.25">
      <c r="A2599" s="462"/>
    </row>
    <row r="2600" spans="1:1" x14ac:dyDescent="0.25">
      <c r="A2600" s="462"/>
    </row>
    <row r="2601" spans="1:1" x14ac:dyDescent="0.25">
      <c r="A2601" s="462"/>
    </row>
    <row r="2602" spans="1:1" x14ac:dyDescent="0.25">
      <c r="A2602" s="462"/>
    </row>
    <row r="2603" spans="1:1" x14ac:dyDescent="0.25">
      <c r="A2603" s="462"/>
    </row>
    <row r="2604" spans="1:1" x14ac:dyDescent="0.25">
      <c r="A2604" s="462"/>
    </row>
    <row r="2605" spans="1:1" x14ac:dyDescent="0.25">
      <c r="A2605" s="462"/>
    </row>
    <row r="2606" spans="1:1" x14ac:dyDescent="0.25">
      <c r="A2606" s="462"/>
    </row>
    <row r="2607" spans="1:1" x14ac:dyDescent="0.25">
      <c r="A2607" s="462"/>
    </row>
    <row r="2608" spans="1:1" x14ac:dyDescent="0.25">
      <c r="A2608" s="462"/>
    </row>
    <row r="2609" spans="1:1" x14ac:dyDescent="0.25">
      <c r="A2609" s="462"/>
    </row>
    <row r="2610" spans="1:1" x14ac:dyDescent="0.25">
      <c r="A2610" s="462"/>
    </row>
    <row r="2611" spans="1:1" x14ac:dyDescent="0.25">
      <c r="A2611" s="462"/>
    </row>
    <row r="2612" spans="1:1" x14ac:dyDescent="0.25">
      <c r="A2612" s="462"/>
    </row>
    <row r="2613" spans="1:1" x14ac:dyDescent="0.25">
      <c r="A2613" s="462"/>
    </row>
    <row r="2614" spans="1:1" x14ac:dyDescent="0.25">
      <c r="A2614" s="462"/>
    </row>
    <row r="2615" spans="1:1" x14ac:dyDescent="0.25">
      <c r="A2615" s="462"/>
    </row>
    <row r="2616" spans="1:1" x14ac:dyDescent="0.25">
      <c r="A2616" s="462"/>
    </row>
    <row r="2617" spans="1:1" x14ac:dyDescent="0.25">
      <c r="A2617" s="462"/>
    </row>
    <row r="2618" spans="1:1" x14ac:dyDescent="0.25">
      <c r="A2618" s="462"/>
    </row>
    <row r="2619" spans="1:1" x14ac:dyDescent="0.25">
      <c r="A2619" s="462"/>
    </row>
    <row r="2620" spans="1:1" x14ac:dyDescent="0.25">
      <c r="A2620" s="462"/>
    </row>
    <row r="2621" spans="1:1" x14ac:dyDescent="0.25">
      <c r="A2621" s="462"/>
    </row>
    <row r="2622" spans="1:1" x14ac:dyDescent="0.25">
      <c r="A2622" s="462"/>
    </row>
    <row r="2623" spans="1:1" x14ac:dyDescent="0.25">
      <c r="A2623" s="462"/>
    </row>
    <row r="2624" spans="1:1" x14ac:dyDescent="0.25">
      <c r="A2624" s="462"/>
    </row>
    <row r="2625" spans="1:1" x14ac:dyDescent="0.25">
      <c r="A2625" s="462"/>
    </row>
    <row r="2626" spans="1:1" x14ac:dyDescent="0.25">
      <c r="A2626" s="462"/>
    </row>
    <row r="2627" spans="1:1" x14ac:dyDescent="0.25">
      <c r="A2627" s="462"/>
    </row>
    <row r="2628" spans="1:1" x14ac:dyDescent="0.25">
      <c r="A2628" s="462"/>
    </row>
    <row r="2629" spans="1:1" x14ac:dyDescent="0.25">
      <c r="A2629" s="462"/>
    </row>
    <row r="2630" spans="1:1" x14ac:dyDescent="0.25">
      <c r="A2630" s="462"/>
    </row>
    <row r="2631" spans="1:1" x14ac:dyDescent="0.25">
      <c r="A2631" s="462"/>
    </row>
    <row r="2632" spans="1:1" x14ac:dyDescent="0.25">
      <c r="A2632" s="462"/>
    </row>
    <row r="2633" spans="1:1" x14ac:dyDescent="0.25">
      <c r="A2633" s="462"/>
    </row>
    <row r="2634" spans="1:1" x14ac:dyDescent="0.25">
      <c r="A2634" s="462"/>
    </row>
    <row r="2635" spans="1:1" x14ac:dyDescent="0.25">
      <c r="A2635" s="462"/>
    </row>
    <row r="2636" spans="1:1" x14ac:dyDescent="0.25">
      <c r="A2636" s="462"/>
    </row>
    <row r="2637" spans="1:1" x14ac:dyDescent="0.25">
      <c r="A2637" s="462"/>
    </row>
    <row r="2638" spans="1:1" x14ac:dyDescent="0.25">
      <c r="A2638" s="462"/>
    </row>
    <row r="2639" spans="1:1" x14ac:dyDescent="0.25">
      <c r="A2639" s="462"/>
    </row>
    <row r="2640" spans="1:1" x14ac:dyDescent="0.25">
      <c r="A2640" s="462"/>
    </row>
    <row r="2641" spans="1:1" x14ac:dyDescent="0.25">
      <c r="A2641" s="462"/>
    </row>
    <row r="2642" spans="1:1" x14ac:dyDescent="0.25">
      <c r="A2642" s="462"/>
    </row>
    <row r="2643" spans="1:1" x14ac:dyDescent="0.25">
      <c r="A2643" s="462"/>
    </row>
    <row r="2644" spans="1:1" x14ac:dyDescent="0.25">
      <c r="A2644" s="462"/>
    </row>
    <row r="2645" spans="1:1" x14ac:dyDescent="0.25">
      <c r="A2645" s="462"/>
    </row>
    <row r="2646" spans="1:1" x14ac:dyDescent="0.25">
      <c r="A2646" s="462"/>
    </row>
    <row r="2647" spans="1:1" x14ac:dyDescent="0.25">
      <c r="A2647" s="462"/>
    </row>
    <row r="2648" spans="1:1" x14ac:dyDescent="0.25">
      <c r="A2648" s="462"/>
    </row>
    <row r="2649" spans="1:1" x14ac:dyDescent="0.25">
      <c r="A2649" s="462"/>
    </row>
    <row r="2650" spans="1:1" x14ac:dyDescent="0.25">
      <c r="A2650" s="462"/>
    </row>
    <row r="2651" spans="1:1" x14ac:dyDescent="0.25">
      <c r="A2651" s="462"/>
    </row>
    <row r="2652" spans="1:1" x14ac:dyDescent="0.25">
      <c r="A2652" s="462"/>
    </row>
    <row r="2653" spans="1:1" x14ac:dyDescent="0.25">
      <c r="A2653" s="462"/>
    </row>
    <row r="2654" spans="1:1" x14ac:dyDescent="0.25">
      <c r="A2654" s="462"/>
    </row>
    <row r="2655" spans="1:1" x14ac:dyDescent="0.25">
      <c r="A2655" s="462"/>
    </row>
    <row r="2656" spans="1:1" x14ac:dyDescent="0.25">
      <c r="A2656" s="462"/>
    </row>
    <row r="2657" spans="1:1" x14ac:dyDescent="0.25">
      <c r="A2657" s="462"/>
    </row>
    <row r="2658" spans="1:1" x14ac:dyDescent="0.25">
      <c r="A2658" s="462"/>
    </row>
    <row r="2659" spans="1:1" x14ac:dyDescent="0.25">
      <c r="A2659" s="462"/>
    </row>
    <row r="2660" spans="1:1" x14ac:dyDescent="0.25">
      <c r="A2660" s="462"/>
    </row>
    <row r="2661" spans="1:1" x14ac:dyDescent="0.25">
      <c r="A2661" s="462"/>
    </row>
    <row r="2662" spans="1:1" x14ac:dyDescent="0.25">
      <c r="A2662" s="462"/>
    </row>
    <row r="2663" spans="1:1" x14ac:dyDescent="0.25">
      <c r="A2663" s="462"/>
    </row>
    <row r="2664" spans="1:1" x14ac:dyDescent="0.25">
      <c r="A2664" s="462"/>
    </row>
    <row r="2665" spans="1:1" x14ac:dyDescent="0.25">
      <c r="A2665" s="462"/>
    </row>
    <row r="2666" spans="1:1" x14ac:dyDescent="0.25">
      <c r="A2666" s="462"/>
    </row>
    <row r="2667" spans="1:1" x14ac:dyDescent="0.25">
      <c r="A2667" s="462"/>
    </row>
    <row r="2668" spans="1:1" x14ac:dyDescent="0.25">
      <c r="A2668" s="462"/>
    </row>
    <row r="2669" spans="1:1" x14ac:dyDescent="0.25">
      <c r="A2669" s="462"/>
    </row>
    <row r="2670" spans="1:1" x14ac:dyDescent="0.25">
      <c r="A2670" s="462"/>
    </row>
    <row r="2671" spans="1:1" x14ac:dyDescent="0.25">
      <c r="A2671" s="462"/>
    </row>
    <row r="2672" spans="1:1" x14ac:dyDescent="0.25">
      <c r="A2672" s="462"/>
    </row>
    <row r="2673" spans="1:1" x14ac:dyDescent="0.25">
      <c r="A2673" s="462"/>
    </row>
    <row r="2674" spans="1:1" x14ac:dyDescent="0.25">
      <c r="A2674" s="462"/>
    </row>
    <row r="2675" spans="1:1" x14ac:dyDescent="0.25">
      <c r="A2675" s="462"/>
    </row>
    <row r="2676" spans="1:1" x14ac:dyDescent="0.25">
      <c r="A2676" s="462"/>
    </row>
    <row r="2677" spans="1:1" x14ac:dyDescent="0.25">
      <c r="A2677" s="462"/>
    </row>
    <row r="2678" spans="1:1" x14ac:dyDescent="0.25">
      <c r="A2678" s="462"/>
    </row>
    <row r="2679" spans="1:1" x14ac:dyDescent="0.25">
      <c r="A2679" s="462"/>
    </row>
    <row r="2680" spans="1:1" x14ac:dyDescent="0.25">
      <c r="A2680" s="462"/>
    </row>
    <row r="2681" spans="1:1" x14ac:dyDescent="0.25">
      <c r="A2681" s="462"/>
    </row>
    <row r="2682" spans="1:1" x14ac:dyDescent="0.25">
      <c r="A2682" s="462"/>
    </row>
    <row r="2683" spans="1:1" x14ac:dyDescent="0.25">
      <c r="A2683" s="462"/>
    </row>
    <row r="2684" spans="1:1" x14ac:dyDescent="0.25">
      <c r="A2684" s="462"/>
    </row>
    <row r="2685" spans="1:1" x14ac:dyDescent="0.25">
      <c r="A2685" s="462"/>
    </row>
    <row r="2686" spans="1:1" x14ac:dyDescent="0.25">
      <c r="A2686" s="462"/>
    </row>
    <row r="2687" spans="1:1" x14ac:dyDescent="0.25">
      <c r="A2687" s="462"/>
    </row>
    <row r="2688" spans="1:1" x14ac:dyDescent="0.25">
      <c r="A2688" s="462"/>
    </row>
    <row r="2689" spans="1:1" x14ac:dyDescent="0.25">
      <c r="A2689" s="462"/>
    </row>
    <row r="2690" spans="1:1" x14ac:dyDescent="0.25">
      <c r="A2690" s="462"/>
    </row>
    <row r="2691" spans="1:1" x14ac:dyDescent="0.25">
      <c r="A2691" s="462"/>
    </row>
    <row r="2692" spans="1:1" x14ac:dyDescent="0.25">
      <c r="A2692" s="462"/>
    </row>
    <row r="2693" spans="1:1" x14ac:dyDescent="0.25">
      <c r="A2693" s="462"/>
    </row>
    <row r="2694" spans="1:1" x14ac:dyDescent="0.25">
      <c r="A2694" s="462"/>
    </row>
    <row r="2695" spans="1:1" x14ac:dyDescent="0.25">
      <c r="A2695" s="462"/>
    </row>
    <row r="2696" spans="1:1" x14ac:dyDescent="0.25">
      <c r="A2696" s="462"/>
    </row>
    <row r="2697" spans="1:1" x14ac:dyDescent="0.25">
      <c r="A2697" s="462"/>
    </row>
    <row r="2698" spans="1:1" x14ac:dyDescent="0.25">
      <c r="A2698" s="462"/>
    </row>
    <row r="2699" spans="1:1" x14ac:dyDescent="0.25">
      <c r="A2699" s="462"/>
    </row>
    <row r="2700" spans="1:1" x14ac:dyDescent="0.25">
      <c r="A2700" s="462"/>
    </row>
    <row r="2701" spans="1:1" x14ac:dyDescent="0.25">
      <c r="A2701" s="462"/>
    </row>
    <row r="2702" spans="1:1" x14ac:dyDescent="0.25">
      <c r="A2702" s="462"/>
    </row>
    <row r="2703" spans="1:1" x14ac:dyDescent="0.25">
      <c r="A2703" s="462"/>
    </row>
    <row r="2704" spans="1:1" x14ac:dyDescent="0.25">
      <c r="A2704" s="462"/>
    </row>
    <row r="2705" spans="1:1" x14ac:dyDescent="0.25">
      <c r="A2705" s="462"/>
    </row>
    <row r="2706" spans="1:1" x14ac:dyDescent="0.25">
      <c r="A2706" s="462"/>
    </row>
    <row r="2707" spans="1:1" x14ac:dyDescent="0.25">
      <c r="A2707" s="462"/>
    </row>
    <row r="2708" spans="1:1" x14ac:dyDescent="0.25">
      <c r="A2708" s="462"/>
    </row>
    <row r="2709" spans="1:1" x14ac:dyDescent="0.25">
      <c r="A2709" s="462"/>
    </row>
    <row r="2710" spans="1:1" x14ac:dyDescent="0.25">
      <c r="A2710" s="462"/>
    </row>
    <row r="2711" spans="1:1" x14ac:dyDescent="0.25">
      <c r="A2711" s="462"/>
    </row>
    <row r="2712" spans="1:1" x14ac:dyDescent="0.25">
      <c r="A2712" s="462"/>
    </row>
    <row r="2713" spans="1:1" x14ac:dyDescent="0.25">
      <c r="A2713" s="462"/>
    </row>
    <row r="2714" spans="1:1" x14ac:dyDescent="0.25">
      <c r="A2714" s="462"/>
    </row>
    <row r="2715" spans="1:1" x14ac:dyDescent="0.25">
      <c r="A2715" s="462"/>
    </row>
    <row r="2716" spans="1:1" x14ac:dyDescent="0.25">
      <c r="A2716" s="462"/>
    </row>
    <row r="2717" spans="1:1" x14ac:dyDescent="0.25">
      <c r="A2717" s="462"/>
    </row>
    <row r="2718" spans="1:1" x14ac:dyDescent="0.25">
      <c r="A2718" s="462"/>
    </row>
    <row r="2719" spans="1:1" x14ac:dyDescent="0.25">
      <c r="A2719" s="462"/>
    </row>
    <row r="2720" spans="1:1" x14ac:dyDescent="0.25">
      <c r="A2720" s="462"/>
    </row>
    <row r="2721" spans="1:1" x14ac:dyDescent="0.25">
      <c r="A2721" s="462"/>
    </row>
    <row r="2722" spans="1:1" x14ac:dyDescent="0.25">
      <c r="A2722" s="462"/>
    </row>
    <row r="2723" spans="1:1" x14ac:dyDescent="0.25">
      <c r="A2723" s="462"/>
    </row>
    <row r="2724" spans="1:1" x14ac:dyDescent="0.25">
      <c r="A2724" s="462"/>
    </row>
    <row r="2725" spans="1:1" x14ac:dyDescent="0.25">
      <c r="A2725" s="462"/>
    </row>
    <row r="2726" spans="1:1" x14ac:dyDescent="0.25">
      <c r="A2726" s="462"/>
    </row>
    <row r="2727" spans="1:1" x14ac:dyDescent="0.25">
      <c r="A2727" s="462"/>
    </row>
    <row r="2728" spans="1:1" x14ac:dyDescent="0.25">
      <c r="A2728" s="462"/>
    </row>
    <row r="2729" spans="1:1" x14ac:dyDescent="0.25">
      <c r="A2729" s="462"/>
    </row>
    <row r="2730" spans="1:1" x14ac:dyDescent="0.25">
      <c r="A2730" s="462"/>
    </row>
    <row r="2731" spans="1:1" x14ac:dyDescent="0.25">
      <c r="A2731" s="462"/>
    </row>
    <row r="2732" spans="1:1" x14ac:dyDescent="0.25">
      <c r="A2732" s="462"/>
    </row>
    <row r="2733" spans="1:1" x14ac:dyDescent="0.25">
      <c r="A2733" s="462"/>
    </row>
    <row r="2734" spans="1:1" x14ac:dyDescent="0.25">
      <c r="A2734" s="462"/>
    </row>
    <row r="2735" spans="1:1" x14ac:dyDescent="0.25">
      <c r="A2735" s="462"/>
    </row>
    <row r="2736" spans="1:1" x14ac:dyDescent="0.25">
      <c r="A2736" s="462"/>
    </row>
    <row r="2737" spans="1:1" x14ac:dyDescent="0.25">
      <c r="A2737" s="462"/>
    </row>
    <row r="2738" spans="1:1" x14ac:dyDescent="0.25">
      <c r="A2738" s="462"/>
    </row>
    <row r="2739" spans="1:1" x14ac:dyDescent="0.25">
      <c r="A2739" s="462"/>
    </row>
    <row r="2740" spans="1:1" x14ac:dyDescent="0.25">
      <c r="A2740" s="462"/>
    </row>
    <row r="2741" spans="1:1" x14ac:dyDescent="0.25">
      <c r="A2741" s="462"/>
    </row>
    <row r="2742" spans="1:1" x14ac:dyDescent="0.25">
      <c r="A2742" s="462"/>
    </row>
    <row r="2743" spans="1:1" x14ac:dyDescent="0.25">
      <c r="A2743" s="462"/>
    </row>
    <row r="2744" spans="1:1" x14ac:dyDescent="0.25">
      <c r="A2744" s="462"/>
    </row>
    <row r="2745" spans="1:1" x14ac:dyDescent="0.25">
      <c r="A2745" s="462"/>
    </row>
    <row r="2746" spans="1:1" x14ac:dyDescent="0.25">
      <c r="A2746" s="462"/>
    </row>
    <row r="2747" spans="1:1" x14ac:dyDescent="0.25">
      <c r="A2747" s="462"/>
    </row>
    <row r="2748" spans="1:1" x14ac:dyDescent="0.25">
      <c r="A2748" s="462"/>
    </row>
    <row r="2749" spans="1:1" x14ac:dyDescent="0.25">
      <c r="A2749" s="462"/>
    </row>
    <row r="2750" spans="1:1" x14ac:dyDescent="0.25">
      <c r="A2750" s="462"/>
    </row>
    <row r="2751" spans="1:1" x14ac:dyDescent="0.25">
      <c r="A2751" s="462"/>
    </row>
    <row r="2752" spans="1:1" x14ac:dyDescent="0.25">
      <c r="A2752" s="462"/>
    </row>
    <row r="2753" spans="1:1" x14ac:dyDescent="0.25">
      <c r="A2753" s="462"/>
    </row>
    <row r="2754" spans="1:1" x14ac:dyDescent="0.25">
      <c r="A2754" s="462"/>
    </row>
    <row r="2755" spans="1:1" x14ac:dyDescent="0.25">
      <c r="A2755" s="462"/>
    </row>
    <row r="2756" spans="1:1" x14ac:dyDescent="0.25">
      <c r="A2756" s="462"/>
    </row>
    <row r="2757" spans="1:1" x14ac:dyDescent="0.25">
      <c r="A2757" s="462"/>
    </row>
    <row r="2758" spans="1:1" x14ac:dyDescent="0.25">
      <c r="A2758" s="462"/>
    </row>
    <row r="2759" spans="1:1" x14ac:dyDescent="0.25">
      <c r="A2759" s="462"/>
    </row>
    <row r="2760" spans="1:1" x14ac:dyDescent="0.25">
      <c r="A2760" s="462"/>
    </row>
    <row r="2761" spans="1:1" x14ac:dyDescent="0.25">
      <c r="A2761" s="462"/>
    </row>
    <row r="2762" spans="1:1" x14ac:dyDescent="0.25">
      <c r="A2762" s="462"/>
    </row>
    <row r="2763" spans="1:1" x14ac:dyDescent="0.25">
      <c r="A2763" s="462"/>
    </row>
    <row r="2764" spans="1:1" x14ac:dyDescent="0.25">
      <c r="A2764" s="462"/>
    </row>
    <row r="2765" spans="1:1" x14ac:dyDescent="0.25">
      <c r="A2765" s="462"/>
    </row>
    <row r="2766" spans="1:1" x14ac:dyDescent="0.25">
      <c r="A2766" s="462"/>
    </row>
    <row r="2767" spans="1:1" x14ac:dyDescent="0.25">
      <c r="A2767" s="462"/>
    </row>
    <row r="2768" spans="1:1" x14ac:dyDescent="0.25">
      <c r="A2768" s="462"/>
    </row>
    <row r="2769" spans="1:1" x14ac:dyDescent="0.25">
      <c r="A2769" s="462"/>
    </row>
    <row r="2770" spans="1:1" x14ac:dyDescent="0.25">
      <c r="A2770" s="462"/>
    </row>
    <row r="2771" spans="1:1" x14ac:dyDescent="0.25">
      <c r="A2771" s="462"/>
    </row>
    <row r="2772" spans="1:1" x14ac:dyDescent="0.25">
      <c r="A2772" s="462"/>
    </row>
    <row r="2773" spans="1:1" x14ac:dyDescent="0.25">
      <c r="A2773" s="462"/>
    </row>
    <row r="2774" spans="1:1" x14ac:dyDescent="0.25">
      <c r="A2774" s="462"/>
    </row>
    <row r="2775" spans="1:1" x14ac:dyDescent="0.25">
      <c r="A2775" s="462"/>
    </row>
    <row r="2776" spans="1:1" x14ac:dyDescent="0.25">
      <c r="A2776" s="462"/>
    </row>
    <row r="2777" spans="1:1" x14ac:dyDescent="0.25">
      <c r="A2777" s="462"/>
    </row>
    <row r="2778" spans="1:1" x14ac:dyDescent="0.25">
      <c r="A2778" s="462"/>
    </row>
    <row r="2779" spans="1:1" x14ac:dyDescent="0.25">
      <c r="A2779" s="462"/>
    </row>
    <row r="2780" spans="1:1" x14ac:dyDescent="0.25">
      <c r="A2780" s="462"/>
    </row>
    <row r="2781" spans="1:1" x14ac:dyDescent="0.25">
      <c r="A2781" s="462"/>
    </row>
    <row r="2782" spans="1:1" x14ac:dyDescent="0.25">
      <c r="A2782" s="462"/>
    </row>
    <row r="2783" spans="1:1" x14ac:dyDescent="0.25">
      <c r="A2783" s="462"/>
    </row>
    <row r="2784" spans="1:1" x14ac:dyDescent="0.25">
      <c r="A2784" s="462"/>
    </row>
    <row r="2785" spans="1:1" x14ac:dyDescent="0.25">
      <c r="A2785" s="462"/>
    </row>
    <row r="2786" spans="1:1" x14ac:dyDescent="0.25">
      <c r="A2786" s="462"/>
    </row>
    <row r="2787" spans="1:1" x14ac:dyDescent="0.25">
      <c r="A2787" s="462"/>
    </row>
    <row r="2788" spans="1:1" x14ac:dyDescent="0.25">
      <c r="A2788" s="462"/>
    </row>
    <row r="2789" spans="1:1" x14ac:dyDescent="0.25">
      <c r="A2789" s="462"/>
    </row>
    <row r="2790" spans="1:1" x14ac:dyDescent="0.25">
      <c r="A2790" s="462"/>
    </row>
    <row r="2791" spans="1:1" x14ac:dyDescent="0.25">
      <c r="A2791" s="462"/>
    </row>
    <row r="2792" spans="1:1" x14ac:dyDescent="0.25">
      <c r="A2792" s="462"/>
    </row>
    <row r="2793" spans="1:1" x14ac:dyDescent="0.25">
      <c r="A2793" s="462"/>
    </row>
    <row r="2794" spans="1:1" x14ac:dyDescent="0.25">
      <c r="A2794" s="462"/>
    </row>
    <row r="2795" spans="1:1" x14ac:dyDescent="0.25">
      <c r="A2795" s="462"/>
    </row>
    <row r="2796" spans="1:1" x14ac:dyDescent="0.25">
      <c r="A2796" s="462"/>
    </row>
    <row r="2797" spans="1:1" x14ac:dyDescent="0.25">
      <c r="A2797" s="462"/>
    </row>
    <row r="2798" spans="1:1" x14ac:dyDescent="0.25">
      <c r="A2798" s="462"/>
    </row>
    <row r="2799" spans="1:1" x14ac:dyDescent="0.25">
      <c r="A2799" s="462"/>
    </row>
    <row r="2800" spans="1:1" x14ac:dyDescent="0.25">
      <c r="A2800" s="462"/>
    </row>
    <row r="2801" spans="1:1" x14ac:dyDescent="0.25">
      <c r="A2801" s="462"/>
    </row>
    <row r="2802" spans="1:1" x14ac:dyDescent="0.25">
      <c r="A2802" s="462"/>
    </row>
    <row r="2803" spans="1:1" x14ac:dyDescent="0.25">
      <c r="A2803" s="462"/>
    </row>
    <row r="2804" spans="1:1" x14ac:dyDescent="0.25">
      <c r="A2804" s="462"/>
    </row>
    <row r="2805" spans="1:1" x14ac:dyDescent="0.25">
      <c r="A2805" s="462"/>
    </row>
    <row r="2806" spans="1:1" x14ac:dyDescent="0.25">
      <c r="A2806" s="462"/>
    </row>
    <row r="2807" spans="1:1" x14ac:dyDescent="0.25">
      <c r="A2807" s="462"/>
    </row>
    <row r="2808" spans="1:1" x14ac:dyDescent="0.25">
      <c r="A2808" s="462"/>
    </row>
    <row r="2809" spans="1:1" x14ac:dyDescent="0.25">
      <c r="A2809" s="462"/>
    </row>
    <row r="2810" spans="1:1" x14ac:dyDescent="0.25">
      <c r="A2810" s="462"/>
    </row>
    <row r="2811" spans="1:1" x14ac:dyDescent="0.25">
      <c r="A2811" s="462"/>
    </row>
    <row r="2812" spans="1:1" x14ac:dyDescent="0.25">
      <c r="A2812" s="462"/>
    </row>
    <row r="2813" spans="1:1" x14ac:dyDescent="0.25">
      <c r="A2813" s="462"/>
    </row>
    <row r="2814" spans="1:1" x14ac:dyDescent="0.25">
      <c r="A2814" s="462"/>
    </row>
    <row r="2815" spans="1:1" x14ac:dyDescent="0.25">
      <c r="A2815" s="462"/>
    </row>
    <row r="2816" spans="1:1" x14ac:dyDescent="0.25">
      <c r="A2816" s="462"/>
    </row>
    <row r="2817" spans="1:1" x14ac:dyDescent="0.25">
      <c r="A2817" s="462"/>
    </row>
    <row r="2818" spans="1:1" x14ac:dyDescent="0.25">
      <c r="A2818" s="462"/>
    </row>
    <row r="2819" spans="1:1" x14ac:dyDescent="0.25">
      <c r="A2819" s="462"/>
    </row>
    <row r="2820" spans="1:1" x14ac:dyDescent="0.25">
      <c r="A2820" s="462"/>
    </row>
    <row r="2821" spans="1:1" x14ac:dyDescent="0.25">
      <c r="A2821" s="462"/>
    </row>
    <row r="2822" spans="1:1" x14ac:dyDescent="0.25">
      <c r="A2822" s="462"/>
    </row>
    <row r="2823" spans="1:1" x14ac:dyDescent="0.25">
      <c r="A2823" s="462"/>
    </row>
    <row r="2824" spans="1:1" x14ac:dyDescent="0.25">
      <c r="A2824" s="462"/>
    </row>
    <row r="2825" spans="1:1" x14ac:dyDescent="0.25">
      <c r="A2825" s="462"/>
    </row>
    <row r="2826" spans="1:1" x14ac:dyDescent="0.25">
      <c r="A2826" s="462"/>
    </row>
    <row r="2827" spans="1:1" x14ac:dyDescent="0.25">
      <c r="A2827" s="462"/>
    </row>
    <row r="2828" spans="1:1" x14ac:dyDescent="0.25">
      <c r="A2828" s="462"/>
    </row>
    <row r="2829" spans="1:1" x14ac:dyDescent="0.25">
      <c r="A2829" s="462"/>
    </row>
    <row r="2830" spans="1:1" x14ac:dyDescent="0.25">
      <c r="A2830" s="462"/>
    </row>
    <row r="2831" spans="1:1" x14ac:dyDescent="0.25">
      <c r="A2831" s="462"/>
    </row>
    <row r="2832" spans="1:1" x14ac:dyDescent="0.25">
      <c r="A2832" s="462"/>
    </row>
    <row r="2833" spans="1:1" x14ac:dyDescent="0.25">
      <c r="A2833" s="462"/>
    </row>
    <row r="2834" spans="1:1" x14ac:dyDescent="0.25">
      <c r="A2834" s="462"/>
    </row>
    <row r="2835" spans="1:1" x14ac:dyDescent="0.25">
      <c r="A2835" s="462"/>
    </row>
    <row r="2836" spans="1:1" x14ac:dyDescent="0.25">
      <c r="A2836" s="462"/>
    </row>
    <row r="2837" spans="1:1" x14ac:dyDescent="0.25">
      <c r="A2837" s="462"/>
    </row>
    <row r="2838" spans="1:1" x14ac:dyDescent="0.25">
      <c r="A2838" s="462"/>
    </row>
    <row r="2839" spans="1:1" x14ac:dyDescent="0.25">
      <c r="A2839" s="462"/>
    </row>
    <row r="2840" spans="1:1" x14ac:dyDescent="0.25">
      <c r="A2840" s="462"/>
    </row>
    <row r="2841" spans="1:1" x14ac:dyDescent="0.25">
      <c r="A2841" s="462"/>
    </row>
    <row r="2842" spans="1:1" x14ac:dyDescent="0.25">
      <c r="A2842" s="462"/>
    </row>
    <row r="2843" spans="1:1" x14ac:dyDescent="0.25">
      <c r="A2843" s="462"/>
    </row>
    <row r="2844" spans="1:1" x14ac:dyDescent="0.25">
      <c r="A2844" s="462"/>
    </row>
    <row r="2845" spans="1:1" x14ac:dyDescent="0.25">
      <c r="A2845" s="462"/>
    </row>
    <row r="2846" spans="1:1" x14ac:dyDescent="0.25">
      <c r="A2846" s="462"/>
    </row>
    <row r="2847" spans="1:1" x14ac:dyDescent="0.25">
      <c r="A2847" s="462"/>
    </row>
    <row r="2848" spans="1:1" x14ac:dyDescent="0.25">
      <c r="A2848" s="462"/>
    </row>
    <row r="2849" spans="1:1" x14ac:dyDescent="0.25">
      <c r="A2849" s="462"/>
    </row>
    <row r="2850" spans="1:1" x14ac:dyDescent="0.25">
      <c r="A2850" s="462"/>
    </row>
    <row r="2851" spans="1:1" x14ac:dyDescent="0.25">
      <c r="A2851" s="462"/>
    </row>
    <row r="2852" spans="1:1" x14ac:dyDescent="0.25">
      <c r="A2852" s="462"/>
    </row>
    <row r="2853" spans="1:1" x14ac:dyDescent="0.25">
      <c r="A2853" s="462"/>
    </row>
    <row r="2854" spans="1:1" x14ac:dyDescent="0.25">
      <c r="A2854" s="462"/>
    </row>
    <row r="2855" spans="1:1" x14ac:dyDescent="0.25">
      <c r="A2855" s="462"/>
    </row>
    <row r="2856" spans="1:1" x14ac:dyDescent="0.25">
      <c r="A2856" s="462"/>
    </row>
    <row r="2857" spans="1:1" x14ac:dyDescent="0.25">
      <c r="A2857" s="462"/>
    </row>
    <row r="2858" spans="1:1" x14ac:dyDescent="0.25">
      <c r="A2858" s="462"/>
    </row>
    <row r="2859" spans="1:1" x14ac:dyDescent="0.25">
      <c r="A2859" s="462"/>
    </row>
    <row r="2860" spans="1:1" x14ac:dyDescent="0.25">
      <c r="A2860" s="462"/>
    </row>
    <row r="2861" spans="1:1" x14ac:dyDescent="0.25">
      <c r="A2861" s="462"/>
    </row>
    <row r="2862" spans="1:1" x14ac:dyDescent="0.25">
      <c r="A2862" s="462"/>
    </row>
    <row r="2863" spans="1:1" x14ac:dyDescent="0.25">
      <c r="A2863" s="462"/>
    </row>
    <row r="2864" spans="1:1" x14ac:dyDescent="0.25">
      <c r="A2864" s="462"/>
    </row>
    <row r="2865" spans="1:1" x14ac:dyDescent="0.25">
      <c r="A2865" s="462"/>
    </row>
    <row r="2866" spans="1:1" x14ac:dyDescent="0.25">
      <c r="A2866" s="462"/>
    </row>
    <row r="2867" spans="1:1" x14ac:dyDescent="0.25">
      <c r="A2867" s="462"/>
    </row>
    <row r="2868" spans="1:1" x14ac:dyDescent="0.25">
      <c r="A2868" s="462"/>
    </row>
    <row r="2869" spans="1:1" x14ac:dyDescent="0.25">
      <c r="A2869" s="462"/>
    </row>
    <row r="2870" spans="1:1" x14ac:dyDescent="0.25">
      <c r="A2870" s="462"/>
    </row>
    <row r="2871" spans="1:1" x14ac:dyDescent="0.25">
      <c r="A2871" s="462"/>
    </row>
    <row r="2872" spans="1:1" x14ac:dyDescent="0.25">
      <c r="A2872" s="462"/>
    </row>
    <row r="2873" spans="1:1" x14ac:dyDescent="0.25">
      <c r="A2873" s="462"/>
    </row>
    <row r="2874" spans="1:1" x14ac:dyDescent="0.25">
      <c r="A2874" s="462"/>
    </row>
    <row r="2875" spans="1:1" x14ac:dyDescent="0.25">
      <c r="A2875" s="462"/>
    </row>
    <row r="2876" spans="1:1" x14ac:dyDescent="0.25">
      <c r="A2876" s="462"/>
    </row>
    <row r="2877" spans="1:1" x14ac:dyDescent="0.25">
      <c r="A2877" s="462"/>
    </row>
    <row r="2878" spans="1:1" x14ac:dyDescent="0.25">
      <c r="A2878" s="462"/>
    </row>
    <row r="2879" spans="1:1" x14ac:dyDescent="0.25">
      <c r="A2879" s="462"/>
    </row>
    <row r="2880" spans="1:1" x14ac:dyDescent="0.25">
      <c r="A2880" s="462"/>
    </row>
    <row r="2881" spans="1:1" x14ac:dyDescent="0.25">
      <c r="A2881" s="462"/>
    </row>
    <row r="2882" spans="1:1" x14ac:dyDescent="0.25">
      <c r="A2882" s="462"/>
    </row>
    <row r="2883" spans="1:1" x14ac:dyDescent="0.25">
      <c r="A2883" s="462"/>
    </row>
    <row r="2884" spans="1:1" x14ac:dyDescent="0.25">
      <c r="A2884" s="462"/>
    </row>
    <row r="2885" spans="1:1" x14ac:dyDescent="0.25">
      <c r="A2885" s="462"/>
    </row>
    <row r="2886" spans="1:1" x14ac:dyDescent="0.25">
      <c r="A2886" s="462"/>
    </row>
    <row r="2887" spans="1:1" x14ac:dyDescent="0.25">
      <c r="A2887" s="462"/>
    </row>
    <row r="2888" spans="1:1" x14ac:dyDescent="0.25">
      <c r="A2888" s="462"/>
    </row>
    <row r="2889" spans="1:1" x14ac:dyDescent="0.25">
      <c r="A2889" s="462"/>
    </row>
    <row r="2890" spans="1:1" x14ac:dyDescent="0.25">
      <c r="A2890" s="462"/>
    </row>
    <row r="2891" spans="1:1" x14ac:dyDescent="0.25">
      <c r="A2891" s="462"/>
    </row>
    <row r="2892" spans="1:1" x14ac:dyDescent="0.25">
      <c r="A2892" s="462"/>
    </row>
    <row r="2893" spans="1:1" x14ac:dyDescent="0.25">
      <c r="A2893" s="462"/>
    </row>
    <row r="2894" spans="1:1" x14ac:dyDescent="0.25">
      <c r="A2894" s="462"/>
    </row>
    <row r="2895" spans="1:1" x14ac:dyDescent="0.25">
      <c r="A2895" s="462"/>
    </row>
    <row r="2896" spans="1:1" x14ac:dyDescent="0.25">
      <c r="A2896" s="462"/>
    </row>
    <row r="2897" spans="1:1" x14ac:dyDescent="0.25">
      <c r="A2897" s="462"/>
    </row>
    <row r="2898" spans="1:1" x14ac:dyDescent="0.25">
      <c r="A2898" s="462"/>
    </row>
    <row r="2899" spans="1:1" x14ac:dyDescent="0.25">
      <c r="A2899" s="462"/>
    </row>
    <row r="2900" spans="1:1" x14ac:dyDescent="0.25">
      <c r="A2900" s="462"/>
    </row>
    <row r="2901" spans="1:1" x14ac:dyDescent="0.25">
      <c r="A2901" s="462"/>
    </row>
    <row r="2902" spans="1:1" x14ac:dyDescent="0.25">
      <c r="A2902" s="462"/>
    </row>
    <row r="2903" spans="1:1" x14ac:dyDescent="0.25">
      <c r="A2903" s="462"/>
    </row>
    <row r="2904" spans="1:1" x14ac:dyDescent="0.25">
      <c r="A2904" s="462"/>
    </row>
    <row r="2905" spans="1:1" x14ac:dyDescent="0.25">
      <c r="A2905" s="462"/>
    </row>
    <row r="2906" spans="1:1" x14ac:dyDescent="0.25">
      <c r="A2906" s="462"/>
    </row>
    <row r="2907" spans="1:1" x14ac:dyDescent="0.25">
      <c r="A2907" s="462"/>
    </row>
    <row r="2908" spans="1:1" x14ac:dyDescent="0.25">
      <c r="A2908" s="462"/>
    </row>
    <row r="2909" spans="1:1" x14ac:dyDescent="0.25">
      <c r="A2909" s="462"/>
    </row>
    <row r="2910" spans="1:1" x14ac:dyDescent="0.25">
      <c r="A2910" s="462"/>
    </row>
    <row r="2911" spans="1:1" x14ac:dyDescent="0.25">
      <c r="A2911" s="462"/>
    </row>
    <row r="2912" spans="1:1" x14ac:dyDescent="0.25">
      <c r="A2912" s="462"/>
    </row>
    <row r="2913" spans="1:1" x14ac:dyDescent="0.25">
      <c r="A2913" s="462"/>
    </row>
    <row r="2914" spans="1:1" x14ac:dyDescent="0.25">
      <c r="A2914" s="462"/>
    </row>
    <row r="2915" spans="1:1" x14ac:dyDescent="0.25">
      <c r="A2915" s="462"/>
    </row>
    <row r="2916" spans="1:1" x14ac:dyDescent="0.25">
      <c r="A2916" s="462"/>
    </row>
    <row r="2917" spans="1:1" x14ac:dyDescent="0.25">
      <c r="A2917" s="462"/>
    </row>
    <row r="2918" spans="1:1" x14ac:dyDescent="0.25">
      <c r="A2918" s="462"/>
    </row>
    <row r="2919" spans="1:1" x14ac:dyDescent="0.25">
      <c r="A2919" s="462"/>
    </row>
    <row r="2920" spans="1:1" x14ac:dyDescent="0.25">
      <c r="A2920" s="462"/>
    </row>
    <row r="2921" spans="1:1" x14ac:dyDescent="0.25">
      <c r="A2921" s="462"/>
    </row>
    <row r="2922" spans="1:1" x14ac:dyDescent="0.25">
      <c r="A2922" s="462"/>
    </row>
    <row r="2923" spans="1:1" x14ac:dyDescent="0.25">
      <c r="A2923" s="462"/>
    </row>
    <row r="2924" spans="1:1" x14ac:dyDescent="0.25">
      <c r="A2924" s="462"/>
    </row>
    <row r="2925" spans="1:1" x14ac:dyDescent="0.25">
      <c r="A2925" s="462"/>
    </row>
    <row r="2926" spans="1:1" x14ac:dyDescent="0.25">
      <c r="A2926" s="462"/>
    </row>
    <row r="2927" spans="1:1" x14ac:dyDescent="0.25">
      <c r="A2927" s="462"/>
    </row>
    <row r="2928" spans="1:1" x14ac:dyDescent="0.25">
      <c r="A2928" s="462"/>
    </row>
    <row r="2929" spans="1:1" x14ac:dyDescent="0.25">
      <c r="A2929" s="462"/>
    </row>
    <row r="2930" spans="1:1" x14ac:dyDescent="0.25">
      <c r="A2930" s="462"/>
    </row>
    <row r="2931" spans="1:1" x14ac:dyDescent="0.25">
      <c r="A2931" s="462"/>
    </row>
    <row r="2932" spans="1:1" x14ac:dyDescent="0.25">
      <c r="A2932" s="462"/>
    </row>
    <row r="2933" spans="1:1" x14ac:dyDescent="0.25">
      <c r="A2933" s="462"/>
    </row>
    <row r="2934" spans="1:1" x14ac:dyDescent="0.25">
      <c r="A2934" s="462"/>
    </row>
    <row r="2935" spans="1:1" x14ac:dyDescent="0.25">
      <c r="A2935" s="462"/>
    </row>
    <row r="2936" spans="1:1" x14ac:dyDescent="0.25">
      <c r="A2936" s="462"/>
    </row>
    <row r="2937" spans="1:1" x14ac:dyDescent="0.25">
      <c r="A2937" s="462"/>
    </row>
    <row r="2938" spans="1:1" x14ac:dyDescent="0.25">
      <c r="A2938" s="462"/>
    </row>
    <row r="2939" spans="1:1" x14ac:dyDescent="0.25">
      <c r="A2939" s="462"/>
    </row>
    <row r="2940" spans="1:1" x14ac:dyDescent="0.25">
      <c r="A2940" s="462"/>
    </row>
    <row r="2941" spans="1:1" x14ac:dyDescent="0.25">
      <c r="A2941" s="462"/>
    </row>
    <row r="2942" spans="1:1" x14ac:dyDescent="0.25">
      <c r="A2942" s="462"/>
    </row>
    <row r="2943" spans="1:1" x14ac:dyDescent="0.25">
      <c r="A2943" s="462"/>
    </row>
    <row r="2944" spans="1:1" x14ac:dyDescent="0.25">
      <c r="A2944" s="462"/>
    </row>
    <row r="2945" spans="1:1" x14ac:dyDescent="0.25">
      <c r="A2945" s="462"/>
    </row>
    <row r="2946" spans="1:1" x14ac:dyDescent="0.25">
      <c r="A2946" s="462"/>
    </row>
    <row r="2947" spans="1:1" x14ac:dyDescent="0.25">
      <c r="A2947" s="462"/>
    </row>
    <row r="2948" spans="1:1" x14ac:dyDescent="0.25">
      <c r="A2948" s="462"/>
    </row>
    <row r="2949" spans="1:1" x14ac:dyDescent="0.25">
      <c r="A2949" s="462"/>
    </row>
    <row r="2950" spans="1:1" x14ac:dyDescent="0.25">
      <c r="A2950" s="462"/>
    </row>
    <row r="2951" spans="1:1" x14ac:dyDescent="0.25">
      <c r="A2951" s="462"/>
    </row>
    <row r="2952" spans="1:1" x14ac:dyDescent="0.25">
      <c r="A2952" s="462"/>
    </row>
    <row r="2953" spans="1:1" x14ac:dyDescent="0.25">
      <c r="A2953" s="462"/>
    </row>
    <row r="2954" spans="1:1" x14ac:dyDescent="0.25">
      <c r="A2954" s="462"/>
    </row>
    <row r="2955" spans="1:1" x14ac:dyDescent="0.25">
      <c r="A2955" s="462"/>
    </row>
    <row r="2956" spans="1:1" x14ac:dyDescent="0.25">
      <c r="A2956" s="462"/>
    </row>
    <row r="2957" spans="1:1" x14ac:dyDescent="0.25">
      <c r="A2957" s="462"/>
    </row>
    <row r="2958" spans="1:1" x14ac:dyDescent="0.25">
      <c r="A2958" s="462"/>
    </row>
    <row r="2959" spans="1:1" x14ac:dyDescent="0.25">
      <c r="A2959" s="462"/>
    </row>
    <row r="2960" spans="1:1" x14ac:dyDescent="0.25">
      <c r="A2960" s="462"/>
    </row>
    <row r="2961" spans="1:1" x14ac:dyDescent="0.25">
      <c r="A2961" s="462"/>
    </row>
    <row r="2962" spans="1:1" x14ac:dyDescent="0.25">
      <c r="A2962" s="462"/>
    </row>
    <row r="2963" spans="1:1" x14ac:dyDescent="0.25">
      <c r="A2963" s="462"/>
    </row>
    <row r="2964" spans="1:1" x14ac:dyDescent="0.25">
      <c r="A2964" s="462"/>
    </row>
    <row r="2965" spans="1:1" x14ac:dyDescent="0.25">
      <c r="A2965" s="462"/>
    </row>
    <row r="2966" spans="1:1" x14ac:dyDescent="0.25">
      <c r="A2966" s="462"/>
    </row>
    <row r="2967" spans="1:1" x14ac:dyDescent="0.25">
      <c r="A2967" s="462"/>
    </row>
    <row r="2968" spans="1:1" x14ac:dyDescent="0.25">
      <c r="A2968" s="462"/>
    </row>
    <row r="2969" spans="1:1" x14ac:dyDescent="0.25">
      <c r="A2969" s="462"/>
    </row>
    <row r="2970" spans="1:1" x14ac:dyDescent="0.25">
      <c r="A2970" s="462"/>
    </row>
    <row r="2971" spans="1:1" x14ac:dyDescent="0.25">
      <c r="A2971" s="462"/>
    </row>
    <row r="2972" spans="1:1" x14ac:dyDescent="0.25">
      <c r="A2972" s="462"/>
    </row>
    <row r="2973" spans="1:1" x14ac:dyDescent="0.25">
      <c r="A2973" s="462"/>
    </row>
    <row r="2974" spans="1:1" x14ac:dyDescent="0.25">
      <c r="A2974" s="462"/>
    </row>
    <row r="2975" spans="1:1" x14ac:dyDescent="0.25">
      <c r="A2975" s="462"/>
    </row>
    <row r="2976" spans="1:1" x14ac:dyDescent="0.25">
      <c r="A2976" s="462"/>
    </row>
    <row r="2977" spans="1:1" x14ac:dyDescent="0.25">
      <c r="A2977" s="462"/>
    </row>
    <row r="2978" spans="1:1" x14ac:dyDescent="0.25">
      <c r="A2978" s="462"/>
    </row>
    <row r="2979" spans="1:1" x14ac:dyDescent="0.25">
      <c r="A2979" s="462"/>
    </row>
    <row r="2980" spans="1:1" x14ac:dyDescent="0.25">
      <c r="A2980" s="462"/>
    </row>
    <row r="2981" spans="1:1" x14ac:dyDescent="0.25">
      <c r="A2981" s="462"/>
    </row>
    <row r="2982" spans="1:1" x14ac:dyDescent="0.25">
      <c r="A2982" s="462"/>
    </row>
    <row r="2983" spans="1:1" x14ac:dyDescent="0.25">
      <c r="A2983" s="462"/>
    </row>
    <row r="2984" spans="1:1" x14ac:dyDescent="0.25">
      <c r="A2984" s="462"/>
    </row>
    <row r="2985" spans="1:1" x14ac:dyDescent="0.25">
      <c r="A2985" s="462"/>
    </row>
    <row r="2986" spans="1:1" x14ac:dyDescent="0.25">
      <c r="A2986" s="462"/>
    </row>
    <row r="2987" spans="1:1" x14ac:dyDescent="0.25">
      <c r="A2987" s="462"/>
    </row>
    <row r="2988" spans="1:1" x14ac:dyDescent="0.25">
      <c r="A2988" s="462"/>
    </row>
    <row r="2989" spans="1:1" x14ac:dyDescent="0.25">
      <c r="A2989" s="462"/>
    </row>
    <row r="2990" spans="1:1" x14ac:dyDescent="0.25">
      <c r="A2990" s="462"/>
    </row>
    <row r="2991" spans="1:1" x14ac:dyDescent="0.25">
      <c r="A2991" s="462"/>
    </row>
    <row r="2992" spans="1:1" x14ac:dyDescent="0.25">
      <c r="A2992" s="462"/>
    </row>
    <row r="2993" spans="1:1" x14ac:dyDescent="0.25">
      <c r="A2993" s="462"/>
    </row>
    <row r="2994" spans="1:1" x14ac:dyDescent="0.25">
      <c r="A2994" s="462"/>
    </row>
    <row r="2995" spans="1:1" x14ac:dyDescent="0.25">
      <c r="A2995" s="462"/>
    </row>
    <row r="2996" spans="1:1" x14ac:dyDescent="0.25">
      <c r="A2996" s="462"/>
    </row>
    <row r="2997" spans="1:1" x14ac:dyDescent="0.25">
      <c r="A2997" s="462"/>
    </row>
    <row r="2998" spans="1:1" x14ac:dyDescent="0.25">
      <c r="A2998" s="462"/>
    </row>
    <row r="2999" spans="1:1" x14ac:dyDescent="0.25">
      <c r="A2999" s="462"/>
    </row>
    <row r="3000" spans="1:1" x14ac:dyDescent="0.25">
      <c r="A3000" s="462"/>
    </row>
    <row r="3001" spans="1:1" x14ac:dyDescent="0.25">
      <c r="A3001" s="462"/>
    </row>
    <row r="3002" spans="1:1" x14ac:dyDescent="0.25">
      <c r="A3002" s="462"/>
    </row>
    <row r="3003" spans="1:1" x14ac:dyDescent="0.25">
      <c r="A3003" s="462"/>
    </row>
    <row r="3004" spans="1:1" x14ac:dyDescent="0.25">
      <c r="A3004" s="462"/>
    </row>
    <row r="3005" spans="1:1" x14ac:dyDescent="0.25">
      <c r="A3005" s="462"/>
    </row>
    <row r="3006" spans="1:1" x14ac:dyDescent="0.25">
      <c r="A3006" s="462"/>
    </row>
    <row r="3007" spans="1:1" x14ac:dyDescent="0.25">
      <c r="A3007" s="462"/>
    </row>
    <row r="3008" spans="1:1" x14ac:dyDescent="0.25">
      <c r="A3008" s="462"/>
    </row>
    <row r="3009" spans="1:1" x14ac:dyDescent="0.25">
      <c r="A3009" s="462"/>
    </row>
    <row r="3010" spans="1:1" x14ac:dyDescent="0.25">
      <c r="A3010" s="462"/>
    </row>
    <row r="3011" spans="1:1" x14ac:dyDescent="0.25">
      <c r="A3011" s="462"/>
    </row>
    <row r="3012" spans="1:1" x14ac:dyDescent="0.25">
      <c r="A3012" s="462"/>
    </row>
    <row r="3013" spans="1:1" x14ac:dyDescent="0.25">
      <c r="A3013" s="462"/>
    </row>
    <row r="3014" spans="1:1" x14ac:dyDescent="0.25">
      <c r="A3014" s="462"/>
    </row>
    <row r="3015" spans="1:1" x14ac:dyDescent="0.25">
      <c r="A3015" s="462"/>
    </row>
    <row r="3016" spans="1:1" x14ac:dyDescent="0.25">
      <c r="A3016" s="462"/>
    </row>
    <row r="3017" spans="1:1" x14ac:dyDescent="0.25">
      <c r="A3017" s="462"/>
    </row>
    <row r="3018" spans="1:1" x14ac:dyDescent="0.25">
      <c r="A3018" s="462"/>
    </row>
    <row r="3019" spans="1:1" x14ac:dyDescent="0.25">
      <c r="A3019" s="462"/>
    </row>
    <row r="3020" spans="1:1" x14ac:dyDescent="0.25">
      <c r="A3020" s="462"/>
    </row>
    <row r="3021" spans="1:1" x14ac:dyDescent="0.25">
      <c r="A3021" s="462"/>
    </row>
    <row r="3022" spans="1:1" x14ac:dyDescent="0.25">
      <c r="A3022" s="462"/>
    </row>
    <row r="3023" spans="1:1" x14ac:dyDescent="0.25">
      <c r="A3023" s="462"/>
    </row>
    <row r="3024" spans="1:1" x14ac:dyDescent="0.25">
      <c r="A3024" s="462"/>
    </row>
    <row r="3025" spans="1:1" x14ac:dyDescent="0.25">
      <c r="A3025" s="462"/>
    </row>
    <row r="3026" spans="1:1" x14ac:dyDescent="0.25">
      <c r="A3026" s="462"/>
    </row>
    <row r="3027" spans="1:1" x14ac:dyDescent="0.25">
      <c r="A3027" s="462"/>
    </row>
    <row r="3028" spans="1:1" x14ac:dyDescent="0.25">
      <c r="A3028" s="462"/>
    </row>
    <row r="3029" spans="1:1" x14ac:dyDescent="0.25">
      <c r="A3029" s="462"/>
    </row>
    <row r="3030" spans="1:1" x14ac:dyDescent="0.25">
      <c r="A3030" s="462"/>
    </row>
    <row r="3031" spans="1:1" x14ac:dyDescent="0.25">
      <c r="A3031" s="462"/>
    </row>
    <row r="3032" spans="1:1" x14ac:dyDescent="0.25">
      <c r="A3032" s="462"/>
    </row>
    <row r="3033" spans="1:1" x14ac:dyDescent="0.25">
      <c r="A3033" s="462"/>
    </row>
    <row r="3034" spans="1:1" x14ac:dyDescent="0.25">
      <c r="A3034" s="462"/>
    </row>
    <row r="3035" spans="1:1" x14ac:dyDescent="0.25">
      <c r="A3035" s="462"/>
    </row>
    <row r="3036" spans="1:1" x14ac:dyDescent="0.25">
      <c r="A3036" s="462"/>
    </row>
    <row r="3037" spans="1:1" x14ac:dyDescent="0.25">
      <c r="A3037" s="462"/>
    </row>
    <row r="3038" spans="1:1" x14ac:dyDescent="0.25">
      <c r="A3038" s="462"/>
    </row>
    <row r="3039" spans="1:1" x14ac:dyDescent="0.25">
      <c r="A3039" s="462"/>
    </row>
    <row r="3040" spans="1:1" x14ac:dyDescent="0.25">
      <c r="A3040" s="462"/>
    </row>
    <row r="3041" spans="1:1" x14ac:dyDescent="0.25">
      <c r="A3041" s="462"/>
    </row>
    <row r="3042" spans="1:1" x14ac:dyDescent="0.25">
      <c r="A3042" s="462"/>
    </row>
    <row r="3043" spans="1:1" x14ac:dyDescent="0.25">
      <c r="A3043" s="462"/>
    </row>
    <row r="3044" spans="1:1" x14ac:dyDescent="0.25">
      <c r="A3044" s="462"/>
    </row>
    <row r="3045" spans="1:1" x14ac:dyDescent="0.25">
      <c r="A3045" s="462"/>
    </row>
    <row r="3046" spans="1:1" x14ac:dyDescent="0.25">
      <c r="A3046" s="462"/>
    </row>
    <row r="3047" spans="1:1" x14ac:dyDescent="0.25">
      <c r="A3047" s="462"/>
    </row>
    <row r="3048" spans="1:1" x14ac:dyDescent="0.25">
      <c r="A3048" s="462"/>
    </row>
    <row r="3049" spans="1:1" x14ac:dyDescent="0.25">
      <c r="A3049" s="462"/>
    </row>
    <row r="3050" spans="1:1" x14ac:dyDescent="0.25">
      <c r="A3050" s="462"/>
    </row>
    <row r="3051" spans="1:1" x14ac:dyDescent="0.25">
      <c r="A3051" s="462"/>
    </row>
    <row r="3052" spans="1:1" x14ac:dyDescent="0.25">
      <c r="A3052" s="462"/>
    </row>
    <row r="3053" spans="1:1" x14ac:dyDescent="0.25">
      <c r="A3053" s="462"/>
    </row>
    <row r="3054" spans="1:1" x14ac:dyDescent="0.25">
      <c r="A3054" s="462"/>
    </row>
    <row r="3055" spans="1:1" x14ac:dyDescent="0.25">
      <c r="A3055" s="462"/>
    </row>
    <row r="3056" spans="1:1" x14ac:dyDescent="0.25">
      <c r="A3056" s="462"/>
    </row>
    <row r="3057" spans="1:1" x14ac:dyDescent="0.25">
      <c r="A3057" s="462"/>
    </row>
    <row r="3058" spans="1:1" x14ac:dyDescent="0.25">
      <c r="A3058" s="462"/>
    </row>
    <row r="3059" spans="1:1" x14ac:dyDescent="0.25">
      <c r="A3059" s="462"/>
    </row>
    <row r="3060" spans="1:1" x14ac:dyDescent="0.25">
      <c r="A3060" s="462"/>
    </row>
    <row r="3061" spans="1:1" x14ac:dyDescent="0.25">
      <c r="A3061" s="462"/>
    </row>
    <row r="3062" spans="1:1" x14ac:dyDescent="0.25">
      <c r="A3062" s="462"/>
    </row>
    <row r="3063" spans="1:1" x14ac:dyDescent="0.25">
      <c r="A3063" s="462"/>
    </row>
    <row r="3064" spans="1:1" x14ac:dyDescent="0.25">
      <c r="A3064" s="462"/>
    </row>
    <row r="3065" spans="1:1" x14ac:dyDescent="0.25">
      <c r="A3065" s="462"/>
    </row>
    <row r="3066" spans="1:1" x14ac:dyDescent="0.25">
      <c r="A3066" s="462"/>
    </row>
    <row r="3067" spans="1:1" x14ac:dyDescent="0.25">
      <c r="A3067" s="462"/>
    </row>
    <row r="3068" spans="1:1" x14ac:dyDescent="0.25">
      <c r="A3068" s="462"/>
    </row>
    <row r="3069" spans="1:1" x14ac:dyDescent="0.25">
      <c r="A3069" s="462"/>
    </row>
    <row r="3070" spans="1:1" x14ac:dyDescent="0.25">
      <c r="A3070" s="462"/>
    </row>
    <row r="3071" spans="1:1" x14ac:dyDescent="0.25">
      <c r="A3071" s="462"/>
    </row>
    <row r="3072" spans="1:1" x14ac:dyDescent="0.25">
      <c r="A3072" s="462"/>
    </row>
    <row r="3073" spans="1:1" x14ac:dyDescent="0.25">
      <c r="A3073" s="462"/>
    </row>
    <row r="3074" spans="1:1" x14ac:dyDescent="0.25">
      <c r="A3074" s="462"/>
    </row>
    <row r="3075" spans="1:1" x14ac:dyDescent="0.25">
      <c r="A3075" s="462"/>
    </row>
    <row r="3076" spans="1:1" x14ac:dyDescent="0.25">
      <c r="A3076" s="462"/>
    </row>
    <row r="3077" spans="1:1" x14ac:dyDescent="0.25">
      <c r="A3077" s="462"/>
    </row>
    <row r="3078" spans="1:1" x14ac:dyDescent="0.25">
      <c r="A3078" s="462"/>
    </row>
    <row r="3079" spans="1:1" x14ac:dyDescent="0.25">
      <c r="A3079" s="462"/>
    </row>
    <row r="3080" spans="1:1" x14ac:dyDescent="0.25">
      <c r="A3080" s="462"/>
    </row>
    <row r="3081" spans="1:1" x14ac:dyDescent="0.25">
      <c r="A3081" s="462"/>
    </row>
    <row r="3082" spans="1:1" x14ac:dyDescent="0.25">
      <c r="A3082" s="462"/>
    </row>
    <row r="3083" spans="1:1" x14ac:dyDescent="0.25">
      <c r="A3083" s="462"/>
    </row>
    <row r="3084" spans="1:1" x14ac:dyDescent="0.25">
      <c r="A3084" s="462"/>
    </row>
    <row r="3085" spans="1:1" x14ac:dyDescent="0.25">
      <c r="A3085" s="462"/>
    </row>
    <row r="3086" spans="1:1" x14ac:dyDescent="0.25">
      <c r="A3086" s="462"/>
    </row>
    <row r="3087" spans="1:1" x14ac:dyDescent="0.25">
      <c r="A3087" s="462"/>
    </row>
    <row r="3088" spans="1:1" x14ac:dyDescent="0.25">
      <c r="A3088" s="462"/>
    </row>
    <row r="3089" spans="1:1" x14ac:dyDescent="0.25">
      <c r="A3089" s="462"/>
    </row>
    <row r="3090" spans="1:1" x14ac:dyDescent="0.25">
      <c r="A3090" s="462"/>
    </row>
    <row r="3091" spans="1:1" x14ac:dyDescent="0.25">
      <c r="A3091" s="462"/>
    </row>
    <row r="3092" spans="1:1" x14ac:dyDescent="0.25">
      <c r="A3092" s="462"/>
    </row>
    <row r="3093" spans="1:1" x14ac:dyDescent="0.25">
      <c r="A3093" s="462"/>
    </row>
    <row r="3094" spans="1:1" x14ac:dyDescent="0.25">
      <c r="A3094" s="462"/>
    </row>
    <row r="3095" spans="1:1" x14ac:dyDescent="0.25">
      <c r="A3095" s="462"/>
    </row>
    <row r="3096" spans="1:1" x14ac:dyDescent="0.25">
      <c r="A3096" s="462"/>
    </row>
    <row r="3097" spans="1:1" x14ac:dyDescent="0.25">
      <c r="A3097" s="462"/>
    </row>
    <row r="3098" spans="1:1" x14ac:dyDescent="0.25">
      <c r="A3098" s="462"/>
    </row>
    <row r="3099" spans="1:1" x14ac:dyDescent="0.25">
      <c r="A3099" s="462"/>
    </row>
    <row r="3100" spans="1:1" x14ac:dyDescent="0.25">
      <c r="A3100" s="462"/>
    </row>
    <row r="3101" spans="1:1" x14ac:dyDescent="0.25">
      <c r="A3101" s="462"/>
    </row>
    <row r="3102" spans="1:1" x14ac:dyDescent="0.25">
      <c r="A3102" s="462"/>
    </row>
    <row r="3103" spans="1:1" x14ac:dyDescent="0.25">
      <c r="A3103" s="462"/>
    </row>
    <row r="3104" spans="1:1" x14ac:dyDescent="0.25">
      <c r="A3104" s="462"/>
    </row>
    <row r="3105" spans="1:1" x14ac:dyDescent="0.25">
      <c r="A3105" s="462"/>
    </row>
    <row r="3106" spans="1:1" x14ac:dyDescent="0.25">
      <c r="A3106" s="462"/>
    </row>
    <row r="3107" spans="1:1" x14ac:dyDescent="0.25">
      <c r="A3107" s="462"/>
    </row>
    <row r="3108" spans="1:1" x14ac:dyDescent="0.25">
      <c r="A3108" s="462"/>
    </row>
    <row r="3109" spans="1:1" x14ac:dyDescent="0.25">
      <c r="A3109" s="462"/>
    </row>
    <row r="3110" spans="1:1" x14ac:dyDescent="0.25">
      <c r="A3110" s="462"/>
    </row>
    <row r="3111" spans="1:1" x14ac:dyDescent="0.25">
      <c r="A3111" s="462"/>
    </row>
    <row r="3112" spans="1:1" x14ac:dyDescent="0.25">
      <c r="A3112" s="462"/>
    </row>
    <row r="3113" spans="1:1" x14ac:dyDescent="0.25">
      <c r="A3113" s="462"/>
    </row>
    <row r="3114" spans="1:1" x14ac:dyDescent="0.25">
      <c r="A3114" s="462"/>
    </row>
    <row r="3115" spans="1:1" x14ac:dyDescent="0.25">
      <c r="A3115" s="462"/>
    </row>
    <row r="3116" spans="1:1" x14ac:dyDescent="0.25">
      <c r="A3116" s="462"/>
    </row>
    <row r="3117" spans="1:1" x14ac:dyDescent="0.25">
      <c r="A3117" s="462"/>
    </row>
    <row r="3118" spans="1:1" x14ac:dyDescent="0.25">
      <c r="A3118" s="462"/>
    </row>
    <row r="3119" spans="1:1" x14ac:dyDescent="0.25">
      <c r="A3119" s="462"/>
    </row>
    <row r="3120" spans="1:1" x14ac:dyDescent="0.25">
      <c r="A3120" s="462"/>
    </row>
    <row r="3121" spans="1:1" x14ac:dyDescent="0.25">
      <c r="A3121" s="462"/>
    </row>
    <row r="3122" spans="1:1" x14ac:dyDescent="0.25">
      <c r="A3122" s="462"/>
    </row>
    <row r="3123" spans="1:1" x14ac:dyDescent="0.25">
      <c r="A3123" s="462"/>
    </row>
    <row r="3124" spans="1:1" x14ac:dyDescent="0.25">
      <c r="A3124" s="462"/>
    </row>
    <row r="3125" spans="1:1" x14ac:dyDescent="0.25">
      <c r="A3125" s="462"/>
    </row>
    <row r="3126" spans="1:1" x14ac:dyDescent="0.25">
      <c r="A3126" s="462"/>
    </row>
    <row r="3127" spans="1:1" x14ac:dyDescent="0.25">
      <c r="A3127" s="462"/>
    </row>
    <row r="3128" spans="1:1" x14ac:dyDescent="0.25">
      <c r="A3128" s="462"/>
    </row>
    <row r="3129" spans="1:1" x14ac:dyDescent="0.25">
      <c r="A3129" s="462"/>
    </row>
    <row r="3130" spans="1:1" x14ac:dyDescent="0.25">
      <c r="A3130" s="462"/>
    </row>
    <row r="3131" spans="1:1" x14ac:dyDescent="0.25">
      <c r="A3131" s="462"/>
    </row>
    <row r="3132" spans="1:1" x14ac:dyDescent="0.25">
      <c r="A3132" s="462"/>
    </row>
    <row r="3133" spans="1:1" x14ac:dyDescent="0.25">
      <c r="A3133" s="462"/>
    </row>
    <row r="3134" spans="1:1" x14ac:dyDescent="0.25">
      <c r="A3134" s="462"/>
    </row>
    <row r="3135" spans="1:1" x14ac:dyDescent="0.25">
      <c r="A3135" s="462"/>
    </row>
    <row r="3136" spans="1:1" x14ac:dyDescent="0.25">
      <c r="A3136" s="462"/>
    </row>
    <row r="3137" spans="1:1" x14ac:dyDescent="0.25">
      <c r="A3137" s="462"/>
    </row>
    <row r="3138" spans="1:1" x14ac:dyDescent="0.25">
      <c r="A3138" s="462"/>
    </row>
    <row r="3139" spans="1:1" x14ac:dyDescent="0.25">
      <c r="A3139" s="462"/>
    </row>
    <row r="3140" spans="1:1" x14ac:dyDescent="0.25">
      <c r="A3140" s="462"/>
    </row>
    <row r="3141" spans="1:1" x14ac:dyDescent="0.25">
      <c r="A3141" s="462"/>
    </row>
    <row r="3142" spans="1:1" x14ac:dyDescent="0.25">
      <c r="A3142" s="462"/>
    </row>
    <row r="3143" spans="1:1" x14ac:dyDescent="0.25">
      <c r="A3143" s="462"/>
    </row>
    <row r="3144" spans="1:1" x14ac:dyDescent="0.25">
      <c r="A3144" s="462"/>
    </row>
    <row r="3145" spans="1:1" x14ac:dyDescent="0.25">
      <c r="A3145" s="462"/>
    </row>
    <row r="3146" spans="1:1" x14ac:dyDescent="0.25">
      <c r="A3146" s="462"/>
    </row>
    <row r="3147" spans="1:1" x14ac:dyDescent="0.25">
      <c r="A3147" s="462"/>
    </row>
    <row r="3148" spans="1:1" x14ac:dyDescent="0.25">
      <c r="A3148" s="462"/>
    </row>
    <row r="3149" spans="1:1" x14ac:dyDescent="0.25">
      <c r="A3149" s="462"/>
    </row>
    <row r="3150" spans="1:1" x14ac:dyDescent="0.25">
      <c r="A3150" s="462"/>
    </row>
    <row r="3151" spans="1:1" x14ac:dyDescent="0.25">
      <c r="A3151" s="462"/>
    </row>
    <row r="3152" spans="1:1" x14ac:dyDescent="0.25">
      <c r="A3152" s="462"/>
    </row>
    <row r="3153" spans="1:1" x14ac:dyDescent="0.25">
      <c r="A3153" s="462"/>
    </row>
    <row r="3154" spans="1:1" x14ac:dyDescent="0.25">
      <c r="A3154" s="462"/>
    </row>
    <row r="3155" spans="1:1" x14ac:dyDescent="0.25">
      <c r="A3155" s="462"/>
    </row>
    <row r="3156" spans="1:1" x14ac:dyDescent="0.25">
      <c r="A3156" s="462"/>
    </row>
    <row r="3157" spans="1:1" x14ac:dyDescent="0.25">
      <c r="A3157" s="462"/>
    </row>
    <row r="3158" spans="1:1" x14ac:dyDescent="0.25">
      <c r="A3158" s="462"/>
    </row>
    <row r="3159" spans="1:1" x14ac:dyDescent="0.25">
      <c r="A3159" s="462"/>
    </row>
    <row r="3160" spans="1:1" x14ac:dyDescent="0.25">
      <c r="A3160" s="462"/>
    </row>
    <row r="3161" spans="1:1" x14ac:dyDescent="0.25">
      <c r="A3161" s="462"/>
    </row>
    <row r="3162" spans="1:1" x14ac:dyDescent="0.25">
      <c r="A3162" s="462"/>
    </row>
    <row r="3163" spans="1:1" x14ac:dyDescent="0.25">
      <c r="A3163" s="462"/>
    </row>
    <row r="3164" spans="1:1" x14ac:dyDescent="0.25">
      <c r="A3164" s="462"/>
    </row>
  </sheetData>
  <dataConsolidate/>
  <mergeCells count="93">
    <mergeCell ref="C91:D91"/>
    <mergeCell ref="C92:D92"/>
    <mergeCell ref="I9:K9"/>
    <mergeCell ref="C76:D76"/>
    <mergeCell ref="C77:D77"/>
    <mergeCell ref="G77:G92"/>
    <mergeCell ref="C78:D78"/>
    <mergeCell ref="C79:D79"/>
    <mergeCell ref="C80:D80"/>
    <mergeCell ref="C81:D81"/>
    <mergeCell ref="C82:D82"/>
    <mergeCell ref="C83:D83"/>
    <mergeCell ref="C84:D84"/>
    <mergeCell ref="C85:D85"/>
    <mergeCell ref="C86:D86"/>
    <mergeCell ref="C87:D87"/>
    <mergeCell ref="C88:D88"/>
    <mergeCell ref="C89:D89"/>
    <mergeCell ref="C90:D90"/>
    <mergeCell ref="C71:D71"/>
    <mergeCell ref="C72:D72"/>
    <mergeCell ref="C73:D73"/>
    <mergeCell ref="C74:D74"/>
    <mergeCell ref="C56:D56"/>
    <mergeCell ref="I7:K7"/>
    <mergeCell ref="C58:D58"/>
    <mergeCell ref="C59:D59"/>
    <mergeCell ref="G59:G74"/>
    <mergeCell ref="C60:D60"/>
    <mergeCell ref="C61:D61"/>
    <mergeCell ref="C62:D62"/>
    <mergeCell ref="C63:D63"/>
    <mergeCell ref="C64:D64"/>
    <mergeCell ref="C65:D65"/>
    <mergeCell ref="C66:D66"/>
    <mergeCell ref="C67:D67"/>
    <mergeCell ref="C68:D68"/>
    <mergeCell ref="C69:D69"/>
    <mergeCell ref="C70:D70"/>
    <mergeCell ref="C41:D41"/>
    <mergeCell ref="G41:G56"/>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11:D11"/>
    <mergeCell ref="C12:D12"/>
    <mergeCell ref="C13:D13"/>
    <mergeCell ref="C15:D15"/>
    <mergeCell ref="C40:D40"/>
    <mergeCell ref="C17:D17"/>
    <mergeCell ref="C19:D19"/>
    <mergeCell ref="C14:D14"/>
    <mergeCell ref="C36:D36"/>
    <mergeCell ref="C37:D37"/>
    <mergeCell ref="C21:D21"/>
    <mergeCell ref="C22:D22"/>
    <mergeCell ref="I5:K5"/>
    <mergeCell ref="C3:D3"/>
    <mergeCell ref="C4:D4"/>
    <mergeCell ref="C18:D18"/>
    <mergeCell ref="I3:K3"/>
    <mergeCell ref="I4:K4"/>
    <mergeCell ref="G4:G19"/>
    <mergeCell ref="C5:D5"/>
    <mergeCell ref="C6:D6"/>
    <mergeCell ref="C7:D7"/>
    <mergeCell ref="C8:D8"/>
    <mergeCell ref="C9:D9"/>
    <mergeCell ref="C10:D10"/>
    <mergeCell ref="I6:K6"/>
    <mergeCell ref="C16:D16"/>
    <mergeCell ref="I8:K8"/>
    <mergeCell ref="G22:G37"/>
    <mergeCell ref="C23:D23"/>
    <mergeCell ref="C24:D24"/>
    <mergeCell ref="C25:D25"/>
    <mergeCell ref="C26:D26"/>
    <mergeCell ref="C27:D27"/>
    <mergeCell ref="C28:D28"/>
    <mergeCell ref="C33:D33"/>
    <mergeCell ref="C34:D34"/>
    <mergeCell ref="C35:D35"/>
  </mergeCells>
  <conditionalFormatting sqref="A4:A39 A57 A75 A93:A5839">
    <cfRule type="cellIs" dxfId="499" priority="41" operator="equal">
      <formula>" "</formula>
    </cfRule>
    <cfRule type="cellIs" dxfId="498" priority="42" operator="equal">
      <formula>"W"</formula>
    </cfRule>
    <cfRule type="cellIs" dxfId="497" priority="43" operator="equal">
      <formula>"E"</formula>
    </cfRule>
    <cfRule type="cellIs" dxfId="496" priority="44" operator="equal">
      <formula>"X"</formula>
    </cfRule>
  </conditionalFormatting>
  <conditionalFormatting sqref="A40:A56">
    <cfRule type="cellIs" dxfId="495" priority="9" operator="equal">
      <formula>" "</formula>
    </cfRule>
    <cfRule type="cellIs" dxfId="494" priority="10" operator="equal">
      <formula>"W"</formula>
    </cfRule>
    <cfRule type="cellIs" dxfId="493" priority="11" operator="equal">
      <formula>"E"</formula>
    </cfRule>
    <cfRule type="cellIs" dxfId="492" priority="12" operator="equal">
      <formula>"X"</formula>
    </cfRule>
  </conditionalFormatting>
  <conditionalFormatting sqref="A58:A74">
    <cfRule type="cellIs" dxfId="491" priority="5" operator="equal">
      <formula>" "</formula>
    </cfRule>
    <cfRule type="cellIs" dxfId="490" priority="6" operator="equal">
      <formula>"W"</formula>
    </cfRule>
    <cfRule type="cellIs" dxfId="489" priority="7" operator="equal">
      <formula>"E"</formula>
    </cfRule>
    <cfRule type="cellIs" dxfId="488" priority="8" operator="equal">
      <formula>"X"</formula>
    </cfRule>
  </conditionalFormatting>
  <conditionalFormatting sqref="A77:A92">
    <cfRule type="cellIs" dxfId="487" priority="1" operator="equal">
      <formula>" "</formula>
    </cfRule>
    <cfRule type="cellIs" dxfId="486" priority="2" operator="equal">
      <formula>"W"</formula>
    </cfRule>
    <cfRule type="cellIs" dxfId="485" priority="3" operator="equal">
      <formula>"E"</formula>
    </cfRule>
    <cfRule type="cellIs" dxfId="484" priority="4" operator="equal">
      <formula>"X"</formula>
    </cfRule>
  </conditionalFormatting>
  <dataValidations count="1">
    <dataValidation type="decimal" allowBlank="1" showInputMessage="1" showErrorMessage="1" errorTitle="Incorrect Value for ABP/HP" error="The entered value does not meet the criteria for 'ABP' or 'HP' values._x000a__x000a_Only decimal values ​​between 0.25 and 100 in increments of 0.25 are supported." sqref="E4:F19 E22:F37 E46:F56 E41:F41 E63:F74 E59:F59 E77:F92">
      <formula1>0.25</formula1>
      <formula2>100</formula2>
    </dataValidation>
  </dataValidations>
  <pageMargins left="0.39370078740157499" right="0.39370078740157499" top="0.59055118110236204" bottom="0.59055118110236204" header="0.196850393700787" footer="0.196850393700787"/>
  <pageSetup scale="67" orientation="portrait" r:id="rId1"/>
  <headerFooter>
    <oddFooter>&amp;L&amp;"Calibri,Regular"&amp;9&amp;D&amp;C&amp;"Calibri,Regular"&amp;9&amp;GSapient Confidential
        &amp;6  Estimation Tool V5.0.0&amp;R&amp;"Calibri,Regular"&amp;9Page &amp;P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5" r:id="rId5" name="Button 5">
              <controlPr defaultSize="0" print="0" autoFill="0" autoPict="0" macro="[0]!AddNewTasksMetricsBoxFromTemplate">
                <anchor moveWithCells="1" sizeWithCells="1">
                  <from>
                    <xdr:col>6</xdr:col>
                    <xdr:colOff>38100</xdr:colOff>
                    <xdr:row>0</xdr:row>
                    <xdr:rowOff>142875</xdr:rowOff>
                  </from>
                  <to>
                    <xdr:col>7</xdr:col>
                    <xdr:colOff>0</xdr:colOff>
                    <xdr:row>0</xdr:row>
                    <xdr:rowOff>381000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127"/>
  <sheetViews>
    <sheetView showGridLines="0" tabSelected="1" zoomScale="70" zoomScaleNormal="70" zoomScalePageLayoutView="90" workbookViewId="0">
      <selection activeCell="V108" sqref="V9:V108"/>
    </sheetView>
  </sheetViews>
  <sheetFormatPr defaultColWidth="8.875" defaultRowHeight="15.75" x14ac:dyDescent="0.25"/>
  <cols>
    <col min="1" max="2" width="1.875" customWidth="1"/>
    <col min="3" max="3" width="10" customWidth="1"/>
    <col min="4" max="4" width="30.875" style="11" customWidth="1"/>
    <col min="5" max="5" width="11.5" customWidth="1"/>
    <col min="6" max="6" width="14.625" customWidth="1"/>
    <col min="7" max="7" width="53.625" style="11" customWidth="1"/>
    <col min="8" max="8" width="25.25" style="11" customWidth="1"/>
    <col min="9" max="9" width="18.125" hidden="1" customWidth="1"/>
    <col min="10" max="10" width="14.625" style="485" hidden="1" customWidth="1"/>
    <col min="11" max="11" width="7.5" customWidth="1"/>
    <col min="12" max="12" width="7.5" hidden="1" customWidth="1"/>
    <col min="13" max="13" width="32.125" customWidth="1"/>
    <col min="14" max="15" width="5.5" customWidth="1"/>
    <col min="16" max="16" width="8" customWidth="1"/>
    <col min="17" max="17" width="5.875" bestFit="1" customWidth="1"/>
    <col min="18" max="18" width="5.5" customWidth="1"/>
    <col min="19" max="19" width="5.125" bestFit="1" customWidth="1"/>
    <col min="20" max="20" width="5.125" customWidth="1"/>
    <col min="21" max="21" width="8" customWidth="1"/>
    <col min="22" max="22" width="6.875" customWidth="1"/>
    <col min="23" max="23" width="27.125" customWidth="1"/>
    <col min="24" max="24" width="1.875" customWidth="1"/>
    <col min="25" max="26" width="9" customWidth="1"/>
  </cols>
  <sheetData>
    <row r="1" spans="1:23" ht="2.25" customHeight="1" x14ac:dyDescent="0.25">
      <c r="Q1" s="100"/>
      <c r="R1" s="101"/>
      <c r="S1" s="101"/>
      <c r="T1" s="101"/>
      <c r="U1" s="101"/>
      <c r="V1" s="102"/>
    </row>
    <row r="2" spans="1:23" ht="49.5" customHeight="1" x14ac:dyDescent="0.25">
      <c r="B2" s="336" t="s">
        <v>63</v>
      </c>
      <c r="C2" s="337"/>
      <c r="D2" s="519" t="str">
        <f>project_headline</f>
        <v>Fidelity - Global CMS validation | Estimation</v>
      </c>
      <c r="E2" s="337"/>
      <c r="G2" s="12"/>
      <c r="P2" s="50"/>
      <c r="Q2" s="103" t="s">
        <v>1166</v>
      </c>
      <c r="R2" s="104"/>
      <c r="S2" s="104"/>
      <c r="T2" s="104"/>
      <c r="U2" s="104"/>
      <c r="V2" s="105"/>
    </row>
    <row r="3" spans="1:23" ht="15" customHeight="1" x14ac:dyDescent="0.25">
      <c r="B3" s="12"/>
      <c r="C3" s="12"/>
      <c r="D3" s="12"/>
      <c r="E3" s="12"/>
      <c r="F3" s="12"/>
      <c r="G3" s="12"/>
      <c r="J3" s="12"/>
      <c r="Q3" s="453" t="s">
        <v>20</v>
      </c>
      <c r="R3" s="454"/>
      <c r="S3" s="455" t="s">
        <v>21</v>
      </c>
      <c r="T3" s="454"/>
      <c r="U3" s="455" t="s">
        <v>72</v>
      </c>
      <c r="V3" s="456"/>
    </row>
    <row r="4" spans="1:23" ht="16.5" customHeight="1" x14ac:dyDescent="0.25">
      <c r="B4" s="7" t="s">
        <v>1272</v>
      </c>
      <c r="C4" s="12"/>
      <c r="D4" s="12"/>
      <c r="E4" s="12"/>
      <c r="F4" s="12"/>
      <c r="G4" s="12"/>
      <c r="J4" s="12"/>
      <c r="Q4" s="457">
        <f>SUM(R:R)</f>
        <v>248.1</v>
      </c>
      <c r="R4" s="458"/>
      <c r="S4" s="459">
        <f>SUM(T:T)</f>
        <v>380.9</v>
      </c>
      <c r="T4" s="458"/>
      <c r="U4" s="460">
        <f>ROUND(SUM(V:V),0)</f>
        <v>316</v>
      </c>
      <c r="V4" s="461"/>
    </row>
    <row r="5" spans="1:23" ht="7.5" customHeight="1" x14ac:dyDescent="0.25">
      <c r="B5" t="s">
        <v>1272</v>
      </c>
    </row>
    <row r="6" spans="1:23" ht="28.5" customHeight="1" x14ac:dyDescent="0.25">
      <c r="B6" s="470" t="s">
        <v>64</v>
      </c>
      <c r="C6" s="65" t="s">
        <v>27</v>
      </c>
      <c r="D6" s="349" t="s">
        <v>1172</v>
      </c>
      <c r="E6" s="349" t="s">
        <v>1169</v>
      </c>
      <c r="F6" s="65" t="s">
        <v>28</v>
      </c>
      <c r="G6" s="65" t="s">
        <v>65</v>
      </c>
      <c r="H6" s="65" t="s">
        <v>69</v>
      </c>
      <c r="I6" s="65" t="s">
        <v>66</v>
      </c>
      <c r="J6" s="349" t="s">
        <v>1374</v>
      </c>
      <c r="K6" s="65" t="s">
        <v>70</v>
      </c>
      <c r="L6" s="349" t="s">
        <v>540</v>
      </c>
      <c r="M6" s="65" t="s">
        <v>19</v>
      </c>
      <c r="N6" s="62" t="s">
        <v>20</v>
      </c>
      <c r="O6" s="65" t="s">
        <v>21</v>
      </c>
      <c r="P6" s="62" t="s">
        <v>71</v>
      </c>
      <c r="Q6" s="107" t="s">
        <v>808</v>
      </c>
      <c r="R6" s="62" t="s">
        <v>20</v>
      </c>
      <c r="S6" s="107" t="s">
        <v>809</v>
      </c>
      <c r="T6" s="62" t="s">
        <v>21</v>
      </c>
      <c r="U6" s="107" t="s">
        <v>810</v>
      </c>
      <c r="V6" s="65" t="s">
        <v>72</v>
      </c>
      <c r="W6" s="63" t="s">
        <v>33</v>
      </c>
    </row>
    <row r="7" spans="1:23" x14ac:dyDescent="0.25">
      <c r="A7" s="6"/>
      <c r="B7" s="72"/>
      <c r="C7" s="503" t="s">
        <v>1704</v>
      </c>
      <c r="D7" s="504"/>
      <c r="E7" s="503"/>
      <c r="F7" s="503"/>
      <c r="G7" s="504"/>
      <c r="H7" s="504"/>
      <c r="I7" s="503"/>
      <c r="J7" s="503"/>
      <c r="K7" s="503"/>
      <c r="L7" s="503"/>
      <c r="M7" s="503"/>
      <c r="N7" s="505"/>
      <c r="O7" s="506"/>
      <c r="P7" s="507"/>
      <c r="Q7" s="506"/>
      <c r="R7" s="505"/>
      <c r="S7" s="508"/>
      <c r="T7" s="509"/>
      <c r="U7" s="506"/>
      <c r="V7" s="506" t="str">
        <f t="shared" ref="V7:V116" si="0">IF(AND(ISNUMBER(R7),ISNUMBER(T7)),ROUND((R7+T7)/2, 1),"")</f>
        <v/>
      </c>
      <c r="W7" s="510"/>
    </row>
    <row r="8" spans="1:23" s="485" customFormat="1" ht="25.5" x14ac:dyDescent="0.25">
      <c r="A8" s="6"/>
      <c r="B8" s="72"/>
      <c r="C8" s="91"/>
      <c r="D8" s="512" t="s">
        <v>1705</v>
      </c>
      <c r="E8" s="511"/>
      <c r="F8" s="511"/>
      <c r="G8" s="512"/>
      <c r="H8" s="512"/>
      <c r="I8" s="511"/>
      <c r="J8" s="511"/>
      <c r="K8" s="511"/>
      <c r="L8" s="511"/>
      <c r="M8" s="511"/>
      <c r="N8" s="513"/>
      <c r="O8" s="514"/>
      <c r="P8" s="515"/>
      <c r="Q8" s="514"/>
      <c r="R8" s="513"/>
      <c r="S8" s="516"/>
      <c r="T8" s="517"/>
      <c r="U8" s="514"/>
      <c r="V8" s="514"/>
      <c r="W8" s="518"/>
    </row>
    <row r="9" spans="1:23" s="485" customFormat="1" x14ac:dyDescent="0.25">
      <c r="A9" s="6"/>
      <c r="B9" s="72"/>
      <c r="C9" s="91"/>
      <c r="D9" s="520"/>
      <c r="E9" s="91" t="s">
        <v>1645</v>
      </c>
      <c r="F9" s="91" t="s">
        <v>1644</v>
      </c>
      <c r="G9" s="92" t="s">
        <v>1652</v>
      </c>
      <c r="H9" s="92"/>
      <c r="I9" s="91"/>
      <c r="J9" s="91"/>
      <c r="K9" s="91" t="s">
        <v>67</v>
      </c>
      <c r="L9" s="91"/>
      <c r="M9" s="91" t="s">
        <v>1653</v>
      </c>
      <c r="N9" s="93">
        <f>IF(NOT(ISBLANK(M9)),VLOOKUP(M9, metrics_lookup_table, 4, FALSE))</f>
        <v>2</v>
      </c>
      <c r="O9" s="94">
        <f>IF(NOT(ISBLANK(M9)),VLOOKUP(M9, metrics_lookup_table, 5, FALSE))</f>
        <v>4</v>
      </c>
      <c r="P9" s="95">
        <v>1</v>
      </c>
      <c r="Q9" s="87">
        <v>2</v>
      </c>
      <c r="R9" s="90">
        <f t="shared" ref="R9:R116" si="1">IF(AND($K9="In",ISNUMBER($N9)),$P9*$N9,"")</f>
        <v>2</v>
      </c>
      <c r="S9" s="85">
        <v>3</v>
      </c>
      <c r="T9" s="86">
        <f t="shared" ref="T9:T116" si="2">IF(AND($K9="In",ISNUMBER($O9)),$P9*$O9,"")</f>
        <v>4</v>
      </c>
      <c r="U9" s="87"/>
      <c r="V9" s="88">
        <f t="shared" ref="V9" si="3">IF(AND(ISNUMBER(R9),ISNUMBER(T9)),ROUND((R9+T9)/2, 1),"")</f>
        <v>3</v>
      </c>
      <c r="W9" s="89"/>
    </row>
    <row r="10" spans="1:23" s="485" customFormat="1" x14ac:dyDescent="0.25">
      <c r="A10" s="6"/>
      <c r="B10" s="72"/>
      <c r="C10" s="91"/>
      <c r="D10" s="520"/>
      <c r="E10" s="91" t="s">
        <v>1645</v>
      </c>
      <c r="F10" s="91" t="s">
        <v>1644</v>
      </c>
      <c r="G10" s="92" t="s">
        <v>1716</v>
      </c>
      <c r="H10" s="92"/>
      <c r="I10" s="91"/>
      <c r="J10" s="91"/>
      <c r="K10" s="91" t="s">
        <v>67</v>
      </c>
      <c r="L10" s="91"/>
      <c r="M10" s="91" t="s">
        <v>1718</v>
      </c>
      <c r="N10" s="93">
        <f>IF(NOT(ISBLANK(M10)),VLOOKUP(M10, metrics_lookup_table, 4, FALSE))</f>
        <v>1.125</v>
      </c>
      <c r="O10" s="94">
        <f>IF(NOT(ISBLANK(M10)),VLOOKUP(M10, metrics_lookup_table, 5, FALSE))</f>
        <v>2.25</v>
      </c>
      <c r="P10" s="95">
        <v>1</v>
      </c>
      <c r="Q10" s="87">
        <v>2</v>
      </c>
      <c r="R10" s="90">
        <f t="shared" si="1"/>
        <v>1.125</v>
      </c>
      <c r="S10" s="85">
        <v>3</v>
      </c>
      <c r="T10" s="86">
        <f t="shared" si="2"/>
        <v>2.25</v>
      </c>
      <c r="U10" s="87"/>
      <c r="V10" s="88">
        <f t="shared" ref="V10" si="4">IF(AND(ISNUMBER(R10),ISNUMBER(T10)),ROUND((R10+T10)/2, 1),"")</f>
        <v>1.7</v>
      </c>
      <c r="W10" s="89"/>
    </row>
    <row r="11" spans="1:23" x14ac:dyDescent="0.25">
      <c r="A11" s="6"/>
      <c r="B11" s="72"/>
      <c r="C11" s="91"/>
      <c r="D11" s="520"/>
      <c r="E11" s="91" t="s">
        <v>1645</v>
      </c>
      <c r="F11" s="91" t="s">
        <v>1644</v>
      </c>
      <c r="G11" s="92" t="s">
        <v>1730</v>
      </c>
      <c r="H11" s="92"/>
      <c r="I11" s="91"/>
      <c r="J11" s="91"/>
      <c r="K11" s="91" t="s">
        <v>67</v>
      </c>
      <c r="L11" s="91"/>
      <c r="M11" s="91" t="s">
        <v>1724</v>
      </c>
      <c r="N11" s="93">
        <f>IF(NOT(ISBLANK(M11)),VLOOKUP(M11, metrics_lookup_table, 4, FALSE))</f>
        <v>0.45</v>
      </c>
      <c r="O11" s="94">
        <f>IF(NOT(ISBLANK(M11)),VLOOKUP(M11, metrics_lookup_table, 5, FALSE))</f>
        <v>0.55000000000000004</v>
      </c>
      <c r="P11" s="95">
        <v>6</v>
      </c>
      <c r="Q11" s="87">
        <v>0.5</v>
      </c>
      <c r="R11" s="90">
        <f t="shared" si="1"/>
        <v>2.7</v>
      </c>
      <c r="S11" s="85">
        <v>0.5</v>
      </c>
      <c r="T11" s="86">
        <f t="shared" si="2"/>
        <v>3.3000000000000003</v>
      </c>
      <c r="U11" s="87"/>
      <c r="V11" s="88">
        <f t="shared" si="0"/>
        <v>3</v>
      </c>
      <c r="W11" s="89" t="s">
        <v>1814</v>
      </c>
    </row>
    <row r="12" spans="1:23" x14ac:dyDescent="0.25">
      <c r="A12" s="6"/>
      <c r="B12" s="72"/>
      <c r="C12" s="91"/>
      <c r="D12" s="520"/>
      <c r="E12" s="91" t="s">
        <v>1645</v>
      </c>
      <c r="F12" s="91" t="s">
        <v>1644</v>
      </c>
      <c r="G12" s="92" t="s">
        <v>1637</v>
      </c>
      <c r="H12" s="92"/>
      <c r="I12" s="91"/>
      <c r="J12" s="91"/>
      <c r="K12" s="91" t="s">
        <v>67</v>
      </c>
      <c r="L12" s="91"/>
      <c r="M12" s="91"/>
      <c r="N12" s="93">
        <v>1</v>
      </c>
      <c r="O12" s="94">
        <v>1.5</v>
      </c>
      <c r="P12" s="95">
        <v>1</v>
      </c>
      <c r="Q12" s="87"/>
      <c r="R12" s="90">
        <f t="shared" si="1"/>
        <v>1</v>
      </c>
      <c r="S12" s="85"/>
      <c r="T12" s="86">
        <f t="shared" si="2"/>
        <v>1.5</v>
      </c>
      <c r="U12" s="87"/>
      <c r="V12" s="88">
        <f t="shared" si="0"/>
        <v>1.3</v>
      </c>
      <c r="W12" s="89"/>
    </row>
    <row r="13" spans="1:23" ht="25.5" x14ac:dyDescent="0.25">
      <c r="A13" s="6"/>
      <c r="B13" s="72"/>
      <c r="C13" s="91"/>
      <c r="D13" s="520"/>
      <c r="E13" s="91" t="s">
        <v>1645</v>
      </c>
      <c r="F13" s="91" t="s">
        <v>1644</v>
      </c>
      <c r="G13" s="92" t="s">
        <v>1717</v>
      </c>
      <c r="H13" s="92"/>
      <c r="I13" s="91"/>
      <c r="J13" s="91"/>
      <c r="K13" s="91" t="s">
        <v>67</v>
      </c>
      <c r="L13" s="91"/>
      <c r="M13" s="91"/>
      <c r="N13" s="93">
        <v>1.5</v>
      </c>
      <c r="O13" s="94">
        <v>2.5</v>
      </c>
      <c r="P13" s="95">
        <v>1</v>
      </c>
      <c r="Q13" s="87"/>
      <c r="R13" s="90">
        <f t="shared" si="1"/>
        <v>1.5</v>
      </c>
      <c r="S13" s="85"/>
      <c r="T13" s="86">
        <f t="shared" si="2"/>
        <v>2.5</v>
      </c>
      <c r="U13" s="87"/>
      <c r="V13" s="88">
        <f t="shared" si="0"/>
        <v>2</v>
      </c>
      <c r="W13" s="89"/>
    </row>
    <row r="14" spans="1:23" s="485" customFormat="1" x14ac:dyDescent="0.25">
      <c r="A14" s="6"/>
      <c r="B14" s="72"/>
      <c r="C14" s="91"/>
      <c r="D14" s="520"/>
      <c r="E14" s="91" t="s">
        <v>1645</v>
      </c>
      <c r="F14" s="91" t="s">
        <v>1691</v>
      </c>
      <c r="G14" s="92" t="s">
        <v>1652</v>
      </c>
      <c r="H14" s="92"/>
      <c r="I14" s="91"/>
      <c r="J14" s="91"/>
      <c r="K14" s="91" t="s">
        <v>67</v>
      </c>
      <c r="L14" s="91"/>
      <c r="M14" s="91" t="s">
        <v>1653</v>
      </c>
      <c r="N14" s="93">
        <f>IF(NOT(ISBLANK(M14)),VLOOKUP(M14, metrics_lookup_table, 4, FALSE))</f>
        <v>2</v>
      </c>
      <c r="O14" s="94">
        <f>IF(NOT(ISBLANK(M14)),VLOOKUP(M14, metrics_lookup_table, 5, FALSE))</f>
        <v>4</v>
      </c>
      <c r="P14" s="95">
        <v>1</v>
      </c>
      <c r="Q14" s="87">
        <v>2</v>
      </c>
      <c r="R14" s="90">
        <f t="shared" si="1"/>
        <v>2</v>
      </c>
      <c r="S14" s="85">
        <v>3</v>
      </c>
      <c r="T14" s="86">
        <f t="shared" si="2"/>
        <v>4</v>
      </c>
      <c r="U14" s="87"/>
      <c r="V14" s="88">
        <f t="shared" si="0"/>
        <v>3</v>
      </c>
      <c r="W14" s="89"/>
    </row>
    <row r="15" spans="1:23" s="485" customFormat="1" x14ac:dyDescent="0.25">
      <c r="A15" s="6"/>
      <c r="B15" s="72"/>
      <c r="C15" s="91"/>
      <c r="D15" s="520"/>
      <c r="E15" s="91" t="s">
        <v>1645</v>
      </c>
      <c r="F15" s="91" t="s">
        <v>1691</v>
      </c>
      <c r="G15" s="92" t="s">
        <v>1716</v>
      </c>
      <c r="H15" s="92"/>
      <c r="I15" s="91"/>
      <c r="J15" s="91"/>
      <c r="K15" s="91" t="s">
        <v>67</v>
      </c>
      <c r="L15" s="91"/>
      <c r="M15" s="91" t="s">
        <v>1718</v>
      </c>
      <c r="N15" s="93">
        <f>IF(NOT(ISBLANK(M15)),VLOOKUP(M15, metrics_lookup_table, 4, FALSE))</f>
        <v>1.125</v>
      </c>
      <c r="O15" s="94">
        <f>IF(NOT(ISBLANK(M15)),VLOOKUP(M15, metrics_lookup_table, 5, FALSE))</f>
        <v>2.25</v>
      </c>
      <c r="P15" s="95">
        <v>1</v>
      </c>
      <c r="Q15" s="87">
        <v>2</v>
      </c>
      <c r="R15" s="90">
        <f t="shared" si="1"/>
        <v>1.125</v>
      </c>
      <c r="S15" s="85">
        <v>3</v>
      </c>
      <c r="T15" s="86">
        <f t="shared" si="2"/>
        <v>2.25</v>
      </c>
      <c r="U15" s="87"/>
      <c r="V15" s="88">
        <f t="shared" si="0"/>
        <v>1.7</v>
      </c>
      <c r="W15" s="89"/>
    </row>
    <row r="16" spans="1:23" s="485" customFormat="1" x14ac:dyDescent="0.25">
      <c r="A16" s="6"/>
      <c r="B16" s="72"/>
      <c r="C16" s="91"/>
      <c r="D16" s="520"/>
      <c r="E16" s="91" t="s">
        <v>1645</v>
      </c>
      <c r="F16" s="91" t="s">
        <v>1691</v>
      </c>
      <c r="G16" s="92" t="s">
        <v>1730</v>
      </c>
      <c r="H16" s="92"/>
      <c r="I16" s="91"/>
      <c r="J16" s="91"/>
      <c r="K16" s="91" t="s">
        <v>67</v>
      </c>
      <c r="L16" s="91"/>
      <c r="M16" s="91" t="s">
        <v>1724</v>
      </c>
      <c r="N16" s="93">
        <f>IF(NOT(ISBLANK(M16)),VLOOKUP(M16, metrics_lookup_table, 4, FALSE))</f>
        <v>0.45</v>
      </c>
      <c r="O16" s="94">
        <f>IF(NOT(ISBLANK(M16)),VLOOKUP(M16, metrics_lookup_table, 5, FALSE))</f>
        <v>0.55000000000000004</v>
      </c>
      <c r="P16" s="95">
        <v>6</v>
      </c>
      <c r="Q16" s="87">
        <v>5</v>
      </c>
      <c r="R16" s="90">
        <f t="shared" si="1"/>
        <v>2.7</v>
      </c>
      <c r="S16" s="85">
        <v>5</v>
      </c>
      <c r="T16" s="86">
        <f t="shared" si="2"/>
        <v>3.3000000000000003</v>
      </c>
      <c r="U16" s="87"/>
      <c r="V16" s="88">
        <f t="shared" ref="V16:V20" si="5">IF(AND(ISNUMBER(R16),ISNUMBER(T16)),ROUND((R16+T16)/2, 1),"")</f>
        <v>3</v>
      </c>
      <c r="W16" s="89" t="s">
        <v>1814</v>
      </c>
    </row>
    <row r="17" spans="1:23" s="485" customFormat="1" ht="25.5" x14ac:dyDescent="0.25">
      <c r="A17" s="6"/>
      <c r="B17" s="72"/>
      <c r="C17" s="91"/>
      <c r="D17" s="520"/>
      <c r="E17" s="91" t="s">
        <v>1645</v>
      </c>
      <c r="F17" s="91" t="s">
        <v>1691</v>
      </c>
      <c r="G17" s="92" t="s">
        <v>1692</v>
      </c>
      <c r="H17" s="92"/>
      <c r="I17" s="91"/>
      <c r="J17" s="91"/>
      <c r="K17" s="91" t="s">
        <v>67</v>
      </c>
      <c r="L17" s="91"/>
      <c r="M17" s="91"/>
      <c r="N17" s="93">
        <v>1.5</v>
      </c>
      <c r="O17" s="94">
        <v>2.5</v>
      </c>
      <c r="P17" s="561">
        <v>1</v>
      </c>
      <c r="Q17" s="87"/>
      <c r="R17" s="90">
        <f t="shared" si="1"/>
        <v>1.5</v>
      </c>
      <c r="S17" s="85"/>
      <c r="T17" s="86">
        <f t="shared" si="2"/>
        <v>2.5</v>
      </c>
      <c r="U17" s="87"/>
      <c r="V17" s="88">
        <f t="shared" si="5"/>
        <v>2</v>
      </c>
      <c r="W17" s="89"/>
    </row>
    <row r="18" spans="1:23" s="485" customFormat="1" x14ac:dyDescent="0.25">
      <c r="A18" s="6"/>
      <c r="B18" s="72"/>
      <c r="C18" s="91"/>
      <c r="D18" s="520"/>
      <c r="E18" s="91" t="s">
        <v>1645</v>
      </c>
      <c r="F18" s="91" t="s">
        <v>1660</v>
      </c>
      <c r="G18" s="92" t="s">
        <v>1652</v>
      </c>
      <c r="H18" s="92"/>
      <c r="I18" s="91"/>
      <c r="J18" s="91"/>
      <c r="K18" s="91" t="s">
        <v>67</v>
      </c>
      <c r="L18" s="91"/>
      <c r="M18" s="91" t="s">
        <v>1653</v>
      </c>
      <c r="N18" s="93">
        <f>IF(NOT(ISBLANK(M18)),VLOOKUP(M18, metrics_lookup_table, 4, FALSE))</f>
        <v>2</v>
      </c>
      <c r="O18" s="94">
        <f>IF(NOT(ISBLANK(M18)),VLOOKUP(M18, metrics_lookup_table, 5, FALSE))</f>
        <v>4</v>
      </c>
      <c r="P18" s="95">
        <v>1</v>
      </c>
      <c r="Q18" s="87">
        <v>2</v>
      </c>
      <c r="R18" s="90">
        <f t="shared" si="1"/>
        <v>2</v>
      </c>
      <c r="S18" s="85">
        <v>3</v>
      </c>
      <c r="T18" s="86">
        <f t="shared" si="2"/>
        <v>4</v>
      </c>
      <c r="U18" s="87"/>
      <c r="V18" s="88">
        <f t="shared" si="5"/>
        <v>3</v>
      </c>
      <c r="W18" s="89"/>
    </row>
    <row r="19" spans="1:23" s="485" customFormat="1" x14ac:dyDescent="0.25">
      <c r="A19" s="6"/>
      <c r="B19" s="72"/>
      <c r="C19" s="91"/>
      <c r="D19" s="520"/>
      <c r="E19" s="91" t="s">
        <v>1645</v>
      </c>
      <c r="F19" s="91" t="s">
        <v>1660</v>
      </c>
      <c r="G19" s="92" t="s">
        <v>1716</v>
      </c>
      <c r="H19" s="92"/>
      <c r="I19" s="91"/>
      <c r="J19" s="91"/>
      <c r="K19" s="91" t="s">
        <v>67</v>
      </c>
      <c r="L19" s="91"/>
      <c r="M19" s="91" t="s">
        <v>1718</v>
      </c>
      <c r="N19" s="93">
        <f>IF(NOT(ISBLANK(M19)),VLOOKUP(M19, metrics_lookup_table, 4, FALSE))</f>
        <v>1.125</v>
      </c>
      <c r="O19" s="94">
        <f>IF(NOT(ISBLANK(M19)),VLOOKUP(M19, metrics_lookup_table, 5, FALSE))</f>
        <v>2.25</v>
      </c>
      <c r="P19" s="95">
        <v>1</v>
      </c>
      <c r="Q19" s="87">
        <v>2</v>
      </c>
      <c r="R19" s="90">
        <f t="shared" si="1"/>
        <v>1.125</v>
      </c>
      <c r="S19" s="85">
        <v>3</v>
      </c>
      <c r="T19" s="86">
        <f t="shared" si="2"/>
        <v>2.25</v>
      </c>
      <c r="U19" s="87"/>
      <c r="V19" s="88">
        <f t="shared" si="5"/>
        <v>1.7</v>
      </c>
      <c r="W19" s="89"/>
    </row>
    <row r="20" spans="1:23" s="485" customFormat="1" ht="25.5" x14ac:dyDescent="0.25">
      <c r="A20" s="6"/>
      <c r="B20" s="72"/>
      <c r="C20" s="91"/>
      <c r="D20" s="520"/>
      <c r="E20" s="91" t="s">
        <v>1645</v>
      </c>
      <c r="F20" s="91" t="s">
        <v>1660</v>
      </c>
      <c r="G20" s="92" t="s">
        <v>1717</v>
      </c>
      <c r="H20" s="92"/>
      <c r="I20" s="91"/>
      <c r="J20" s="91"/>
      <c r="K20" s="91" t="s">
        <v>67</v>
      </c>
      <c r="L20" s="91"/>
      <c r="M20" s="91"/>
      <c r="N20" s="93">
        <v>1.5</v>
      </c>
      <c r="O20" s="94">
        <v>2.5</v>
      </c>
      <c r="P20" s="95">
        <v>1</v>
      </c>
      <c r="Q20" s="87"/>
      <c r="R20" s="90">
        <f t="shared" si="1"/>
        <v>1.5</v>
      </c>
      <c r="S20" s="85"/>
      <c r="T20" s="86">
        <f t="shared" si="2"/>
        <v>2.5</v>
      </c>
      <c r="U20" s="87"/>
      <c r="V20" s="88">
        <f t="shared" si="5"/>
        <v>2</v>
      </c>
      <c r="W20" s="89"/>
    </row>
    <row r="21" spans="1:23" s="485" customFormat="1" x14ac:dyDescent="0.25">
      <c r="A21" s="6"/>
      <c r="B21" s="72"/>
      <c r="C21" s="91"/>
      <c r="D21" s="520"/>
      <c r="E21" s="91" t="s">
        <v>1645</v>
      </c>
      <c r="F21" s="91" t="s">
        <v>1672</v>
      </c>
      <c r="G21" s="92" t="s">
        <v>1652</v>
      </c>
      <c r="H21" s="92"/>
      <c r="I21" s="91"/>
      <c r="J21" s="91"/>
      <c r="K21" s="91" t="s">
        <v>67</v>
      </c>
      <c r="L21" s="91"/>
      <c r="M21" s="91" t="s">
        <v>1653</v>
      </c>
      <c r="N21" s="93">
        <f>IF(NOT(ISBLANK(M21)),VLOOKUP(M21, metrics_lookup_table, 4, FALSE))</f>
        <v>2</v>
      </c>
      <c r="O21" s="94">
        <f>IF(NOT(ISBLANK(M21)),VLOOKUP(M21, metrics_lookup_table, 5, FALSE))</f>
        <v>4</v>
      </c>
      <c r="P21" s="95">
        <v>1</v>
      </c>
      <c r="Q21" s="87">
        <v>2</v>
      </c>
      <c r="R21" s="90">
        <f t="shared" si="1"/>
        <v>2</v>
      </c>
      <c r="S21" s="85">
        <v>3</v>
      </c>
      <c r="T21" s="86">
        <f t="shared" si="2"/>
        <v>4</v>
      </c>
      <c r="U21" s="87"/>
      <c r="V21" s="88">
        <f t="shared" ref="V21:V23" si="6">IF(AND(ISNUMBER(R21),ISNUMBER(T21)),ROUND((R21+T21)/2, 1),"")</f>
        <v>3</v>
      </c>
      <c r="W21" s="89"/>
    </row>
    <row r="22" spans="1:23" s="485" customFormat="1" x14ac:dyDescent="0.25">
      <c r="A22" s="6"/>
      <c r="B22" s="72"/>
      <c r="C22" s="91"/>
      <c r="D22" s="520"/>
      <c r="E22" s="91" t="s">
        <v>1645</v>
      </c>
      <c r="F22" s="91" t="s">
        <v>1672</v>
      </c>
      <c r="G22" s="92" t="s">
        <v>1716</v>
      </c>
      <c r="H22" s="92"/>
      <c r="I22" s="91"/>
      <c r="J22" s="91"/>
      <c r="K22" s="91" t="s">
        <v>67</v>
      </c>
      <c r="L22" s="91"/>
      <c r="M22" s="91" t="s">
        <v>1718</v>
      </c>
      <c r="N22" s="93">
        <f>IF(NOT(ISBLANK(M22)),VLOOKUP(M22, metrics_lookup_table, 4, FALSE))</f>
        <v>1.125</v>
      </c>
      <c r="O22" s="94">
        <f>IF(NOT(ISBLANK(M22)),VLOOKUP(M22, metrics_lookup_table, 5, FALSE))</f>
        <v>2.25</v>
      </c>
      <c r="P22" s="95">
        <v>1</v>
      </c>
      <c r="Q22" s="87">
        <v>2</v>
      </c>
      <c r="R22" s="90">
        <f t="shared" si="1"/>
        <v>1.125</v>
      </c>
      <c r="S22" s="85">
        <v>3</v>
      </c>
      <c r="T22" s="86">
        <f t="shared" si="2"/>
        <v>2.25</v>
      </c>
      <c r="U22" s="87"/>
      <c r="V22" s="88">
        <f t="shared" si="6"/>
        <v>1.7</v>
      </c>
      <c r="W22" s="89"/>
    </row>
    <row r="23" spans="1:23" s="485" customFormat="1" ht="25.5" x14ac:dyDescent="0.25">
      <c r="A23" s="6"/>
      <c r="B23" s="72"/>
      <c r="C23" s="91"/>
      <c r="D23" s="520"/>
      <c r="E23" s="91" t="s">
        <v>1645</v>
      </c>
      <c r="F23" s="91" t="s">
        <v>1672</v>
      </c>
      <c r="G23" s="92" t="s">
        <v>1717</v>
      </c>
      <c r="H23" s="92"/>
      <c r="I23" s="91"/>
      <c r="J23" s="91"/>
      <c r="K23" s="91" t="s">
        <v>67</v>
      </c>
      <c r="L23" s="91"/>
      <c r="M23" s="91"/>
      <c r="N23" s="93">
        <v>1.5</v>
      </c>
      <c r="O23" s="94">
        <v>2.5</v>
      </c>
      <c r="P23" s="95">
        <v>1</v>
      </c>
      <c r="Q23" s="87"/>
      <c r="R23" s="90">
        <f t="shared" si="1"/>
        <v>1.5</v>
      </c>
      <c r="S23" s="85"/>
      <c r="T23" s="86">
        <f t="shared" si="2"/>
        <v>2.5</v>
      </c>
      <c r="U23" s="87"/>
      <c r="V23" s="88">
        <f t="shared" si="6"/>
        <v>2</v>
      </c>
      <c r="W23" s="89"/>
    </row>
    <row r="24" spans="1:23" s="485" customFormat="1" x14ac:dyDescent="0.25">
      <c r="A24" s="6"/>
      <c r="B24" s="72"/>
      <c r="C24" s="91"/>
      <c r="D24" s="520"/>
      <c r="E24" s="91" t="s">
        <v>1645</v>
      </c>
      <c r="F24" s="91" t="s">
        <v>1680</v>
      </c>
      <c r="G24" s="92" t="s">
        <v>1652</v>
      </c>
      <c r="H24" s="92"/>
      <c r="I24" s="91"/>
      <c r="J24" s="91"/>
      <c r="K24" s="91" t="s">
        <v>67</v>
      </c>
      <c r="L24" s="91"/>
      <c r="M24" s="91" t="s">
        <v>1653</v>
      </c>
      <c r="N24" s="93">
        <f>IF(NOT(ISBLANK(M24)),VLOOKUP(M24, metrics_lookup_table, 4, FALSE))</f>
        <v>2</v>
      </c>
      <c r="O24" s="94">
        <f>IF(NOT(ISBLANK(M24)),VLOOKUP(M24, metrics_lookup_table, 5, FALSE))</f>
        <v>4</v>
      </c>
      <c r="P24" s="95">
        <v>1</v>
      </c>
      <c r="Q24" s="87">
        <v>2</v>
      </c>
      <c r="R24" s="90">
        <f t="shared" si="1"/>
        <v>2</v>
      </c>
      <c r="S24" s="85">
        <v>3</v>
      </c>
      <c r="T24" s="86">
        <f t="shared" si="2"/>
        <v>4</v>
      </c>
      <c r="U24" s="87"/>
      <c r="V24" s="88">
        <f t="shared" ref="V24:V26" si="7">IF(AND(ISNUMBER(R24),ISNUMBER(T24)),ROUND((R24+T24)/2, 1),"")</f>
        <v>3</v>
      </c>
      <c r="W24" s="89"/>
    </row>
    <row r="25" spans="1:23" s="485" customFormat="1" x14ac:dyDescent="0.25">
      <c r="A25" s="6"/>
      <c r="B25" s="72"/>
      <c r="C25" s="91"/>
      <c r="D25" s="520"/>
      <c r="E25" s="91" t="s">
        <v>1645</v>
      </c>
      <c r="F25" s="91" t="s">
        <v>1680</v>
      </c>
      <c r="G25" s="92" t="s">
        <v>1716</v>
      </c>
      <c r="H25" s="92"/>
      <c r="I25" s="91"/>
      <c r="J25" s="91"/>
      <c r="K25" s="91" t="s">
        <v>67</v>
      </c>
      <c r="L25" s="91"/>
      <c r="M25" s="91" t="s">
        <v>1718</v>
      </c>
      <c r="N25" s="93">
        <f>IF(NOT(ISBLANK(M25)),VLOOKUP(M25, metrics_lookup_table, 4, FALSE))</f>
        <v>1.125</v>
      </c>
      <c r="O25" s="94">
        <f>IF(NOT(ISBLANK(M25)),VLOOKUP(M25, metrics_lookup_table, 5, FALSE))</f>
        <v>2.25</v>
      </c>
      <c r="P25" s="95">
        <v>1</v>
      </c>
      <c r="Q25" s="87">
        <v>2</v>
      </c>
      <c r="R25" s="90">
        <f t="shared" si="1"/>
        <v>1.125</v>
      </c>
      <c r="S25" s="85">
        <v>3</v>
      </c>
      <c r="T25" s="86">
        <f t="shared" si="2"/>
        <v>2.25</v>
      </c>
      <c r="U25" s="87"/>
      <c r="V25" s="88">
        <f t="shared" si="7"/>
        <v>1.7</v>
      </c>
      <c r="W25" s="89"/>
    </row>
    <row r="26" spans="1:23" s="485" customFormat="1" ht="25.5" x14ac:dyDescent="0.25">
      <c r="A26" s="6"/>
      <c r="B26" s="72"/>
      <c r="C26" s="91"/>
      <c r="D26" s="520"/>
      <c r="E26" s="91" t="s">
        <v>1645</v>
      </c>
      <c r="F26" s="91" t="s">
        <v>1680</v>
      </c>
      <c r="G26" s="92" t="s">
        <v>1717</v>
      </c>
      <c r="H26" s="92"/>
      <c r="I26" s="91"/>
      <c r="J26" s="91"/>
      <c r="K26" s="91" t="s">
        <v>67</v>
      </c>
      <c r="L26" s="91"/>
      <c r="M26" s="91"/>
      <c r="N26" s="93">
        <v>1.5</v>
      </c>
      <c r="O26" s="94">
        <v>2.5</v>
      </c>
      <c r="P26" s="95">
        <v>1</v>
      </c>
      <c r="Q26" s="87"/>
      <c r="R26" s="90">
        <f t="shared" si="1"/>
        <v>1.5</v>
      </c>
      <c r="S26" s="85"/>
      <c r="T26" s="86">
        <f t="shared" si="2"/>
        <v>2.5</v>
      </c>
      <c r="U26" s="87"/>
      <c r="V26" s="88">
        <f t="shared" si="7"/>
        <v>2</v>
      </c>
      <c r="W26" s="89"/>
    </row>
    <row r="27" spans="1:23" s="485" customFormat="1" x14ac:dyDescent="0.25">
      <c r="A27" s="6"/>
      <c r="B27" s="72"/>
      <c r="C27" s="91"/>
      <c r="D27" s="520"/>
      <c r="E27" s="91" t="s">
        <v>1645</v>
      </c>
      <c r="F27" s="91" t="s">
        <v>1681</v>
      </c>
      <c r="G27" s="92" t="s">
        <v>1652</v>
      </c>
      <c r="H27" s="92"/>
      <c r="I27" s="91"/>
      <c r="J27" s="91"/>
      <c r="K27" s="91" t="s">
        <v>67</v>
      </c>
      <c r="L27" s="91"/>
      <c r="M27" s="91" t="s">
        <v>1653</v>
      </c>
      <c r="N27" s="93">
        <f>IF(NOT(ISBLANK(M27)),VLOOKUP(M27, metrics_lookup_table, 4, FALSE))</f>
        <v>2</v>
      </c>
      <c r="O27" s="94">
        <f>IF(NOT(ISBLANK(M27)),VLOOKUP(M27, metrics_lookup_table, 5, FALSE))</f>
        <v>4</v>
      </c>
      <c r="P27" s="95">
        <v>1</v>
      </c>
      <c r="Q27" s="87">
        <v>2</v>
      </c>
      <c r="R27" s="90">
        <f t="shared" si="1"/>
        <v>2</v>
      </c>
      <c r="S27" s="85">
        <v>3</v>
      </c>
      <c r="T27" s="86">
        <f t="shared" si="2"/>
        <v>4</v>
      </c>
      <c r="U27" s="87"/>
      <c r="V27" s="88">
        <f t="shared" ref="V27:V29" si="8">IF(AND(ISNUMBER(R27),ISNUMBER(T27)),ROUND((R27+T27)/2, 1),"")</f>
        <v>3</v>
      </c>
      <c r="W27" s="89"/>
    </row>
    <row r="28" spans="1:23" s="485" customFormat="1" x14ac:dyDescent="0.25">
      <c r="A28" s="6"/>
      <c r="B28" s="72"/>
      <c r="C28" s="91"/>
      <c r="D28" s="520"/>
      <c r="E28" s="91" t="s">
        <v>1645</v>
      </c>
      <c r="F28" s="91" t="s">
        <v>1681</v>
      </c>
      <c r="G28" s="92" t="s">
        <v>1716</v>
      </c>
      <c r="H28" s="92"/>
      <c r="I28" s="91"/>
      <c r="J28" s="91"/>
      <c r="K28" s="91" t="s">
        <v>67</v>
      </c>
      <c r="L28" s="91"/>
      <c r="M28" s="91" t="s">
        <v>1718</v>
      </c>
      <c r="N28" s="93">
        <f>IF(NOT(ISBLANK(M28)),VLOOKUP(M28, metrics_lookup_table, 4, FALSE))</f>
        <v>1.125</v>
      </c>
      <c r="O28" s="94">
        <f>IF(NOT(ISBLANK(M28)),VLOOKUP(M28, metrics_lookup_table, 5, FALSE))</f>
        <v>2.25</v>
      </c>
      <c r="P28" s="95">
        <v>1</v>
      </c>
      <c r="Q28" s="87">
        <v>2</v>
      </c>
      <c r="R28" s="90">
        <f t="shared" si="1"/>
        <v>1.125</v>
      </c>
      <c r="S28" s="85">
        <v>3</v>
      </c>
      <c r="T28" s="86">
        <f t="shared" si="2"/>
        <v>2.25</v>
      </c>
      <c r="U28" s="87"/>
      <c r="V28" s="88">
        <f t="shared" si="8"/>
        <v>1.7</v>
      </c>
      <c r="W28" s="89"/>
    </row>
    <row r="29" spans="1:23" s="485" customFormat="1" ht="25.5" x14ac:dyDescent="0.25">
      <c r="A29" s="6"/>
      <c r="B29" s="72"/>
      <c r="C29" s="91"/>
      <c r="D29" s="520"/>
      <c r="E29" s="91" t="s">
        <v>1645</v>
      </c>
      <c r="F29" s="91" t="s">
        <v>1681</v>
      </c>
      <c r="G29" s="92" t="s">
        <v>1717</v>
      </c>
      <c r="H29" s="92"/>
      <c r="I29" s="91"/>
      <c r="J29" s="91"/>
      <c r="K29" s="91" t="s">
        <v>67</v>
      </c>
      <c r="L29" s="91"/>
      <c r="M29" s="91"/>
      <c r="N29" s="93">
        <v>1.5</v>
      </c>
      <c r="O29" s="94">
        <v>2.5</v>
      </c>
      <c r="P29" s="95">
        <v>1</v>
      </c>
      <c r="Q29" s="87"/>
      <c r="R29" s="90">
        <f t="shared" si="1"/>
        <v>1.5</v>
      </c>
      <c r="S29" s="85"/>
      <c r="T29" s="86">
        <f t="shared" si="2"/>
        <v>2.5</v>
      </c>
      <c r="U29" s="87"/>
      <c r="V29" s="88">
        <f t="shared" si="8"/>
        <v>2</v>
      </c>
      <c r="W29" s="89"/>
    </row>
    <row r="30" spans="1:23" s="485" customFormat="1" ht="25.5" x14ac:dyDescent="0.25">
      <c r="A30" s="6"/>
      <c r="B30" s="72"/>
      <c r="C30" s="91"/>
      <c r="D30" s="512" t="s">
        <v>1706</v>
      </c>
      <c r="E30" s="511"/>
      <c r="F30" s="511"/>
      <c r="G30" s="512"/>
      <c r="H30" s="512"/>
      <c r="I30" s="511"/>
      <c r="J30" s="511"/>
      <c r="K30" s="511"/>
      <c r="L30" s="511"/>
      <c r="M30" s="511"/>
      <c r="N30" s="513"/>
      <c r="O30" s="514"/>
      <c r="P30" s="515"/>
      <c r="Q30" s="514"/>
      <c r="R30" s="513"/>
      <c r="S30" s="516"/>
      <c r="T30" s="517"/>
      <c r="U30" s="514"/>
      <c r="V30" s="514"/>
      <c r="W30" s="518"/>
    </row>
    <row r="31" spans="1:23" s="485" customFormat="1" x14ac:dyDescent="0.25">
      <c r="A31" s="6"/>
      <c r="B31" s="72"/>
      <c r="C31" s="91"/>
      <c r="D31" s="520"/>
      <c r="E31" s="91" t="s">
        <v>1645</v>
      </c>
      <c r="F31" s="91" t="s">
        <v>1644</v>
      </c>
      <c r="G31" s="92" t="s">
        <v>1716</v>
      </c>
      <c r="H31" s="92"/>
      <c r="I31" s="91"/>
      <c r="J31" s="91"/>
      <c r="K31" s="91" t="s">
        <v>67</v>
      </c>
      <c r="L31" s="91"/>
      <c r="M31" s="91" t="s">
        <v>1718</v>
      </c>
      <c r="N31" s="93">
        <f>IF(NOT(ISBLANK(M31)),VLOOKUP(M31, metrics_lookup_table, 4, FALSE))</f>
        <v>1.125</v>
      </c>
      <c r="O31" s="94">
        <f>IF(NOT(ISBLANK(M31)),VLOOKUP(M31, metrics_lookup_table, 5, FALSE))</f>
        <v>2.25</v>
      </c>
      <c r="P31" s="95">
        <v>1</v>
      </c>
      <c r="Q31" s="87">
        <v>2</v>
      </c>
      <c r="R31" s="90">
        <f t="shared" si="1"/>
        <v>1.125</v>
      </c>
      <c r="S31" s="85">
        <v>3</v>
      </c>
      <c r="T31" s="86">
        <f t="shared" si="2"/>
        <v>2.25</v>
      </c>
      <c r="U31" s="87"/>
      <c r="V31" s="88">
        <f t="shared" ref="V31:V33" si="9">IF(AND(ISNUMBER(R31),ISNUMBER(T31)),ROUND((R31+T31)/2, 1),"")</f>
        <v>1.7</v>
      </c>
      <c r="W31" s="89"/>
    </row>
    <row r="32" spans="1:23" s="485" customFormat="1" x14ac:dyDescent="0.25">
      <c r="A32" s="6"/>
      <c r="B32" s="72"/>
      <c r="C32" s="91"/>
      <c r="D32" s="520"/>
      <c r="E32" s="91" t="s">
        <v>1645</v>
      </c>
      <c r="F32" s="91" t="s">
        <v>1644</v>
      </c>
      <c r="G32" s="92" t="s">
        <v>1731</v>
      </c>
      <c r="H32" s="92"/>
      <c r="I32" s="91"/>
      <c r="J32" s="91"/>
      <c r="K32" s="91" t="s">
        <v>67</v>
      </c>
      <c r="L32" s="91"/>
      <c r="M32" s="91" t="s">
        <v>1724</v>
      </c>
      <c r="N32" s="93">
        <f>IF(NOT(ISBLANK(M32)),VLOOKUP(M32, metrics_lookup_table, 4, FALSE))</f>
        <v>0.45</v>
      </c>
      <c r="O32" s="94">
        <f>IF(NOT(ISBLANK(M32)),VLOOKUP(M32, metrics_lookup_table, 5, FALSE))</f>
        <v>0.55000000000000004</v>
      </c>
      <c r="P32" s="95">
        <v>6</v>
      </c>
      <c r="Q32" s="87">
        <v>0.5</v>
      </c>
      <c r="R32" s="90">
        <f t="shared" si="1"/>
        <v>2.7</v>
      </c>
      <c r="S32" s="85">
        <v>0.5</v>
      </c>
      <c r="T32" s="86">
        <f t="shared" si="2"/>
        <v>3.3000000000000003</v>
      </c>
      <c r="U32" s="87"/>
      <c r="V32" s="88">
        <f t="shared" si="9"/>
        <v>3</v>
      </c>
      <c r="W32" s="89" t="s">
        <v>1814</v>
      </c>
    </row>
    <row r="33" spans="1:31" s="485" customFormat="1" ht="25.5" x14ac:dyDescent="0.25">
      <c r="A33" s="6"/>
      <c r="B33" s="72"/>
      <c r="C33" s="91"/>
      <c r="D33" s="520"/>
      <c r="E33" s="91" t="s">
        <v>1645</v>
      </c>
      <c r="F33" s="91" t="s">
        <v>1644</v>
      </c>
      <c r="G33" s="92" t="s">
        <v>1717</v>
      </c>
      <c r="H33" s="92"/>
      <c r="I33" s="91"/>
      <c r="J33" s="91"/>
      <c r="K33" s="91" t="s">
        <v>67</v>
      </c>
      <c r="L33" s="91"/>
      <c r="M33" s="91"/>
      <c r="N33" s="93">
        <v>1.5</v>
      </c>
      <c r="O33" s="94">
        <v>2.5</v>
      </c>
      <c r="P33" s="95">
        <v>1</v>
      </c>
      <c r="Q33" s="87"/>
      <c r="R33" s="90">
        <f t="shared" si="1"/>
        <v>1.5</v>
      </c>
      <c r="S33" s="85"/>
      <c r="T33" s="86">
        <f t="shared" si="2"/>
        <v>2.5</v>
      </c>
      <c r="U33" s="87"/>
      <c r="V33" s="88">
        <f t="shared" si="9"/>
        <v>2</v>
      </c>
      <c r="W33" s="89"/>
    </row>
    <row r="34" spans="1:31" s="485" customFormat="1" ht="25.5" x14ac:dyDescent="0.25">
      <c r="A34" s="6"/>
      <c r="B34" s="72"/>
      <c r="C34" s="91"/>
      <c r="D34" s="520"/>
      <c r="E34" s="91" t="s">
        <v>1645</v>
      </c>
      <c r="F34" s="91" t="s">
        <v>1691</v>
      </c>
      <c r="G34" s="92" t="s">
        <v>1692</v>
      </c>
      <c r="H34" s="92"/>
      <c r="I34" s="91"/>
      <c r="J34" s="91"/>
      <c r="K34" s="91" t="s">
        <v>67</v>
      </c>
      <c r="L34" s="91"/>
      <c r="M34" s="91"/>
      <c r="N34" s="93">
        <v>1</v>
      </c>
      <c r="O34" s="94">
        <v>2</v>
      </c>
      <c r="P34" s="95">
        <v>1</v>
      </c>
      <c r="Q34" s="87"/>
      <c r="R34" s="90">
        <f t="shared" si="1"/>
        <v>1</v>
      </c>
      <c r="S34" s="85"/>
      <c r="T34" s="86">
        <f t="shared" si="2"/>
        <v>2</v>
      </c>
      <c r="U34" s="87"/>
      <c r="V34" s="88">
        <f t="shared" ref="V34:V36" si="10">IF(AND(ISNUMBER(R34),ISNUMBER(T34)),ROUND((R34+T34)/2, 1),"")</f>
        <v>1.5</v>
      </c>
      <c r="W34" s="89"/>
    </row>
    <row r="35" spans="1:31" s="485" customFormat="1" x14ac:dyDescent="0.25">
      <c r="A35" s="6"/>
      <c r="B35" s="72"/>
      <c r="C35" s="91"/>
      <c r="D35" s="520"/>
      <c r="E35" s="91" t="s">
        <v>1645</v>
      </c>
      <c r="F35" s="91" t="s">
        <v>1660</v>
      </c>
      <c r="G35" s="92" t="s">
        <v>1716</v>
      </c>
      <c r="H35" s="92"/>
      <c r="I35" s="91"/>
      <c r="J35" s="91"/>
      <c r="K35" s="91" t="s">
        <v>67</v>
      </c>
      <c r="L35" s="91"/>
      <c r="M35" s="91" t="s">
        <v>1718</v>
      </c>
      <c r="N35" s="93">
        <f>IF(NOT(ISBLANK(M35)),VLOOKUP(M35, metrics_lookup_table, 4, FALSE))</f>
        <v>1.125</v>
      </c>
      <c r="O35" s="94">
        <f>IF(NOT(ISBLANK(M35)),VLOOKUP(M35, metrics_lookup_table, 5, FALSE))</f>
        <v>2.25</v>
      </c>
      <c r="P35" s="95">
        <v>1</v>
      </c>
      <c r="Q35" s="87">
        <v>2</v>
      </c>
      <c r="R35" s="90">
        <f t="shared" si="1"/>
        <v>1.125</v>
      </c>
      <c r="S35" s="85">
        <v>3</v>
      </c>
      <c r="T35" s="86">
        <f t="shared" si="2"/>
        <v>2.25</v>
      </c>
      <c r="U35" s="87"/>
      <c r="V35" s="88">
        <f t="shared" si="10"/>
        <v>1.7</v>
      </c>
      <c r="W35" s="89"/>
    </row>
    <row r="36" spans="1:31" s="485" customFormat="1" ht="25.5" x14ac:dyDescent="0.25">
      <c r="A36" s="6"/>
      <c r="B36" s="72"/>
      <c r="C36" s="91"/>
      <c r="D36" s="520"/>
      <c r="E36" s="91" t="s">
        <v>1645</v>
      </c>
      <c r="F36" s="91" t="s">
        <v>1660</v>
      </c>
      <c r="G36" s="92" t="s">
        <v>1717</v>
      </c>
      <c r="H36" s="92"/>
      <c r="I36" s="91"/>
      <c r="J36" s="91"/>
      <c r="K36" s="91" t="s">
        <v>67</v>
      </c>
      <c r="L36" s="91"/>
      <c r="M36" s="91"/>
      <c r="N36" s="93">
        <v>1.5</v>
      </c>
      <c r="O36" s="94">
        <v>2.5</v>
      </c>
      <c r="P36" s="95">
        <v>1</v>
      </c>
      <c r="Q36" s="87"/>
      <c r="R36" s="90">
        <f t="shared" si="1"/>
        <v>1.5</v>
      </c>
      <c r="S36" s="85"/>
      <c r="T36" s="86">
        <f t="shared" si="2"/>
        <v>2.5</v>
      </c>
      <c r="U36" s="87"/>
      <c r="V36" s="88">
        <f t="shared" si="10"/>
        <v>2</v>
      </c>
      <c r="W36" s="89"/>
    </row>
    <row r="37" spans="1:31" s="485" customFormat="1" x14ac:dyDescent="0.25">
      <c r="A37" s="6"/>
      <c r="B37" s="72"/>
      <c r="C37" s="91"/>
      <c r="D37" s="520"/>
      <c r="E37" s="91" t="s">
        <v>1645</v>
      </c>
      <c r="F37" s="91" t="s">
        <v>1672</v>
      </c>
      <c r="G37" s="92" t="s">
        <v>1716</v>
      </c>
      <c r="H37" s="92"/>
      <c r="I37" s="91"/>
      <c r="J37" s="91"/>
      <c r="K37" s="91" t="s">
        <v>67</v>
      </c>
      <c r="L37" s="91"/>
      <c r="M37" s="91" t="s">
        <v>1718</v>
      </c>
      <c r="N37" s="93">
        <f>IF(NOT(ISBLANK(M37)),VLOOKUP(M37, metrics_lookup_table, 4, FALSE))</f>
        <v>1.125</v>
      </c>
      <c r="O37" s="94">
        <f>IF(NOT(ISBLANK(M37)),VLOOKUP(M37, metrics_lookup_table, 5, FALSE))</f>
        <v>2.25</v>
      </c>
      <c r="P37" s="95">
        <v>1</v>
      </c>
      <c r="Q37" s="87">
        <v>2</v>
      </c>
      <c r="R37" s="90">
        <f t="shared" si="1"/>
        <v>1.125</v>
      </c>
      <c r="S37" s="85">
        <v>3</v>
      </c>
      <c r="T37" s="86">
        <f t="shared" si="2"/>
        <v>2.25</v>
      </c>
      <c r="U37" s="87"/>
      <c r="V37" s="88">
        <f t="shared" ref="V37:V44" si="11">IF(AND(ISNUMBER(R37),ISNUMBER(T37)),ROUND((R37+T37)/2, 1),"")</f>
        <v>1.7</v>
      </c>
      <c r="W37" s="89"/>
    </row>
    <row r="38" spans="1:31" s="485" customFormat="1" ht="25.5" x14ac:dyDescent="0.25">
      <c r="A38" s="6"/>
      <c r="B38" s="72"/>
      <c r="C38" s="91"/>
      <c r="D38" s="520"/>
      <c r="E38" s="91" t="s">
        <v>1645</v>
      </c>
      <c r="F38" s="91" t="s">
        <v>1672</v>
      </c>
      <c r="G38" s="92" t="s">
        <v>1717</v>
      </c>
      <c r="H38" s="92"/>
      <c r="I38" s="91"/>
      <c r="J38" s="91"/>
      <c r="K38" s="91" t="s">
        <v>67</v>
      </c>
      <c r="L38" s="91"/>
      <c r="M38" s="91"/>
      <c r="N38" s="93">
        <v>1.5</v>
      </c>
      <c r="O38" s="94">
        <v>2.5</v>
      </c>
      <c r="P38" s="95">
        <v>1</v>
      </c>
      <c r="Q38" s="87"/>
      <c r="R38" s="90">
        <f t="shared" si="1"/>
        <v>1.5</v>
      </c>
      <c r="S38" s="85"/>
      <c r="T38" s="86">
        <f t="shared" si="2"/>
        <v>2.5</v>
      </c>
      <c r="U38" s="87"/>
      <c r="V38" s="88">
        <f t="shared" si="11"/>
        <v>2</v>
      </c>
      <c r="W38" s="89"/>
    </row>
    <row r="39" spans="1:31" s="485" customFormat="1" x14ac:dyDescent="0.25">
      <c r="A39" s="6"/>
      <c r="B39" s="72"/>
      <c r="C39" s="91"/>
      <c r="D39" s="520"/>
      <c r="E39" s="91" t="s">
        <v>1645</v>
      </c>
      <c r="F39" s="91" t="s">
        <v>1680</v>
      </c>
      <c r="G39" s="92" t="s">
        <v>1716</v>
      </c>
      <c r="H39" s="92"/>
      <c r="I39" s="91"/>
      <c r="J39" s="91"/>
      <c r="K39" s="91" t="s">
        <v>67</v>
      </c>
      <c r="L39" s="91"/>
      <c r="M39" s="91" t="s">
        <v>1718</v>
      </c>
      <c r="N39" s="93">
        <f>IF(NOT(ISBLANK(M39)),VLOOKUP(M39, metrics_lookup_table, 4, FALSE))</f>
        <v>1.125</v>
      </c>
      <c r="O39" s="94">
        <f>IF(NOT(ISBLANK(M39)),VLOOKUP(M39, metrics_lookup_table, 5, FALSE))</f>
        <v>2.25</v>
      </c>
      <c r="P39" s="95">
        <v>1</v>
      </c>
      <c r="Q39" s="87">
        <v>2</v>
      </c>
      <c r="R39" s="90">
        <f t="shared" si="1"/>
        <v>1.125</v>
      </c>
      <c r="S39" s="85">
        <v>3</v>
      </c>
      <c r="T39" s="86">
        <f t="shared" si="2"/>
        <v>2.25</v>
      </c>
      <c r="U39" s="87"/>
      <c r="V39" s="88">
        <f t="shared" si="11"/>
        <v>1.7</v>
      </c>
      <c r="W39" s="89"/>
    </row>
    <row r="40" spans="1:31" s="485" customFormat="1" ht="25.5" x14ac:dyDescent="0.25">
      <c r="A40" s="6"/>
      <c r="B40" s="72"/>
      <c r="C40" s="91"/>
      <c r="D40" s="520"/>
      <c r="E40" s="91" t="s">
        <v>1645</v>
      </c>
      <c r="F40" s="91" t="s">
        <v>1680</v>
      </c>
      <c r="G40" s="92" t="s">
        <v>1717</v>
      </c>
      <c r="H40" s="92"/>
      <c r="I40" s="91"/>
      <c r="J40" s="91"/>
      <c r="K40" s="91" t="s">
        <v>67</v>
      </c>
      <c r="L40" s="91"/>
      <c r="M40" s="91"/>
      <c r="N40" s="93">
        <v>1.5</v>
      </c>
      <c r="O40" s="94">
        <v>2.5</v>
      </c>
      <c r="P40" s="95">
        <v>1</v>
      </c>
      <c r="Q40" s="87"/>
      <c r="R40" s="90">
        <f t="shared" si="1"/>
        <v>1.5</v>
      </c>
      <c r="S40" s="85"/>
      <c r="T40" s="86">
        <f t="shared" si="2"/>
        <v>2.5</v>
      </c>
      <c r="U40" s="87"/>
      <c r="V40" s="88">
        <f t="shared" si="11"/>
        <v>2</v>
      </c>
      <c r="W40" s="89"/>
    </row>
    <row r="41" spans="1:31" s="485" customFormat="1" x14ac:dyDescent="0.25">
      <c r="A41" s="6"/>
      <c r="B41" s="72"/>
      <c r="C41" s="91"/>
      <c r="D41" s="520"/>
      <c r="E41" s="91" t="s">
        <v>1645</v>
      </c>
      <c r="F41" s="91" t="s">
        <v>1681</v>
      </c>
      <c r="G41" s="92" t="s">
        <v>1716</v>
      </c>
      <c r="H41" s="92"/>
      <c r="I41" s="91"/>
      <c r="J41" s="91"/>
      <c r="K41" s="91" t="s">
        <v>67</v>
      </c>
      <c r="L41" s="91"/>
      <c r="M41" s="91" t="s">
        <v>1718</v>
      </c>
      <c r="N41" s="93">
        <f>IF(NOT(ISBLANK(M41)),VLOOKUP(M41, metrics_lookup_table, 4, FALSE))</f>
        <v>1.125</v>
      </c>
      <c r="O41" s="94">
        <f>IF(NOT(ISBLANK(M41)),VLOOKUP(M41, metrics_lookup_table, 5, FALSE))</f>
        <v>2.25</v>
      </c>
      <c r="P41" s="95">
        <v>1</v>
      </c>
      <c r="Q41" s="87">
        <v>2</v>
      </c>
      <c r="R41" s="90">
        <f t="shared" si="1"/>
        <v>1.125</v>
      </c>
      <c r="S41" s="85">
        <v>3</v>
      </c>
      <c r="T41" s="86">
        <f t="shared" si="2"/>
        <v>2.25</v>
      </c>
      <c r="U41" s="87"/>
      <c r="V41" s="88">
        <f t="shared" si="11"/>
        <v>1.7</v>
      </c>
      <c r="W41" s="89"/>
    </row>
    <row r="42" spans="1:31" s="485" customFormat="1" ht="25.5" x14ac:dyDescent="0.25">
      <c r="A42" s="6"/>
      <c r="B42" s="72"/>
      <c r="C42" s="91"/>
      <c r="D42" s="520"/>
      <c r="E42" s="91" t="s">
        <v>1645</v>
      </c>
      <c r="F42" s="91" t="s">
        <v>1681</v>
      </c>
      <c r="G42" s="92" t="s">
        <v>1717</v>
      </c>
      <c r="H42" s="92"/>
      <c r="I42" s="91"/>
      <c r="J42" s="91"/>
      <c r="K42" s="91" t="s">
        <v>67</v>
      </c>
      <c r="L42" s="91"/>
      <c r="M42" s="91"/>
      <c r="N42" s="93">
        <v>1.5</v>
      </c>
      <c r="O42" s="94">
        <v>2.5</v>
      </c>
      <c r="P42" s="95">
        <v>1</v>
      </c>
      <c r="Q42" s="87"/>
      <c r="R42" s="90">
        <f t="shared" si="1"/>
        <v>1.5</v>
      </c>
      <c r="S42" s="85"/>
      <c r="T42" s="86">
        <f t="shared" si="2"/>
        <v>2.5</v>
      </c>
      <c r="U42" s="87"/>
      <c r="V42" s="88">
        <f t="shared" si="11"/>
        <v>2</v>
      </c>
      <c r="W42" s="89"/>
    </row>
    <row r="43" spans="1:31" s="485" customFormat="1" x14ac:dyDescent="0.25">
      <c r="A43" s="6"/>
      <c r="B43" s="72"/>
      <c r="C43" s="91"/>
      <c r="D43" s="520"/>
      <c r="E43" s="91" t="s">
        <v>1645</v>
      </c>
      <c r="F43" s="91" t="s">
        <v>1658</v>
      </c>
      <c r="G43" s="92" t="s">
        <v>1716</v>
      </c>
      <c r="H43" s="92"/>
      <c r="I43" s="91"/>
      <c r="J43" s="91"/>
      <c r="K43" s="91" t="s">
        <v>67</v>
      </c>
      <c r="L43" s="91"/>
      <c r="M43" s="91" t="s">
        <v>1718</v>
      </c>
      <c r="N43" s="93">
        <f>IF(NOT(ISBLANK(M43)),VLOOKUP(M43, metrics_lookup_table, 4, FALSE))</f>
        <v>1.125</v>
      </c>
      <c r="O43" s="94">
        <f>IF(NOT(ISBLANK(M43)),VLOOKUP(M43, metrics_lookup_table, 5, FALSE))</f>
        <v>2.25</v>
      </c>
      <c r="P43" s="95">
        <v>1</v>
      </c>
      <c r="Q43" s="87">
        <v>2</v>
      </c>
      <c r="R43" s="90">
        <f t="shared" si="1"/>
        <v>1.125</v>
      </c>
      <c r="S43" s="85">
        <v>3</v>
      </c>
      <c r="T43" s="86">
        <f t="shared" si="2"/>
        <v>2.25</v>
      </c>
      <c r="U43" s="87"/>
      <c r="V43" s="88">
        <f t="shared" si="11"/>
        <v>1.7</v>
      </c>
      <c r="W43" s="89"/>
    </row>
    <row r="44" spans="1:31" s="485" customFormat="1" ht="25.5" x14ac:dyDescent="0.25">
      <c r="A44" s="6"/>
      <c r="B44" s="72"/>
      <c r="C44" s="91"/>
      <c r="D44" s="520"/>
      <c r="E44" s="91" t="s">
        <v>1645</v>
      </c>
      <c r="F44" s="91" t="s">
        <v>1658</v>
      </c>
      <c r="G44" s="92" t="s">
        <v>1717</v>
      </c>
      <c r="H44" s="92"/>
      <c r="I44" s="91"/>
      <c r="J44" s="91"/>
      <c r="K44" s="91" t="s">
        <v>67</v>
      </c>
      <c r="L44" s="91"/>
      <c r="M44" s="91"/>
      <c r="N44" s="93">
        <v>1.5</v>
      </c>
      <c r="O44" s="94">
        <v>2.5</v>
      </c>
      <c r="P44" s="95">
        <v>1</v>
      </c>
      <c r="Q44" s="87"/>
      <c r="R44" s="90">
        <f t="shared" si="1"/>
        <v>1.5</v>
      </c>
      <c r="S44" s="85"/>
      <c r="T44" s="86">
        <f t="shared" si="2"/>
        <v>2.5</v>
      </c>
      <c r="U44" s="87"/>
      <c r="V44" s="88">
        <f t="shared" si="11"/>
        <v>2</v>
      </c>
      <c r="W44" s="89"/>
    </row>
    <row r="45" spans="1:31" s="485" customFormat="1" x14ac:dyDescent="0.25">
      <c r="A45" s="6"/>
      <c r="B45" s="72"/>
      <c r="C45" s="91"/>
      <c r="D45" s="512" t="s">
        <v>1707</v>
      </c>
      <c r="E45" s="511"/>
      <c r="F45" s="511"/>
      <c r="G45" s="512"/>
      <c r="H45" s="512"/>
      <c r="I45" s="511"/>
      <c r="J45" s="511"/>
      <c r="K45" s="511"/>
      <c r="L45" s="511"/>
      <c r="M45" s="511"/>
      <c r="N45" s="513"/>
      <c r="O45" s="514"/>
      <c r="P45" s="515"/>
      <c r="Q45" s="514"/>
      <c r="R45" s="513"/>
      <c r="S45" s="516"/>
      <c r="T45" s="517"/>
      <c r="U45" s="514"/>
      <c r="V45" s="514"/>
      <c r="W45" s="518"/>
    </row>
    <row r="46" spans="1:31" x14ac:dyDescent="0.25">
      <c r="A46" s="6"/>
      <c r="B46" s="72"/>
      <c r="C46" s="91"/>
      <c r="D46" s="520"/>
      <c r="E46" s="91" t="s">
        <v>1646</v>
      </c>
      <c r="F46" s="91" t="s">
        <v>1644</v>
      </c>
      <c r="G46" s="92" t="s">
        <v>1732</v>
      </c>
      <c r="H46" s="92"/>
      <c r="I46" s="91"/>
      <c r="J46" s="91"/>
      <c r="K46" s="91" t="s">
        <v>67</v>
      </c>
      <c r="L46" s="91"/>
      <c r="M46" s="91"/>
      <c r="N46" s="93">
        <v>3</v>
      </c>
      <c r="O46" s="94">
        <v>4</v>
      </c>
      <c r="P46" s="95">
        <v>1</v>
      </c>
      <c r="Q46" s="87"/>
      <c r="R46" s="90">
        <f t="shared" si="1"/>
        <v>3</v>
      </c>
      <c r="S46" s="85"/>
      <c r="T46" s="86">
        <f t="shared" si="2"/>
        <v>4</v>
      </c>
      <c r="U46" s="87"/>
      <c r="V46" s="88">
        <f t="shared" si="0"/>
        <v>3.5</v>
      </c>
      <c r="W46" s="89"/>
      <c r="AE46" s="372"/>
    </row>
    <row r="47" spans="1:31" ht="15.75" customHeight="1" x14ac:dyDescent="0.25">
      <c r="A47" s="6"/>
      <c r="B47" s="72"/>
      <c r="C47" s="73"/>
      <c r="D47" s="520"/>
      <c r="E47" s="91" t="s">
        <v>1646</v>
      </c>
      <c r="F47" s="91" t="s">
        <v>1644</v>
      </c>
      <c r="G47" s="74" t="s">
        <v>1642</v>
      </c>
      <c r="H47" s="74"/>
      <c r="I47" s="73"/>
      <c r="J47" s="74"/>
      <c r="K47" s="73" t="s">
        <v>67</v>
      </c>
      <c r="L47" s="73"/>
      <c r="M47" s="73"/>
      <c r="N47" s="75">
        <v>1</v>
      </c>
      <c r="O47" s="76">
        <v>2</v>
      </c>
      <c r="P47" s="77">
        <v>1</v>
      </c>
      <c r="Q47" s="78"/>
      <c r="R47" s="82">
        <f t="shared" si="1"/>
        <v>1</v>
      </c>
      <c r="S47" s="85"/>
      <c r="T47" s="86">
        <f t="shared" si="2"/>
        <v>2</v>
      </c>
      <c r="U47" s="87"/>
      <c r="V47" s="88">
        <f t="shared" si="0"/>
        <v>1.5</v>
      </c>
      <c r="W47" s="89"/>
    </row>
    <row r="48" spans="1:31" s="485" customFormat="1" ht="15.75" customHeight="1" x14ac:dyDescent="0.25">
      <c r="A48" s="6"/>
      <c r="B48" s="72"/>
      <c r="C48" s="73"/>
      <c r="D48" s="520"/>
      <c r="E48" s="91" t="s">
        <v>1646</v>
      </c>
      <c r="F48" s="91" t="s">
        <v>1691</v>
      </c>
      <c r="G48" s="74" t="s">
        <v>1733</v>
      </c>
      <c r="H48" s="74"/>
      <c r="I48" s="73"/>
      <c r="J48" s="74"/>
      <c r="K48" s="73" t="s">
        <v>67</v>
      </c>
      <c r="L48" s="73"/>
      <c r="M48" s="73"/>
      <c r="N48" s="93">
        <v>3</v>
      </c>
      <c r="O48" s="94">
        <v>4</v>
      </c>
      <c r="P48" s="95">
        <v>1</v>
      </c>
      <c r="Q48" s="87"/>
      <c r="R48" s="90">
        <f t="shared" si="1"/>
        <v>3</v>
      </c>
      <c r="S48" s="85"/>
      <c r="T48" s="86">
        <f t="shared" si="2"/>
        <v>4</v>
      </c>
      <c r="U48" s="87"/>
      <c r="V48" s="88">
        <f t="shared" ref="V48" si="12">IF(AND(ISNUMBER(R48),ISNUMBER(T48)),ROUND((R48+T48)/2, 1),"")</f>
        <v>3.5</v>
      </c>
      <c r="W48" s="89"/>
    </row>
    <row r="49" spans="1:31" s="485" customFormat="1" ht="15.75" customHeight="1" x14ac:dyDescent="0.25">
      <c r="A49" s="6"/>
      <c r="B49" s="72"/>
      <c r="C49" s="73"/>
      <c r="D49" s="520"/>
      <c r="E49" s="91" t="s">
        <v>1646</v>
      </c>
      <c r="F49" s="91" t="s">
        <v>1691</v>
      </c>
      <c r="G49" s="74" t="s">
        <v>1734</v>
      </c>
      <c r="H49" s="74"/>
      <c r="I49" s="73"/>
      <c r="J49" s="74"/>
      <c r="K49" s="73" t="s">
        <v>67</v>
      </c>
      <c r="L49" s="73"/>
      <c r="M49" s="73"/>
      <c r="N49" s="75">
        <v>1</v>
      </c>
      <c r="O49" s="76">
        <v>2</v>
      </c>
      <c r="P49" s="77">
        <v>1</v>
      </c>
      <c r="Q49" s="78"/>
      <c r="R49" s="82">
        <f t="shared" si="1"/>
        <v>1</v>
      </c>
      <c r="S49" s="85"/>
      <c r="T49" s="86">
        <f t="shared" si="2"/>
        <v>2</v>
      </c>
      <c r="U49" s="87"/>
      <c r="V49" s="88">
        <f t="shared" ref="V49" si="13">IF(AND(ISNUMBER(R49),ISNUMBER(T49)),ROUND((R49+T49)/2, 1),"")</f>
        <v>1.5</v>
      </c>
      <c r="W49" s="89"/>
    </row>
    <row r="50" spans="1:31" s="485" customFormat="1" ht="25.5" x14ac:dyDescent="0.25">
      <c r="A50" s="6"/>
      <c r="B50" s="72"/>
      <c r="C50" s="91"/>
      <c r="D50" s="512" t="s">
        <v>1708</v>
      </c>
      <c r="E50" s="511"/>
      <c r="F50" s="511"/>
      <c r="G50" s="512"/>
      <c r="H50" s="512"/>
      <c r="I50" s="511"/>
      <c r="J50" s="511"/>
      <c r="K50" s="511"/>
      <c r="L50" s="511"/>
      <c r="M50" s="511"/>
      <c r="N50" s="513"/>
      <c r="O50" s="514"/>
      <c r="P50" s="515"/>
      <c r="Q50" s="514"/>
      <c r="R50" s="513"/>
      <c r="S50" s="516"/>
      <c r="T50" s="517"/>
      <c r="U50" s="514"/>
      <c r="V50" s="514"/>
      <c r="W50" s="518"/>
    </row>
    <row r="51" spans="1:31" ht="89.25" x14ac:dyDescent="0.25">
      <c r="A51" s="6"/>
      <c r="B51" s="72"/>
      <c r="C51" s="73"/>
      <c r="D51" s="521"/>
      <c r="E51" s="73" t="s">
        <v>1647</v>
      </c>
      <c r="F51" s="74" t="s">
        <v>1644</v>
      </c>
      <c r="G51" s="74" t="s">
        <v>1735</v>
      </c>
      <c r="H51" s="74" t="s">
        <v>1736</v>
      </c>
      <c r="I51" s="73"/>
      <c r="J51" s="74"/>
      <c r="K51" s="73" t="s">
        <v>67</v>
      </c>
      <c r="L51" s="73"/>
      <c r="M51" s="73"/>
      <c r="N51" s="75">
        <v>2</v>
      </c>
      <c r="O51" s="76">
        <v>3</v>
      </c>
      <c r="P51" s="560">
        <v>1</v>
      </c>
      <c r="Q51" s="78"/>
      <c r="R51" s="82">
        <f t="shared" si="1"/>
        <v>2</v>
      </c>
      <c r="S51" s="85"/>
      <c r="T51" s="86">
        <f t="shared" si="2"/>
        <v>3</v>
      </c>
      <c r="U51" s="87"/>
      <c r="V51" s="88">
        <f t="shared" si="0"/>
        <v>2.5</v>
      </c>
      <c r="W51" s="89"/>
    </row>
    <row r="52" spans="1:31" ht="15.75" customHeight="1" x14ac:dyDescent="0.25">
      <c r="A52" s="6"/>
      <c r="B52" s="72"/>
      <c r="C52" s="73"/>
      <c r="D52" s="521"/>
      <c r="E52" s="73" t="s">
        <v>1647</v>
      </c>
      <c r="F52" s="74" t="s">
        <v>1644</v>
      </c>
      <c r="G52" s="74" t="s">
        <v>1632</v>
      </c>
      <c r="H52" s="74"/>
      <c r="I52" s="73"/>
      <c r="J52" s="74"/>
      <c r="K52" s="73" t="s">
        <v>67</v>
      </c>
      <c r="L52" s="73"/>
      <c r="M52" s="73"/>
      <c r="N52" s="75">
        <v>1</v>
      </c>
      <c r="O52" s="76">
        <v>1.5</v>
      </c>
      <c r="P52" s="77">
        <v>1</v>
      </c>
      <c r="Q52" s="78"/>
      <c r="R52" s="82">
        <f t="shared" si="1"/>
        <v>1</v>
      </c>
      <c r="S52" s="85"/>
      <c r="T52" s="86">
        <f t="shared" si="2"/>
        <v>1.5</v>
      </c>
      <c r="U52" s="87"/>
      <c r="V52" s="88">
        <f t="shared" si="0"/>
        <v>1.3</v>
      </c>
      <c r="W52" s="89"/>
    </row>
    <row r="53" spans="1:31" ht="15.75" customHeight="1" x14ac:dyDescent="0.25">
      <c r="A53" s="6"/>
      <c r="B53" s="72"/>
      <c r="C53" s="73"/>
      <c r="D53" s="521"/>
      <c r="E53" s="73" t="s">
        <v>1647</v>
      </c>
      <c r="F53" s="74" t="s">
        <v>1644</v>
      </c>
      <c r="G53" s="74" t="s">
        <v>1669</v>
      </c>
      <c r="H53" s="74"/>
      <c r="I53" s="73"/>
      <c r="J53" s="74"/>
      <c r="K53" s="73" t="s">
        <v>67</v>
      </c>
      <c r="L53" s="73"/>
      <c r="M53" s="73"/>
      <c r="N53" s="75">
        <v>1</v>
      </c>
      <c r="O53" s="76">
        <v>1.5</v>
      </c>
      <c r="P53" s="77">
        <v>1</v>
      </c>
      <c r="Q53" s="78"/>
      <c r="R53" s="82">
        <f t="shared" si="1"/>
        <v>1</v>
      </c>
      <c r="S53" s="85"/>
      <c r="T53" s="86">
        <f t="shared" si="2"/>
        <v>1.5</v>
      </c>
      <c r="U53" s="87"/>
      <c r="V53" s="88">
        <f t="shared" si="0"/>
        <v>1.3</v>
      </c>
      <c r="W53" s="89"/>
    </row>
    <row r="54" spans="1:31" s="485" customFormat="1" ht="15.75" customHeight="1" x14ac:dyDescent="0.25">
      <c r="A54" s="6"/>
      <c r="B54" s="72"/>
      <c r="C54" s="73"/>
      <c r="D54" s="521"/>
      <c r="E54" s="73" t="s">
        <v>1647</v>
      </c>
      <c r="F54" s="74" t="s">
        <v>1644</v>
      </c>
      <c r="G54" s="501" t="s">
        <v>1682</v>
      </c>
      <c r="H54" s="74"/>
      <c r="I54" s="73"/>
      <c r="J54" s="74"/>
      <c r="K54" s="73" t="s">
        <v>67</v>
      </c>
      <c r="L54" s="73"/>
      <c r="M54" s="73"/>
      <c r="N54" s="75">
        <v>0.5</v>
      </c>
      <c r="O54" s="76">
        <v>1</v>
      </c>
      <c r="P54" s="77">
        <v>1</v>
      </c>
      <c r="Q54" s="78"/>
      <c r="R54" s="82">
        <f t="shared" si="1"/>
        <v>0.5</v>
      </c>
      <c r="S54" s="85"/>
      <c r="T54" s="86">
        <f t="shared" si="2"/>
        <v>1</v>
      </c>
      <c r="U54" s="87"/>
      <c r="V54" s="88">
        <f t="shared" ref="V54" si="14">IF(AND(ISNUMBER(R54),ISNUMBER(T54)),ROUND((R54+T54)/2, 1),"")</f>
        <v>0.8</v>
      </c>
      <c r="W54" s="89"/>
    </row>
    <row r="55" spans="1:31" ht="25.5" x14ac:dyDescent="0.25">
      <c r="A55" s="6"/>
      <c r="B55" s="72"/>
      <c r="C55" s="73"/>
      <c r="D55" s="521"/>
      <c r="E55" s="73" t="s">
        <v>1647</v>
      </c>
      <c r="F55" s="74" t="s">
        <v>1644</v>
      </c>
      <c r="G55" s="501" t="s">
        <v>1737</v>
      </c>
      <c r="H55" s="74" t="s">
        <v>1631</v>
      </c>
      <c r="I55" s="73"/>
      <c r="J55" s="74"/>
      <c r="K55" s="73" t="s">
        <v>67</v>
      </c>
      <c r="L55" s="73"/>
      <c r="M55" s="73"/>
      <c r="N55" s="75">
        <v>0.5</v>
      </c>
      <c r="O55" s="76">
        <v>1</v>
      </c>
      <c r="P55" s="77">
        <v>1</v>
      </c>
      <c r="Q55" s="78"/>
      <c r="R55" s="82">
        <f t="shared" si="1"/>
        <v>0.5</v>
      </c>
      <c r="S55" s="85"/>
      <c r="T55" s="86">
        <f t="shared" si="2"/>
        <v>1</v>
      </c>
      <c r="U55" s="87"/>
      <c r="V55" s="88">
        <f t="shared" si="0"/>
        <v>0.8</v>
      </c>
      <c r="W55" s="89"/>
    </row>
    <row r="56" spans="1:31" ht="15.75" customHeight="1" x14ac:dyDescent="0.25">
      <c r="A56" s="6"/>
      <c r="B56" s="72"/>
      <c r="C56" s="91"/>
      <c r="D56" s="521"/>
      <c r="E56" s="73" t="s">
        <v>1647</v>
      </c>
      <c r="F56" s="74" t="s">
        <v>1644</v>
      </c>
      <c r="G56" s="92" t="s">
        <v>1624</v>
      </c>
      <c r="H56" s="74"/>
      <c r="I56" s="91"/>
      <c r="J56" s="91"/>
      <c r="K56" s="91" t="s">
        <v>67</v>
      </c>
      <c r="L56" s="91"/>
      <c r="M56" s="91"/>
      <c r="N56" s="93">
        <v>1.5</v>
      </c>
      <c r="O56" s="94">
        <v>2.5</v>
      </c>
      <c r="P56" s="95">
        <v>1</v>
      </c>
      <c r="Q56" s="87"/>
      <c r="R56" s="90">
        <f t="shared" si="1"/>
        <v>1.5</v>
      </c>
      <c r="S56" s="85"/>
      <c r="T56" s="86">
        <f t="shared" si="2"/>
        <v>2.5</v>
      </c>
      <c r="U56" s="87"/>
      <c r="V56" s="88">
        <f t="shared" si="0"/>
        <v>2</v>
      </c>
      <c r="W56" s="89"/>
      <c r="AE56" s="373"/>
    </row>
    <row r="57" spans="1:31" ht="48" customHeight="1" x14ac:dyDescent="0.25">
      <c r="A57" s="6"/>
      <c r="B57" s="72"/>
      <c r="C57" s="91"/>
      <c r="D57" s="521"/>
      <c r="E57" s="73" t="s">
        <v>1647</v>
      </c>
      <c r="F57" s="74" t="s">
        <v>1644</v>
      </c>
      <c r="G57" s="92" t="s">
        <v>1625</v>
      </c>
      <c r="H57" s="92" t="s">
        <v>1626</v>
      </c>
      <c r="I57" s="91"/>
      <c r="J57" s="91"/>
      <c r="K57" s="91" t="s">
        <v>67</v>
      </c>
      <c r="L57" s="91"/>
      <c r="M57" s="91"/>
      <c r="N57" s="93">
        <v>1</v>
      </c>
      <c r="O57" s="94">
        <v>1.5</v>
      </c>
      <c r="P57" s="95">
        <v>1</v>
      </c>
      <c r="Q57" s="87"/>
      <c r="R57" s="90">
        <f t="shared" si="1"/>
        <v>1</v>
      </c>
      <c r="S57" s="85"/>
      <c r="T57" s="86">
        <f t="shared" si="2"/>
        <v>1.5</v>
      </c>
      <c r="U57" s="87"/>
      <c r="V57" s="88">
        <f t="shared" si="0"/>
        <v>1.3</v>
      </c>
      <c r="W57" s="89"/>
      <c r="AE57" s="372"/>
    </row>
    <row r="58" spans="1:31" ht="25.5" x14ac:dyDescent="0.25">
      <c r="A58" s="6"/>
      <c r="B58" s="72"/>
      <c r="C58" s="91"/>
      <c r="D58" s="521"/>
      <c r="E58" s="73" t="s">
        <v>1647</v>
      </c>
      <c r="F58" s="74" t="s">
        <v>1644</v>
      </c>
      <c r="G58" s="74" t="s">
        <v>1630</v>
      </c>
      <c r="H58" s="92"/>
      <c r="I58" s="91"/>
      <c r="J58" s="91"/>
      <c r="K58" s="91" t="s">
        <v>67</v>
      </c>
      <c r="L58" s="91"/>
      <c r="M58" s="91"/>
      <c r="N58" s="93">
        <v>1.5</v>
      </c>
      <c r="O58" s="94">
        <v>2</v>
      </c>
      <c r="P58" s="95">
        <v>1</v>
      </c>
      <c r="Q58" s="87"/>
      <c r="R58" s="90">
        <f t="shared" si="1"/>
        <v>1.5</v>
      </c>
      <c r="S58" s="85"/>
      <c r="T58" s="86">
        <f t="shared" si="2"/>
        <v>2</v>
      </c>
      <c r="U58" s="87"/>
      <c r="V58" s="88">
        <f t="shared" si="0"/>
        <v>1.8</v>
      </c>
      <c r="W58" s="89"/>
    </row>
    <row r="59" spans="1:31" ht="32.25" customHeight="1" x14ac:dyDescent="0.25">
      <c r="A59" s="6"/>
      <c r="B59" s="72"/>
      <c r="C59" s="91"/>
      <c r="D59" s="521"/>
      <c r="E59" s="73" t="s">
        <v>1647</v>
      </c>
      <c r="F59" s="74" t="s">
        <v>1644</v>
      </c>
      <c r="G59" s="92" t="s">
        <v>1627</v>
      </c>
      <c r="H59" s="92" t="s">
        <v>1628</v>
      </c>
      <c r="I59" s="91"/>
      <c r="J59" s="91"/>
      <c r="K59" s="91" t="s">
        <v>67</v>
      </c>
      <c r="L59" s="91"/>
      <c r="M59" s="91"/>
      <c r="N59" s="93">
        <v>1.5</v>
      </c>
      <c r="O59" s="94">
        <v>2</v>
      </c>
      <c r="P59" s="95">
        <v>1</v>
      </c>
      <c r="Q59" s="87"/>
      <c r="R59" s="90">
        <f t="shared" si="1"/>
        <v>1.5</v>
      </c>
      <c r="S59" s="85"/>
      <c r="T59" s="86">
        <f t="shared" si="2"/>
        <v>2</v>
      </c>
      <c r="U59" s="87"/>
      <c r="V59" s="88">
        <f t="shared" si="0"/>
        <v>1.8</v>
      </c>
      <c r="W59" s="89"/>
    </row>
    <row r="60" spans="1:31" x14ac:dyDescent="0.25">
      <c r="A60" s="6"/>
      <c r="B60" s="72"/>
      <c r="C60" s="73"/>
      <c r="D60" s="521"/>
      <c r="E60" s="73" t="s">
        <v>1647</v>
      </c>
      <c r="F60" s="74" t="s">
        <v>1644</v>
      </c>
      <c r="G60" s="74" t="s">
        <v>1621</v>
      </c>
      <c r="H60" s="74" t="s">
        <v>1629</v>
      </c>
      <c r="I60" s="73"/>
      <c r="J60" s="73"/>
      <c r="K60" s="73" t="s">
        <v>67</v>
      </c>
      <c r="L60" s="73"/>
      <c r="M60" s="73"/>
      <c r="N60" s="75">
        <v>1</v>
      </c>
      <c r="O60" s="76">
        <v>1.5</v>
      </c>
      <c r="P60" s="77">
        <v>1</v>
      </c>
      <c r="Q60" s="78"/>
      <c r="R60" s="79">
        <f t="shared" si="1"/>
        <v>1</v>
      </c>
      <c r="S60" s="80"/>
      <c r="T60" s="81">
        <f t="shared" si="2"/>
        <v>1.5</v>
      </c>
      <c r="U60" s="78"/>
      <c r="V60" s="82">
        <f t="shared" si="0"/>
        <v>1.3</v>
      </c>
      <c r="W60" s="83"/>
    </row>
    <row r="61" spans="1:31" s="485" customFormat="1" ht="32.25" customHeight="1" x14ac:dyDescent="0.25">
      <c r="A61" s="6"/>
      <c r="B61" s="72"/>
      <c r="C61" s="73"/>
      <c r="D61" s="521"/>
      <c r="E61" s="73" t="s">
        <v>1647</v>
      </c>
      <c r="F61" s="74" t="s">
        <v>1644</v>
      </c>
      <c r="G61" s="74" t="s">
        <v>1640</v>
      </c>
      <c r="H61" s="74" t="s">
        <v>1641</v>
      </c>
      <c r="I61" s="73"/>
      <c r="J61" s="73"/>
      <c r="K61" s="73" t="s">
        <v>67</v>
      </c>
      <c r="L61" s="73"/>
      <c r="M61" s="73"/>
      <c r="N61" s="75">
        <v>1</v>
      </c>
      <c r="O61" s="76">
        <v>1.5</v>
      </c>
      <c r="P61" s="77">
        <v>1</v>
      </c>
      <c r="Q61" s="78"/>
      <c r="R61" s="79">
        <f t="shared" si="1"/>
        <v>1</v>
      </c>
      <c r="S61" s="80"/>
      <c r="T61" s="81">
        <f t="shared" si="2"/>
        <v>1.5</v>
      </c>
      <c r="U61" s="78"/>
      <c r="V61" s="82">
        <f t="shared" ref="V61" si="15">IF(AND(ISNUMBER(R61),ISNUMBER(T61)),ROUND((R61+T61)/2, 1),"")</f>
        <v>1.3</v>
      </c>
      <c r="W61" s="83"/>
    </row>
    <row r="62" spans="1:31" ht="45" customHeight="1" x14ac:dyDescent="0.25">
      <c r="A62" s="6"/>
      <c r="B62" s="72"/>
      <c r="C62" s="73"/>
      <c r="D62" s="521"/>
      <c r="E62" s="73" t="s">
        <v>1647</v>
      </c>
      <c r="F62" s="74" t="s">
        <v>1644</v>
      </c>
      <c r="G62" s="74" t="s">
        <v>1622</v>
      </c>
      <c r="H62" s="74" t="s">
        <v>1623</v>
      </c>
      <c r="I62" s="73"/>
      <c r="J62" s="73"/>
      <c r="K62" s="73" t="s">
        <v>67</v>
      </c>
      <c r="L62" s="73"/>
      <c r="M62" s="73"/>
      <c r="N62" s="75">
        <v>1</v>
      </c>
      <c r="O62" s="76">
        <v>1.5</v>
      </c>
      <c r="P62" s="77">
        <v>1</v>
      </c>
      <c r="Q62" s="78"/>
      <c r="R62" s="79">
        <f t="shared" si="1"/>
        <v>1</v>
      </c>
      <c r="S62" s="80"/>
      <c r="T62" s="81">
        <f t="shared" si="2"/>
        <v>1.5</v>
      </c>
      <c r="U62" s="78"/>
      <c r="V62" s="82">
        <f t="shared" si="0"/>
        <v>1.3</v>
      </c>
      <c r="W62" s="83"/>
    </row>
    <row r="63" spans="1:31" x14ac:dyDescent="0.25">
      <c r="A63" s="6"/>
      <c r="B63" s="72"/>
      <c r="C63" s="73"/>
      <c r="D63" s="521"/>
      <c r="E63" s="73" t="s">
        <v>1647</v>
      </c>
      <c r="F63" s="74" t="s">
        <v>1644</v>
      </c>
      <c r="G63" s="74" t="s">
        <v>1633</v>
      </c>
      <c r="H63" s="74" t="s">
        <v>1634</v>
      </c>
      <c r="I63" s="73"/>
      <c r="J63" s="73"/>
      <c r="K63" s="73" t="s">
        <v>67</v>
      </c>
      <c r="L63" s="73"/>
      <c r="M63" s="73"/>
      <c r="N63" s="75">
        <v>0.5</v>
      </c>
      <c r="O63" s="76">
        <v>1</v>
      </c>
      <c r="P63" s="77">
        <v>1</v>
      </c>
      <c r="Q63" s="78"/>
      <c r="R63" s="79">
        <f t="shared" si="1"/>
        <v>0.5</v>
      </c>
      <c r="S63" s="80"/>
      <c r="T63" s="81">
        <f t="shared" si="2"/>
        <v>1</v>
      </c>
      <c r="U63" s="78"/>
      <c r="V63" s="82">
        <f t="shared" si="0"/>
        <v>0.8</v>
      </c>
      <c r="W63" s="83"/>
    </row>
    <row r="64" spans="1:31" s="485" customFormat="1" x14ac:dyDescent="0.25">
      <c r="A64" s="6"/>
      <c r="B64" s="72"/>
      <c r="C64" s="73"/>
      <c r="D64" s="521"/>
      <c r="E64" s="73" t="s">
        <v>1647</v>
      </c>
      <c r="F64" s="74" t="s">
        <v>1644</v>
      </c>
      <c r="G64" s="74" t="s">
        <v>1684</v>
      </c>
      <c r="H64" s="74"/>
      <c r="I64" s="73"/>
      <c r="J64" s="73"/>
      <c r="K64" s="73" t="s">
        <v>67</v>
      </c>
      <c r="L64" s="73"/>
      <c r="M64" s="73"/>
      <c r="N64" s="75">
        <v>1</v>
      </c>
      <c r="O64" s="76">
        <v>1.5</v>
      </c>
      <c r="P64" s="77">
        <v>1</v>
      </c>
      <c r="Q64" s="78"/>
      <c r="R64" s="79">
        <f t="shared" si="1"/>
        <v>1</v>
      </c>
      <c r="S64" s="80"/>
      <c r="T64" s="81">
        <f t="shared" si="2"/>
        <v>1.5</v>
      </c>
      <c r="U64" s="78"/>
      <c r="V64" s="82">
        <f t="shared" ref="V64:V67" si="16">IF(AND(ISNUMBER(R64),ISNUMBER(T64)),ROUND((R64+T64)/2, 1),"")</f>
        <v>1.3</v>
      </c>
      <c r="W64" s="83"/>
    </row>
    <row r="65" spans="1:23" s="485" customFormat="1" x14ac:dyDescent="0.25">
      <c r="A65" s="6"/>
      <c r="B65" s="72"/>
      <c r="C65" s="73"/>
      <c r="D65" s="521"/>
      <c r="E65" s="73" t="s">
        <v>1647</v>
      </c>
      <c r="F65" s="74" t="s">
        <v>1644</v>
      </c>
      <c r="G65" s="74" t="s">
        <v>1693</v>
      </c>
      <c r="H65" s="74"/>
      <c r="I65" s="73"/>
      <c r="J65" s="73"/>
      <c r="K65" s="73" t="s">
        <v>67</v>
      </c>
      <c r="L65" s="73"/>
      <c r="M65" s="73"/>
      <c r="N65" s="75">
        <v>1</v>
      </c>
      <c r="O65" s="76">
        <v>1.5</v>
      </c>
      <c r="P65" s="77">
        <v>1</v>
      </c>
      <c r="Q65" s="78"/>
      <c r="R65" s="79">
        <f t="shared" si="1"/>
        <v>1</v>
      </c>
      <c r="S65" s="80"/>
      <c r="T65" s="81">
        <f t="shared" si="2"/>
        <v>1.5</v>
      </c>
      <c r="U65" s="78"/>
      <c r="V65" s="82">
        <f t="shared" si="16"/>
        <v>1.3</v>
      </c>
      <c r="W65" s="83"/>
    </row>
    <row r="66" spans="1:23" s="485" customFormat="1" x14ac:dyDescent="0.25">
      <c r="A66" s="6"/>
      <c r="B66" s="72"/>
      <c r="C66" s="73"/>
      <c r="D66" s="521"/>
      <c r="E66" s="73" t="s">
        <v>1647</v>
      </c>
      <c r="F66" s="74" t="s">
        <v>1644</v>
      </c>
      <c r="G66" s="92" t="s">
        <v>1670</v>
      </c>
      <c r="H66" s="74"/>
      <c r="I66" s="73"/>
      <c r="J66" s="73"/>
      <c r="K66" s="73" t="s">
        <v>67</v>
      </c>
      <c r="L66" s="73"/>
      <c r="M66" s="73"/>
      <c r="N66" s="75">
        <v>0.25</v>
      </c>
      <c r="O66" s="76">
        <v>0.5</v>
      </c>
      <c r="P66" s="77">
        <v>6</v>
      </c>
      <c r="Q66" s="78"/>
      <c r="R66" s="79">
        <f t="shared" si="1"/>
        <v>1.5</v>
      </c>
      <c r="S66" s="80"/>
      <c r="T66" s="81">
        <f t="shared" si="2"/>
        <v>3</v>
      </c>
      <c r="U66" s="78"/>
      <c r="V66" s="82">
        <f t="shared" si="16"/>
        <v>2.2999999999999998</v>
      </c>
      <c r="W66" s="83"/>
    </row>
    <row r="67" spans="1:23" s="485" customFormat="1" ht="89.25" x14ac:dyDescent="0.25">
      <c r="A67" s="6"/>
      <c r="B67" s="72"/>
      <c r="C67" s="73"/>
      <c r="D67" s="521"/>
      <c r="E67" s="73" t="s">
        <v>1647</v>
      </c>
      <c r="F67" s="74" t="s">
        <v>1644</v>
      </c>
      <c r="G67" s="74" t="s">
        <v>1667</v>
      </c>
      <c r="H67" s="74" t="s">
        <v>1675</v>
      </c>
      <c r="I67" s="73"/>
      <c r="J67" s="73"/>
      <c r="K67" s="73" t="s">
        <v>67</v>
      </c>
      <c r="L67" s="73"/>
      <c r="M67" s="73"/>
      <c r="N67" s="75">
        <v>1</v>
      </c>
      <c r="O67" s="76">
        <v>1.5</v>
      </c>
      <c r="P67" s="77">
        <v>2</v>
      </c>
      <c r="Q67" s="78"/>
      <c r="R67" s="79">
        <f t="shared" si="1"/>
        <v>2</v>
      </c>
      <c r="S67" s="80"/>
      <c r="T67" s="81">
        <f t="shared" si="2"/>
        <v>3</v>
      </c>
      <c r="U67" s="78"/>
      <c r="V67" s="82">
        <f t="shared" si="16"/>
        <v>2.5</v>
      </c>
      <c r="W67" s="83"/>
    </row>
    <row r="68" spans="1:23" s="485" customFormat="1" ht="89.25" x14ac:dyDescent="0.25">
      <c r="A68" s="6"/>
      <c r="B68" s="72"/>
      <c r="C68" s="73"/>
      <c r="D68" s="521"/>
      <c r="E68" s="73" t="s">
        <v>1647</v>
      </c>
      <c r="F68" s="74" t="s">
        <v>1644</v>
      </c>
      <c r="G68" s="74" t="s">
        <v>1668</v>
      </c>
      <c r="H68" s="74" t="s">
        <v>1675</v>
      </c>
      <c r="I68" s="73"/>
      <c r="J68" s="73"/>
      <c r="K68" s="73" t="s">
        <v>67</v>
      </c>
      <c r="L68" s="73"/>
      <c r="M68" s="73"/>
      <c r="N68" s="75">
        <v>0.5</v>
      </c>
      <c r="O68" s="76">
        <v>0.75</v>
      </c>
      <c r="P68" s="77">
        <v>2</v>
      </c>
      <c r="Q68" s="78"/>
      <c r="R68" s="82">
        <f t="shared" si="1"/>
        <v>1</v>
      </c>
      <c r="S68" s="85"/>
      <c r="T68" s="86">
        <f t="shared" si="2"/>
        <v>1.5</v>
      </c>
      <c r="U68" s="87"/>
      <c r="V68" s="88">
        <f t="shared" ref="V68:V69" si="17">IF(AND(ISNUMBER(R68),ISNUMBER(T68)),ROUND((R68+T68)/2, 1),"")</f>
        <v>1.3</v>
      </c>
      <c r="W68" s="89"/>
    </row>
    <row r="69" spans="1:23" s="485" customFormat="1" ht="89.25" x14ac:dyDescent="0.25">
      <c r="A69" s="6"/>
      <c r="B69" s="72"/>
      <c r="C69" s="73"/>
      <c r="D69" s="521"/>
      <c r="E69" s="73" t="s">
        <v>1647</v>
      </c>
      <c r="F69" s="74" t="s">
        <v>1644</v>
      </c>
      <c r="G69" s="74" t="s">
        <v>1666</v>
      </c>
      <c r="H69" s="74" t="s">
        <v>1676</v>
      </c>
      <c r="I69" s="73"/>
      <c r="J69" s="73"/>
      <c r="K69" s="73" t="s">
        <v>67</v>
      </c>
      <c r="L69" s="73"/>
      <c r="M69" s="73"/>
      <c r="N69" s="75">
        <v>1</v>
      </c>
      <c r="O69" s="76">
        <v>2</v>
      </c>
      <c r="P69" s="77">
        <v>3</v>
      </c>
      <c r="Q69" s="78"/>
      <c r="R69" s="82">
        <f t="shared" si="1"/>
        <v>3</v>
      </c>
      <c r="S69" s="85"/>
      <c r="T69" s="86">
        <f t="shared" si="2"/>
        <v>6</v>
      </c>
      <c r="U69" s="87"/>
      <c r="V69" s="88">
        <f t="shared" si="17"/>
        <v>4.5</v>
      </c>
      <c r="W69" s="89"/>
    </row>
    <row r="70" spans="1:23" s="485" customFormat="1" x14ac:dyDescent="0.25">
      <c r="A70" s="6"/>
      <c r="B70" s="72"/>
      <c r="C70" s="91"/>
      <c r="D70" s="512" t="s">
        <v>1709</v>
      </c>
      <c r="E70" s="511"/>
      <c r="F70" s="511"/>
      <c r="G70" s="512"/>
      <c r="H70" s="512"/>
      <c r="I70" s="511"/>
      <c r="J70" s="511"/>
      <c r="K70" s="511"/>
      <c r="L70" s="511"/>
      <c r="M70" s="511"/>
      <c r="N70" s="513"/>
      <c r="O70" s="514"/>
      <c r="P70" s="515"/>
      <c r="Q70" s="514"/>
      <c r="R70" s="513"/>
      <c r="S70" s="516"/>
      <c r="T70" s="517"/>
      <c r="U70" s="514"/>
      <c r="V70" s="514"/>
      <c r="W70" s="518"/>
    </row>
    <row r="71" spans="1:23" ht="27" customHeight="1" x14ac:dyDescent="0.25">
      <c r="A71" s="6"/>
      <c r="B71" s="72"/>
      <c r="C71" s="73"/>
      <c r="D71" s="521"/>
      <c r="E71" s="73" t="s">
        <v>1647</v>
      </c>
      <c r="F71" s="74" t="s">
        <v>1644</v>
      </c>
      <c r="G71" s="74" t="s">
        <v>1673</v>
      </c>
      <c r="H71" s="74"/>
      <c r="I71" s="73"/>
      <c r="J71" s="73"/>
      <c r="K71" s="73" t="s">
        <v>67</v>
      </c>
      <c r="L71" s="73"/>
      <c r="M71" s="73"/>
      <c r="N71" s="75">
        <v>2</v>
      </c>
      <c r="O71" s="76">
        <v>3</v>
      </c>
      <c r="P71" s="77">
        <v>1</v>
      </c>
      <c r="Q71" s="78"/>
      <c r="R71" s="90">
        <f t="shared" si="1"/>
        <v>2</v>
      </c>
      <c r="S71" s="80"/>
      <c r="T71" s="81">
        <f t="shared" si="2"/>
        <v>3</v>
      </c>
      <c r="U71" s="78"/>
      <c r="V71" s="82">
        <f t="shared" si="0"/>
        <v>2.5</v>
      </c>
      <c r="W71" s="83"/>
    </row>
    <row r="72" spans="1:23" s="485" customFormat="1" x14ac:dyDescent="0.25">
      <c r="A72" s="6"/>
      <c r="B72" s="72"/>
      <c r="C72" s="73"/>
      <c r="D72" s="521"/>
      <c r="E72" s="73" t="s">
        <v>1647</v>
      </c>
      <c r="F72" s="74" t="s">
        <v>1644</v>
      </c>
      <c r="G72" s="74" t="s">
        <v>1671</v>
      </c>
      <c r="H72" s="74"/>
      <c r="I72" s="73"/>
      <c r="J72" s="73"/>
      <c r="K72" s="73" t="s">
        <v>67</v>
      </c>
      <c r="L72" s="73"/>
      <c r="M72" s="73" t="s">
        <v>1738</v>
      </c>
      <c r="N72" s="75">
        <f>IF(NOT(ISBLANK(M72)),VLOOKUP(M72, metrics_lookup_table, 4, FALSE))</f>
        <v>3.25</v>
      </c>
      <c r="O72" s="76">
        <f>IF(NOT(ISBLANK(M72)),VLOOKUP(M72, metrics_lookup_table, 5, FALSE))</f>
        <v>5.5</v>
      </c>
      <c r="P72" s="77">
        <v>1</v>
      </c>
      <c r="Q72" s="78">
        <v>3.25</v>
      </c>
      <c r="R72" s="79">
        <f t="shared" si="1"/>
        <v>3.25</v>
      </c>
      <c r="S72" s="80">
        <v>5.5</v>
      </c>
      <c r="T72" s="81">
        <f t="shared" si="2"/>
        <v>5.5</v>
      </c>
      <c r="U72" s="78"/>
      <c r="V72" s="82">
        <f t="shared" ref="V72" si="18">IF(AND(ISNUMBER(R72),ISNUMBER(T72)),ROUND((R72+T72)/2, 1),"")</f>
        <v>4.4000000000000004</v>
      </c>
      <c r="W72" s="83"/>
    </row>
    <row r="73" spans="1:23" x14ac:dyDescent="0.25">
      <c r="A73" s="6"/>
      <c r="B73" s="72"/>
      <c r="C73" s="73"/>
      <c r="D73" s="521"/>
      <c r="E73" s="73" t="s">
        <v>1647</v>
      </c>
      <c r="F73" s="74" t="s">
        <v>1644</v>
      </c>
      <c r="G73" s="74" t="s">
        <v>1635</v>
      </c>
      <c r="H73" s="74"/>
      <c r="I73" s="73"/>
      <c r="J73" s="73"/>
      <c r="K73" s="73" t="s">
        <v>67</v>
      </c>
      <c r="L73" s="73"/>
      <c r="M73" s="73" t="s">
        <v>1738</v>
      </c>
      <c r="N73" s="75">
        <f>IF(NOT(ISBLANK(M73)),VLOOKUP(M73, metrics_lookup_table, 4, FALSE))</f>
        <v>3.25</v>
      </c>
      <c r="O73" s="76">
        <f>IF(NOT(ISBLANK(M73)),VLOOKUP(M73, metrics_lookup_table, 5, FALSE))</f>
        <v>5.5</v>
      </c>
      <c r="P73" s="77">
        <v>1</v>
      </c>
      <c r="Q73" s="78">
        <v>3.25</v>
      </c>
      <c r="R73" s="79">
        <f t="shared" si="1"/>
        <v>3.25</v>
      </c>
      <c r="S73" s="80">
        <v>5.5</v>
      </c>
      <c r="T73" s="81">
        <f t="shared" si="2"/>
        <v>5.5</v>
      </c>
      <c r="U73" s="78"/>
      <c r="V73" s="82">
        <f t="shared" si="0"/>
        <v>4.4000000000000004</v>
      </c>
      <c r="W73" s="83"/>
    </row>
    <row r="74" spans="1:23" ht="15.75" customHeight="1" x14ac:dyDescent="0.25">
      <c r="A74" s="6"/>
      <c r="B74" s="72"/>
      <c r="C74" s="73"/>
      <c r="D74" s="521"/>
      <c r="E74" s="73" t="s">
        <v>1647</v>
      </c>
      <c r="F74" s="74" t="s">
        <v>1644</v>
      </c>
      <c r="G74" s="74" t="s">
        <v>1636</v>
      </c>
      <c r="H74" s="74"/>
      <c r="I74" s="73"/>
      <c r="J74" s="73"/>
      <c r="K74" s="73" t="s">
        <v>67</v>
      </c>
      <c r="L74" s="73"/>
      <c r="M74" s="73" t="s">
        <v>1739</v>
      </c>
      <c r="N74" s="75">
        <f>IF(NOT(ISBLANK(M74)),VLOOKUP(M74, metrics_lookup_table, 4, FALSE))</f>
        <v>13.5</v>
      </c>
      <c r="O74" s="76">
        <f>IF(NOT(ISBLANK(M74)),VLOOKUP(M74, metrics_lookup_table, 5, FALSE))</f>
        <v>20</v>
      </c>
      <c r="P74" s="77">
        <v>1</v>
      </c>
      <c r="Q74" s="78">
        <v>13.5</v>
      </c>
      <c r="R74" s="82">
        <f t="shared" si="1"/>
        <v>13.5</v>
      </c>
      <c r="S74" s="85">
        <v>20</v>
      </c>
      <c r="T74" s="86">
        <f t="shared" si="2"/>
        <v>20</v>
      </c>
      <c r="U74" s="87"/>
      <c r="V74" s="88">
        <f t="shared" si="0"/>
        <v>16.8</v>
      </c>
      <c r="W74" s="89"/>
    </row>
    <row r="75" spans="1:23" ht="15.75" customHeight="1" x14ac:dyDescent="0.25">
      <c r="A75" s="6"/>
      <c r="B75" s="72"/>
      <c r="C75" s="73"/>
      <c r="D75" s="521"/>
      <c r="E75" s="73" t="s">
        <v>1647</v>
      </c>
      <c r="F75" s="74" t="s">
        <v>1644</v>
      </c>
      <c r="G75" s="74" t="s">
        <v>1638</v>
      </c>
      <c r="H75" s="74"/>
      <c r="I75" s="73"/>
      <c r="J75" s="73"/>
      <c r="K75" s="73" t="s">
        <v>67</v>
      </c>
      <c r="L75" s="73"/>
      <c r="M75" s="73" t="s">
        <v>1739</v>
      </c>
      <c r="N75" s="75">
        <f>IF(NOT(ISBLANK(M75)),VLOOKUP(M75, metrics_lookup_table, 4, FALSE))</f>
        <v>13.5</v>
      </c>
      <c r="O75" s="76">
        <f>IF(NOT(ISBLANK(M75)),VLOOKUP(M75, metrics_lookup_table, 5, FALSE))</f>
        <v>20</v>
      </c>
      <c r="P75" s="77">
        <v>1</v>
      </c>
      <c r="Q75" s="78">
        <v>13.5</v>
      </c>
      <c r="R75" s="82">
        <f t="shared" si="1"/>
        <v>13.5</v>
      </c>
      <c r="S75" s="85">
        <v>20</v>
      </c>
      <c r="T75" s="86">
        <f t="shared" si="2"/>
        <v>20</v>
      </c>
      <c r="U75" s="87"/>
      <c r="V75" s="88">
        <f t="shared" si="0"/>
        <v>16.8</v>
      </c>
      <c r="W75" s="89"/>
    </row>
    <row r="76" spans="1:23" ht="15.75" customHeight="1" x14ac:dyDescent="0.25">
      <c r="A76" s="6"/>
      <c r="B76" s="72"/>
      <c r="C76" s="73"/>
      <c r="D76" s="521"/>
      <c r="E76" s="73" t="s">
        <v>1647</v>
      </c>
      <c r="F76" s="74" t="s">
        <v>1644</v>
      </c>
      <c r="G76" s="74" t="s">
        <v>1639</v>
      </c>
      <c r="H76" s="74"/>
      <c r="I76" s="73"/>
      <c r="J76" s="73"/>
      <c r="K76" s="73" t="s">
        <v>67</v>
      </c>
      <c r="L76" s="73"/>
      <c r="M76" s="73" t="s">
        <v>1739</v>
      </c>
      <c r="N76" s="75">
        <f>IF(NOT(ISBLANK(M76)),VLOOKUP(M76, metrics_lookup_table, 4, FALSE))</f>
        <v>13.5</v>
      </c>
      <c r="O76" s="76">
        <f>IF(NOT(ISBLANK(M76)),VLOOKUP(M76, metrics_lookup_table, 5, FALSE))</f>
        <v>20</v>
      </c>
      <c r="P76" s="77">
        <v>1</v>
      </c>
      <c r="Q76" s="78">
        <v>13.5</v>
      </c>
      <c r="R76" s="82">
        <f t="shared" si="1"/>
        <v>13.5</v>
      </c>
      <c r="S76" s="85">
        <v>20</v>
      </c>
      <c r="T76" s="86">
        <f t="shared" si="2"/>
        <v>20</v>
      </c>
      <c r="U76" s="87"/>
      <c r="V76" s="88">
        <f t="shared" si="0"/>
        <v>16.8</v>
      </c>
      <c r="W76" s="89"/>
    </row>
    <row r="77" spans="1:23" s="485" customFormat="1" x14ac:dyDescent="0.25">
      <c r="A77" s="6"/>
      <c r="B77" s="72"/>
      <c r="C77" s="91"/>
      <c r="D77" s="512" t="s">
        <v>1710</v>
      </c>
      <c r="E77" s="511"/>
      <c r="F77" s="511"/>
      <c r="G77" s="512"/>
      <c r="H77" s="512"/>
      <c r="I77" s="511"/>
      <c r="J77" s="511"/>
      <c r="K77" s="511"/>
      <c r="L77" s="511"/>
      <c r="M77" s="511"/>
      <c r="N77" s="513"/>
      <c r="O77" s="514"/>
      <c r="P77" s="515"/>
      <c r="Q77" s="514"/>
      <c r="R77" s="513"/>
      <c r="S77" s="516"/>
      <c r="T77" s="517"/>
      <c r="U77" s="514"/>
      <c r="V77" s="514"/>
      <c r="W77" s="518"/>
    </row>
    <row r="78" spans="1:23" s="485" customFormat="1" ht="25.5" x14ac:dyDescent="0.25">
      <c r="A78" s="6"/>
      <c r="B78" s="72"/>
      <c r="C78" s="73"/>
      <c r="D78" s="521"/>
      <c r="E78" s="73" t="s">
        <v>1650</v>
      </c>
      <c r="F78" s="74" t="s">
        <v>1644</v>
      </c>
      <c r="G78" s="74" t="s">
        <v>1648</v>
      </c>
      <c r="H78" s="74"/>
      <c r="I78" s="73"/>
      <c r="J78" s="73"/>
      <c r="K78" s="73" t="s">
        <v>67</v>
      </c>
      <c r="L78" s="73"/>
      <c r="M78" s="73"/>
      <c r="N78" s="75">
        <v>3</v>
      </c>
      <c r="O78" s="76">
        <v>5</v>
      </c>
      <c r="P78" s="77">
        <v>1</v>
      </c>
      <c r="Q78" s="78"/>
      <c r="R78" s="79">
        <f t="shared" si="1"/>
        <v>3</v>
      </c>
      <c r="S78" s="80"/>
      <c r="T78" s="81">
        <f t="shared" si="2"/>
        <v>5</v>
      </c>
      <c r="U78" s="78"/>
      <c r="V78" s="82">
        <f t="shared" si="0"/>
        <v>4</v>
      </c>
      <c r="W78" s="83"/>
    </row>
    <row r="79" spans="1:23" s="485" customFormat="1" ht="30" customHeight="1" x14ac:dyDescent="0.25">
      <c r="A79" s="6"/>
      <c r="B79" s="72"/>
      <c r="C79" s="91"/>
      <c r="D79" s="521"/>
      <c r="E79" s="73" t="s">
        <v>1650</v>
      </c>
      <c r="F79" s="74" t="s">
        <v>1644</v>
      </c>
      <c r="G79" s="92" t="s">
        <v>1649</v>
      </c>
      <c r="H79" s="92"/>
      <c r="I79" s="91"/>
      <c r="J79" s="91"/>
      <c r="K79" s="91" t="s">
        <v>67</v>
      </c>
      <c r="L79" s="91"/>
      <c r="M79" s="91"/>
      <c r="N79" s="93">
        <v>2</v>
      </c>
      <c r="O79" s="94">
        <v>3</v>
      </c>
      <c r="P79" s="95">
        <v>1</v>
      </c>
      <c r="Q79" s="87" t="s">
        <v>1272</v>
      </c>
      <c r="R79" s="79">
        <f t="shared" si="1"/>
        <v>2</v>
      </c>
      <c r="S79" s="80"/>
      <c r="T79" s="81">
        <f t="shared" si="2"/>
        <v>3</v>
      </c>
      <c r="U79" s="78"/>
      <c r="V79" s="82">
        <f t="shared" si="0"/>
        <v>2.5</v>
      </c>
      <c r="W79" s="83"/>
    </row>
    <row r="80" spans="1:23" s="485" customFormat="1" ht="25.5" x14ac:dyDescent="0.25">
      <c r="A80" s="6"/>
      <c r="B80" s="72"/>
      <c r="C80" s="73"/>
      <c r="D80" s="521"/>
      <c r="E80" s="73" t="s">
        <v>1650</v>
      </c>
      <c r="F80" s="74" t="s">
        <v>1644</v>
      </c>
      <c r="G80" s="74" t="s">
        <v>1758</v>
      </c>
      <c r="H80" s="74"/>
      <c r="I80" s="73"/>
      <c r="J80" s="73"/>
      <c r="K80" s="73" t="s">
        <v>67</v>
      </c>
      <c r="L80" s="73"/>
      <c r="M80" s="73"/>
      <c r="N80" s="75">
        <v>2</v>
      </c>
      <c r="O80" s="76">
        <v>3</v>
      </c>
      <c r="P80" s="77">
        <v>1</v>
      </c>
      <c r="Q80" s="78"/>
      <c r="R80" s="82">
        <f t="shared" si="1"/>
        <v>2</v>
      </c>
      <c r="S80" s="85"/>
      <c r="T80" s="86">
        <f t="shared" si="2"/>
        <v>3</v>
      </c>
      <c r="U80" s="87"/>
      <c r="V80" s="88">
        <f t="shared" si="0"/>
        <v>2.5</v>
      </c>
      <c r="W80" s="89"/>
    </row>
    <row r="81" spans="1:23" s="485" customFormat="1" ht="25.5" x14ac:dyDescent="0.25">
      <c r="A81" s="6"/>
      <c r="B81" s="72"/>
      <c r="C81" s="73"/>
      <c r="D81" s="521"/>
      <c r="E81" s="73" t="s">
        <v>1650</v>
      </c>
      <c r="F81" s="74" t="s">
        <v>1644</v>
      </c>
      <c r="G81" s="74" t="s">
        <v>1759</v>
      </c>
      <c r="H81" s="74"/>
      <c r="I81" s="73"/>
      <c r="J81" s="73"/>
      <c r="K81" s="73" t="s">
        <v>67</v>
      </c>
      <c r="L81" s="73"/>
      <c r="M81" s="73"/>
      <c r="N81" s="75">
        <v>1</v>
      </c>
      <c r="O81" s="76">
        <v>1.5</v>
      </c>
      <c r="P81" s="560">
        <v>6</v>
      </c>
      <c r="Q81" s="78"/>
      <c r="R81" s="79">
        <f t="shared" si="1"/>
        <v>6</v>
      </c>
      <c r="S81" s="80"/>
      <c r="T81" s="81">
        <f t="shared" si="2"/>
        <v>9</v>
      </c>
      <c r="U81" s="78"/>
      <c r="V81" s="82">
        <f t="shared" si="0"/>
        <v>7.5</v>
      </c>
      <c r="W81" s="83"/>
    </row>
    <row r="82" spans="1:23" s="485" customFormat="1" ht="22.5" customHeight="1" x14ac:dyDescent="0.25">
      <c r="A82" s="6"/>
      <c r="B82" s="72"/>
      <c r="C82" s="73"/>
      <c r="D82" s="521"/>
      <c r="E82" s="73" t="s">
        <v>1650</v>
      </c>
      <c r="F82" s="74" t="s">
        <v>1644</v>
      </c>
      <c r="G82" s="74" t="s">
        <v>1651</v>
      </c>
      <c r="H82" s="74"/>
      <c r="I82" s="73"/>
      <c r="J82" s="73"/>
      <c r="K82" s="73" t="s">
        <v>67</v>
      </c>
      <c r="L82" s="73"/>
      <c r="M82" s="73"/>
      <c r="N82" s="75">
        <v>1</v>
      </c>
      <c r="O82" s="76">
        <v>1</v>
      </c>
      <c r="P82" s="77">
        <v>1</v>
      </c>
      <c r="Q82" s="78"/>
      <c r="R82" s="79">
        <f t="shared" si="1"/>
        <v>1</v>
      </c>
      <c r="S82" s="80"/>
      <c r="T82" s="81">
        <f t="shared" si="2"/>
        <v>1</v>
      </c>
      <c r="U82" s="78"/>
      <c r="V82" s="82">
        <f t="shared" ref="V82" si="19">IF(AND(ISNUMBER(R82),ISNUMBER(T82)),ROUND((R82+T82)/2, 1),"")</f>
        <v>1</v>
      </c>
      <c r="W82" s="83"/>
    </row>
    <row r="83" spans="1:23" s="485" customFormat="1" x14ac:dyDescent="0.25">
      <c r="A83" s="6"/>
      <c r="B83" s="72"/>
      <c r="C83" s="91"/>
      <c r="D83" s="512" t="s">
        <v>1711</v>
      </c>
      <c r="E83" s="511"/>
      <c r="F83" s="511"/>
      <c r="G83" s="512"/>
      <c r="H83" s="512"/>
      <c r="I83" s="511"/>
      <c r="J83" s="511"/>
      <c r="K83" s="511"/>
      <c r="L83" s="511"/>
      <c r="M83" s="511"/>
      <c r="N83" s="513"/>
      <c r="O83" s="514"/>
      <c r="P83" s="515"/>
      <c r="Q83" s="514"/>
      <c r="R83" s="513"/>
      <c r="S83" s="516"/>
      <c r="T83" s="517"/>
      <c r="U83" s="514"/>
      <c r="V83" s="514"/>
      <c r="W83" s="518"/>
    </row>
    <row r="84" spans="1:23" s="485" customFormat="1" x14ac:dyDescent="0.25">
      <c r="A84" s="6"/>
      <c r="B84" s="72"/>
      <c r="C84" s="73"/>
      <c r="D84" s="521"/>
      <c r="E84" s="73" t="s">
        <v>1647</v>
      </c>
      <c r="F84" s="74" t="s">
        <v>1658</v>
      </c>
      <c r="G84" s="74" t="s">
        <v>1659</v>
      </c>
      <c r="H84" s="74"/>
      <c r="I84" s="73"/>
      <c r="J84" s="73"/>
      <c r="K84" s="73" t="s">
        <v>67</v>
      </c>
      <c r="L84" s="73"/>
      <c r="M84" s="73"/>
      <c r="N84" s="75">
        <v>1</v>
      </c>
      <c r="O84" s="76">
        <v>2</v>
      </c>
      <c r="P84" s="77">
        <v>6</v>
      </c>
      <c r="Q84" s="78"/>
      <c r="R84" s="79">
        <f t="shared" si="1"/>
        <v>6</v>
      </c>
      <c r="S84" s="80"/>
      <c r="T84" s="81">
        <f t="shared" si="2"/>
        <v>12</v>
      </c>
      <c r="U84" s="78"/>
      <c r="V84" s="82">
        <f t="shared" ref="V84:V86" si="20">IF(AND(ISNUMBER(R84),ISNUMBER(T84)),ROUND((R84+T84)/2, 1),"")</f>
        <v>9</v>
      </c>
      <c r="W84" s="83"/>
    </row>
    <row r="85" spans="1:23" s="485" customFormat="1" x14ac:dyDescent="0.25">
      <c r="A85" s="6"/>
      <c r="B85" s="72"/>
      <c r="C85" s="91"/>
      <c r="D85" s="521"/>
      <c r="E85" s="73" t="s">
        <v>1647</v>
      </c>
      <c r="F85" s="74" t="s">
        <v>1658</v>
      </c>
      <c r="G85" s="92" t="s">
        <v>1750</v>
      </c>
      <c r="H85" s="92" t="s">
        <v>1661</v>
      </c>
      <c r="I85" s="91"/>
      <c r="J85" s="91"/>
      <c r="K85" s="91" t="s">
        <v>67</v>
      </c>
      <c r="L85" s="91"/>
      <c r="M85" s="91"/>
      <c r="N85" s="93">
        <v>1</v>
      </c>
      <c r="O85" s="94">
        <v>2</v>
      </c>
      <c r="P85" s="95">
        <v>6</v>
      </c>
      <c r="Q85" s="87" t="s">
        <v>1272</v>
      </c>
      <c r="R85" s="79">
        <f t="shared" si="1"/>
        <v>6</v>
      </c>
      <c r="S85" s="80"/>
      <c r="T85" s="81">
        <f t="shared" si="2"/>
        <v>12</v>
      </c>
      <c r="U85" s="78"/>
      <c r="V85" s="82">
        <f t="shared" si="20"/>
        <v>9</v>
      </c>
      <c r="W85" s="83"/>
    </row>
    <row r="86" spans="1:23" s="485" customFormat="1" ht="25.5" x14ac:dyDescent="0.25">
      <c r="A86" s="6"/>
      <c r="B86" s="72"/>
      <c r="C86" s="73"/>
      <c r="D86" s="521"/>
      <c r="E86" s="73" t="s">
        <v>1650</v>
      </c>
      <c r="F86" s="74" t="s">
        <v>1658</v>
      </c>
      <c r="G86" s="74" t="s">
        <v>1643</v>
      </c>
      <c r="H86" s="74"/>
      <c r="I86" s="73"/>
      <c r="J86" s="73"/>
      <c r="K86" s="73" t="s">
        <v>67</v>
      </c>
      <c r="L86" s="73"/>
      <c r="M86" s="73"/>
      <c r="N86" s="75">
        <v>1.5</v>
      </c>
      <c r="O86" s="76">
        <v>2</v>
      </c>
      <c r="P86" s="77">
        <v>1</v>
      </c>
      <c r="Q86" s="78"/>
      <c r="R86" s="79">
        <f t="shared" si="1"/>
        <v>1.5</v>
      </c>
      <c r="S86" s="80"/>
      <c r="T86" s="81">
        <f t="shared" si="2"/>
        <v>2</v>
      </c>
      <c r="U86" s="78"/>
      <c r="V86" s="82">
        <f t="shared" si="20"/>
        <v>1.8</v>
      </c>
      <c r="W86" s="83"/>
    </row>
    <row r="87" spans="1:23" s="485" customFormat="1" x14ac:dyDescent="0.25">
      <c r="A87" s="6"/>
      <c r="B87" s="72"/>
      <c r="C87" s="91"/>
      <c r="D87" s="512" t="s">
        <v>1712</v>
      </c>
      <c r="E87" s="511"/>
      <c r="F87" s="511"/>
      <c r="G87" s="512"/>
      <c r="H87" s="512"/>
      <c r="I87" s="511"/>
      <c r="J87" s="511"/>
      <c r="K87" s="511"/>
      <c r="L87" s="511"/>
      <c r="M87" s="511"/>
      <c r="N87" s="513"/>
      <c r="O87" s="514"/>
      <c r="P87" s="515"/>
      <c r="Q87" s="514"/>
      <c r="R87" s="513"/>
      <c r="S87" s="516"/>
      <c r="T87" s="517"/>
      <c r="U87" s="514"/>
      <c r="V87" s="514"/>
      <c r="W87" s="518"/>
    </row>
    <row r="88" spans="1:23" s="485" customFormat="1" x14ac:dyDescent="0.25">
      <c r="A88" s="6"/>
      <c r="B88" s="72"/>
      <c r="C88" s="73"/>
      <c r="D88" s="521"/>
      <c r="E88" s="73" t="s">
        <v>1647</v>
      </c>
      <c r="F88" s="74" t="s">
        <v>1660</v>
      </c>
      <c r="G88" s="74" t="s">
        <v>1620</v>
      </c>
      <c r="H88" s="74"/>
      <c r="I88" s="73"/>
      <c r="J88" s="73"/>
      <c r="K88" s="73" t="s">
        <v>67</v>
      </c>
      <c r="L88" s="73"/>
      <c r="M88" s="73"/>
      <c r="N88" s="75">
        <v>1</v>
      </c>
      <c r="O88" s="76">
        <v>2</v>
      </c>
      <c r="P88" s="77">
        <v>6</v>
      </c>
      <c r="Q88" s="78"/>
      <c r="R88" s="79">
        <f t="shared" si="1"/>
        <v>6</v>
      </c>
      <c r="S88" s="80"/>
      <c r="T88" s="81">
        <f t="shared" si="2"/>
        <v>12</v>
      </c>
      <c r="U88" s="78"/>
      <c r="V88" s="82">
        <f t="shared" ref="V88:V90" si="21">IF(AND(ISNUMBER(R88),ISNUMBER(T88)),ROUND((R88+T88)/2, 1),"")</f>
        <v>9</v>
      </c>
      <c r="W88" s="83"/>
    </row>
    <row r="89" spans="1:23" s="485" customFormat="1" x14ac:dyDescent="0.25">
      <c r="A89" s="6"/>
      <c r="B89" s="72"/>
      <c r="C89" s="91"/>
      <c r="D89" s="521"/>
      <c r="E89" s="73" t="s">
        <v>1647</v>
      </c>
      <c r="F89" s="74" t="s">
        <v>1660</v>
      </c>
      <c r="G89" s="92" t="s">
        <v>1746</v>
      </c>
      <c r="H89" s="92"/>
      <c r="I89" s="91"/>
      <c r="J89" s="91"/>
      <c r="K89" s="91" t="s">
        <v>67</v>
      </c>
      <c r="L89" s="91"/>
      <c r="M89" s="91"/>
      <c r="N89" s="93">
        <v>0.5</v>
      </c>
      <c r="O89" s="94">
        <v>1</v>
      </c>
      <c r="P89" s="95">
        <v>6</v>
      </c>
      <c r="Q89" s="87" t="s">
        <v>1272</v>
      </c>
      <c r="R89" s="79">
        <f t="shared" si="1"/>
        <v>3</v>
      </c>
      <c r="S89" s="80"/>
      <c r="T89" s="81">
        <f t="shared" si="2"/>
        <v>6</v>
      </c>
      <c r="U89" s="78"/>
      <c r="V89" s="82">
        <f t="shared" si="21"/>
        <v>4.5</v>
      </c>
      <c r="W89" s="83"/>
    </row>
    <row r="90" spans="1:23" s="485" customFormat="1" ht="25.5" x14ac:dyDescent="0.25">
      <c r="A90" s="6"/>
      <c r="B90" s="72"/>
      <c r="C90" s="73"/>
      <c r="D90" s="521"/>
      <c r="E90" s="73" t="s">
        <v>1650</v>
      </c>
      <c r="F90" s="74" t="s">
        <v>1660</v>
      </c>
      <c r="G90" s="74" t="s">
        <v>1643</v>
      </c>
      <c r="H90" s="74"/>
      <c r="I90" s="73"/>
      <c r="J90" s="73"/>
      <c r="K90" s="73" t="s">
        <v>67</v>
      </c>
      <c r="L90" s="73"/>
      <c r="M90" s="73"/>
      <c r="N90" s="75">
        <v>1.5</v>
      </c>
      <c r="O90" s="76">
        <v>2</v>
      </c>
      <c r="P90" s="77">
        <v>1</v>
      </c>
      <c r="Q90" s="78"/>
      <c r="R90" s="79">
        <f t="shared" si="1"/>
        <v>1.5</v>
      </c>
      <c r="S90" s="80"/>
      <c r="T90" s="81">
        <f t="shared" si="2"/>
        <v>2</v>
      </c>
      <c r="U90" s="78"/>
      <c r="V90" s="82">
        <f t="shared" si="21"/>
        <v>1.8</v>
      </c>
      <c r="W90" s="83"/>
    </row>
    <row r="91" spans="1:23" s="485" customFormat="1" ht="25.5" x14ac:dyDescent="0.25">
      <c r="A91" s="6"/>
      <c r="B91" s="72"/>
      <c r="C91" s="91"/>
      <c r="D91" s="512" t="s">
        <v>1713</v>
      </c>
      <c r="E91" s="511"/>
      <c r="F91" s="511"/>
      <c r="G91" s="512"/>
      <c r="H91" s="512"/>
      <c r="I91" s="511"/>
      <c r="J91" s="511"/>
      <c r="K91" s="511"/>
      <c r="L91" s="511"/>
      <c r="M91" s="511"/>
      <c r="N91" s="513"/>
      <c r="O91" s="514"/>
      <c r="P91" s="515"/>
      <c r="Q91" s="514"/>
      <c r="R91" s="513"/>
      <c r="S91" s="516"/>
      <c r="T91" s="517"/>
      <c r="U91" s="514"/>
      <c r="V91" s="514"/>
      <c r="W91" s="518"/>
    </row>
    <row r="92" spans="1:23" s="485" customFormat="1" ht="38.25" x14ac:dyDescent="0.25">
      <c r="A92" s="6"/>
      <c r="B92" s="72"/>
      <c r="C92" s="73"/>
      <c r="D92" s="521"/>
      <c r="E92" s="73" t="s">
        <v>1647</v>
      </c>
      <c r="F92" s="74" t="s">
        <v>1672</v>
      </c>
      <c r="G92" s="74" t="s">
        <v>1662</v>
      </c>
      <c r="H92" s="74" t="s">
        <v>1687</v>
      </c>
      <c r="I92" s="73"/>
      <c r="J92" s="73"/>
      <c r="K92" s="73" t="s">
        <v>67</v>
      </c>
      <c r="L92" s="73"/>
      <c r="M92" s="73"/>
      <c r="N92" s="75">
        <v>1</v>
      </c>
      <c r="O92" s="76">
        <v>2</v>
      </c>
      <c r="P92" s="77">
        <v>6</v>
      </c>
      <c r="Q92" s="78"/>
      <c r="R92" s="79">
        <f t="shared" si="1"/>
        <v>6</v>
      </c>
      <c r="S92" s="80"/>
      <c r="T92" s="81">
        <f t="shared" si="2"/>
        <v>12</v>
      </c>
      <c r="U92" s="78"/>
      <c r="V92" s="82">
        <f t="shared" ref="V92" si="22">IF(AND(ISNUMBER(R92),ISNUMBER(T92)),ROUND((R92+T92)/2, 1),"")</f>
        <v>9</v>
      </c>
      <c r="W92" s="83"/>
    </row>
    <row r="93" spans="1:23" s="485" customFormat="1" ht="42.75" customHeight="1" x14ac:dyDescent="0.25">
      <c r="A93" s="6"/>
      <c r="B93" s="72"/>
      <c r="C93" s="91"/>
      <c r="D93" s="521"/>
      <c r="E93" s="73" t="s">
        <v>1647</v>
      </c>
      <c r="F93" s="74" t="s">
        <v>1672</v>
      </c>
      <c r="G93" s="92" t="s">
        <v>1663</v>
      </c>
      <c r="H93" s="92" t="s">
        <v>1747</v>
      </c>
      <c r="I93" s="91"/>
      <c r="J93" s="91"/>
      <c r="K93" s="91" t="s">
        <v>67</v>
      </c>
      <c r="L93" s="91"/>
      <c r="M93" s="91"/>
      <c r="N93" s="93">
        <v>1.5</v>
      </c>
      <c r="O93" s="94">
        <v>2</v>
      </c>
      <c r="P93" s="95">
        <v>2</v>
      </c>
      <c r="Q93" s="87" t="s">
        <v>1272</v>
      </c>
      <c r="R93" s="79">
        <f t="shared" si="1"/>
        <v>3</v>
      </c>
      <c r="S93" s="80"/>
      <c r="T93" s="81">
        <f t="shared" si="2"/>
        <v>4</v>
      </c>
      <c r="U93" s="78"/>
      <c r="V93" s="82">
        <f t="shared" ref="V93:V96" si="23">IF(AND(ISNUMBER(R93),ISNUMBER(T93)),ROUND((R93+T93)/2, 1),"")</f>
        <v>3.5</v>
      </c>
      <c r="W93" s="83"/>
    </row>
    <row r="94" spans="1:23" s="485" customFormat="1" ht="38.25" x14ac:dyDescent="0.25">
      <c r="A94" s="6"/>
      <c r="B94" s="72"/>
      <c r="C94" s="91"/>
      <c r="D94" s="521"/>
      <c r="E94" s="73" t="s">
        <v>1647</v>
      </c>
      <c r="F94" s="74" t="s">
        <v>1672</v>
      </c>
      <c r="G94" s="92" t="s">
        <v>1664</v>
      </c>
      <c r="H94" s="92" t="s">
        <v>1688</v>
      </c>
      <c r="I94" s="91"/>
      <c r="J94" s="91"/>
      <c r="K94" s="91" t="s">
        <v>67</v>
      </c>
      <c r="L94" s="91"/>
      <c r="M94" s="91"/>
      <c r="N94" s="93">
        <v>1</v>
      </c>
      <c r="O94" s="94">
        <v>1.5</v>
      </c>
      <c r="P94" s="95">
        <v>2</v>
      </c>
      <c r="Q94" s="87" t="s">
        <v>1272</v>
      </c>
      <c r="R94" s="79">
        <f t="shared" si="1"/>
        <v>2</v>
      </c>
      <c r="S94" s="80"/>
      <c r="T94" s="81">
        <f t="shared" si="2"/>
        <v>3</v>
      </c>
      <c r="U94" s="78"/>
      <c r="V94" s="82">
        <f t="shared" ref="V94" si="24">IF(AND(ISNUMBER(R94),ISNUMBER(T94)),ROUND((R94+T94)/2, 1),"")</f>
        <v>2.5</v>
      </c>
      <c r="W94" s="83"/>
    </row>
    <row r="95" spans="1:23" s="485" customFormat="1" ht="16.5" customHeight="1" x14ac:dyDescent="0.25">
      <c r="A95" s="6"/>
      <c r="B95" s="72"/>
      <c r="C95" s="91"/>
      <c r="D95" s="521"/>
      <c r="E95" s="73" t="s">
        <v>1647</v>
      </c>
      <c r="F95" s="74" t="s">
        <v>1672</v>
      </c>
      <c r="G95" s="92" t="s">
        <v>1689</v>
      </c>
      <c r="H95" s="92"/>
      <c r="I95" s="91"/>
      <c r="J95" s="91"/>
      <c r="K95" s="91" t="s">
        <v>67</v>
      </c>
      <c r="L95" s="91"/>
      <c r="M95" s="91"/>
      <c r="N95" s="93">
        <v>1</v>
      </c>
      <c r="O95" s="94">
        <v>1.5</v>
      </c>
      <c r="P95" s="95">
        <v>2</v>
      </c>
      <c r="Q95" s="87" t="s">
        <v>1272</v>
      </c>
      <c r="R95" s="79">
        <f t="shared" si="1"/>
        <v>2</v>
      </c>
      <c r="S95" s="80"/>
      <c r="T95" s="81">
        <f t="shared" si="2"/>
        <v>3</v>
      </c>
      <c r="U95" s="78"/>
      <c r="V95" s="82">
        <f t="shared" ref="V95" si="25">IF(AND(ISNUMBER(R95),ISNUMBER(T95)),ROUND((R95+T95)/2, 1),"")</f>
        <v>2.5</v>
      </c>
      <c r="W95" s="83"/>
    </row>
    <row r="96" spans="1:23" s="485" customFormat="1" ht="25.5" x14ac:dyDescent="0.25">
      <c r="A96" s="6"/>
      <c r="B96" s="72"/>
      <c r="C96" s="73"/>
      <c r="D96" s="521"/>
      <c r="E96" s="73" t="s">
        <v>1650</v>
      </c>
      <c r="F96" s="74" t="s">
        <v>1672</v>
      </c>
      <c r="G96" s="74" t="s">
        <v>1643</v>
      </c>
      <c r="H96" s="74"/>
      <c r="I96" s="73"/>
      <c r="J96" s="73"/>
      <c r="K96" s="73" t="s">
        <v>67</v>
      </c>
      <c r="L96" s="73"/>
      <c r="M96" s="73"/>
      <c r="N96" s="75">
        <v>2</v>
      </c>
      <c r="O96" s="76">
        <v>2.5</v>
      </c>
      <c r="P96" s="77">
        <v>1</v>
      </c>
      <c r="Q96" s="78"/>
      <c r="R96" s="79">
        <f t="shared" si="1"/>
        <v>2</v>
      </c>
      <c r="S96" s="80"/>
      <c r="T96" s="81">
        <f t="shared" si="2"/>
        <v>2.5</v>
      </c>
      <c r="U96" s="78"/>
      <c r="V96" s="82">
        <f t="shared" si="23"/>
        <v>2.2999999999999998</v>
      </c>
      <c r="W96" s="83"/>
    </row>
    <row r="97" spans="1:23" s="485" customFormat="1" x14ac:dyDescent="0.25">
      <c r="A97" s="6"/>
      <c r="B97" s="72"/>
      <c r="C97" s="91"/>
      <c r="D97" s="512" t="s">
        <v>1714</v>
      </c>
      <c r="E97" s="511"/>
      <c r="F97" s="511"/>
      <c r="G97" s="512"/>
      <c r="H97" s="512"/>
      <c r="I97" s="511"/>
      <c r="J97" s="511"/>
      <c r="K97" s="511"/>
      <c r="L97" s="511"/>
      <c r="M97" s="511"/>
      <c r="N97" s="513"/>
      <c r="O97" s="514"/>
      <c r="P97" s="515"/>
      <c r="Q97" s="514"/>
      <c r="R97" s="513"/>
      <c r="S97" s="516"/>
      <c r="T97" s="517"/>
      <c r="U97" s="514"/>
      <c r="V97" s="514"/>
      <c r="W97" s="518"/>
    </row>
    <row r="98" spans="1:23" s="485" customFormat="1" ht="34.5" customHeight="1" x14ac:dyDescent="0.25">
      <c r="A98" s="6"/>
      <c r="B98" s="72"/>
      <c r="C98" s="73"/>
      <c r="D98" s="521"/>
      <c r="E98" s="73" t="s">
        <v>1647</v>
      </c>
      <c r="F98" s="74" t="s">
        <v>1680</v>
      </c>
      <c r="G98" s="74" t="s">
        <v>1679</v>
      </c>
      <c r="H98" s="74"/>
      <c r="I98" s="73"/>
      <c r="J98" s="73"/>
      <c r="K98" s="73" t="s">
        <v>67</v>
      </c>
      <c r="L98" s="73"/>
      <c r="M98" s="73"/>
      <c r="N98" s="75">
        <v>0.5</v>
      </c>
      <c r="O98" s="76">
        <v>0.75</v>
      </c>
      <c r="P98" s="77">
        <v>6</v>
      </c>
      <c r="Q98" s="78"/>
      <c r="R98" s="79">
        <f t="shared" si="1"/>
        <v>3</v>
      </c>
      <c r="S98" s="80"/>
      <c r="T98" s="81">
        <f t="shared" si="2"/>
        <v>4.5</v>
      </c>
      <c r="U98" s="78"/>
      <c r="V98" s="82">
        <f t="shared" ref="V98:V100" si="26">IF(AND(ISNUMBER(R98),ISNUMBER(T98)),ROUND((R98+T98)/2, 1),"")</f>
        <v>3.8</v>
      </c>
      <c r="W98" s="83"/>
    </row>
    <row r="99" spans="1:23" s="485" customFormat="1" ht="36.75" customHeight="1" x14ac:dyDescent="0.25">
      <c r="A99" s="6"/>
      <c r="B99" s="72"/>
      <c r="C99" s="91"/>
      <c r="D99" s="521"/>
      <c r="E99" s="73" t="s">
        <v>1647</v>
      </c>
      <c r="F99" s="74" t="s">
        <v>1680</v>
      </c>
      <c r="G99" s="74" t="s">
        <v>1678</v>
      </c>
      <c r="H99" s="92"/>
      <c r="I99" s="91"/>
      <c r="J99" s="91"/>
      <c r="K99" s="91" t="s">
        <v>67</v>
      </c>
      <c r="L99" s="91"/>
      <c r="M99" s="91"/>
      <c r="N99" s="93">
        <v>1</v>
      </c>
      <c r="O99" s="94">
        <v>1.5</v>
      </c>
      <c r="P99" s="95">
        <v>6</v>
      </c>
      <c r="Q99" s="87" t="s">
        <v>1272</v>
      </c>
      <c r="R99" s="79">
        <f t="shared" si="1"/>
        <v>6</v>
      </c>
      <c r="S99" s="80"/>
      <c r="T99" s="81">
        <f t="shared" si="2"/>
        <v>9</v>
      </c>
      <c r="U99" s="78"/>
      <c r="V99" s="82">
        <f t="shared" si="26"/>
        <v>7.5</v>
      </c>
      <c r="W99" s="83"/>
    </row>
    <row r="100" spans="1:23" s="485" customFormat="1" ht="25.5" x14ac:dyDescent="0.25">
      <c r="A100" s="6"/>
      <c r="B100" s="72"/>
      <c r="C100" s="73"/>
      <c r="D100" s="521"/>
      <c r="E100" s="73" t="s">
        <v>1650</v>
      </c>
      <c r="F100" s="74" t="s">
        <v>1680</v>
      </c>
      <c r="G100" s="74" t="s">
        <v>1643</v>
      </c>
      <c r="H100" s="74"/>
      <c r="I100" s="73"/>
      <c r="J100" s="73"/>
      <c r="K100" s="73" t="s">
        <v>67</v>
      </c>
      <c r="L100" s="73"/>
      <c r="M100" s="73"/>
      <c r="N100" s="75">
        <v>1.5</v>
      </c>
      <c r="O100" s="76">
        <v>2</v>
      </c>
      <c r="P100" s="77">
        <v>1</v>
      </c>
      <c r="Q100" s="78"/>
      <c r="R100" s="79">
        <f t="shared" si="1"/>
        <v>1.5</v>
      </c>
      <c r="S100" s="80"/>
      <c r="T100" s="81">
        <f t="shared" si="2"/>
        <v>2</v>
      </c>
      <c r="U100" s="78"/>
      <c r="V100" s="82">
        <f t="shared" si="26"/>
        <v>1.8</v>
      </c>
      <c r="W100" s="83"/>
    </row>
    <row r="101" spans="1:23" s="485" customFormat="1" x14ac:dyDescent="0.25">
      <c r="A101" s="6"/>
      <c r="B101" s="72"/>
      <c r="C101" s="91"/>
      <c r="D101" s="512" t="s">
        <v>1715</v>
      </c>
      <c r="E101" s="511"/>
      <c r="F101" s="511"/>
      <c r="G101" s="512"/>
      <c r="H101" s="512"/>
      <c r="I101" s="511"/>
      <c r="J101" s="511"/>
      <c r="K101" s="511"/>
      <c r="L101" s="511"/>
      <c r="M101" s="511"/>
      <c r="N101" s="513"/>
      <c r="O101" s="514"/>
      <c r="P101" s="515"/>
      <c r="Q101" s="514"/>
      <c r="R101" s="513"/>
      <c r="S101" s="516"/>
      <c r="T101" s="517"/>
      <c r="U101" s="514"/>
      <c r="V101" s="514"/>
      <c r="W101" s="518"/>
    </row>
    <row r="102" spans="1:23" s="485" customFormat="1" x14ac:dyDescent="0.25">
      <c r="A102" s="6"/>
      <c r="B102" s="72"/>
      <c r="C102" s="73"/>
      <c r="D102" s="521"/>
      <c r="E102" s="73" t="s">
        <v>1647</v>
      </c>
      <c r="F102" s="74" t="s">
        <v>1681</v>
      </c>
      <c r="G102" s="74" t="s">
        <v>1700</v>
      </c>
      <c r="H102" s="74"/>
      <c r="I102" s="73"/>
      <c r="J102" s="73"/>
      <c r="K102" s="73" t="s">
        <v>67</v>
      </c>
      <c r="L102" s="73"/>
      <c r="M102" s="73"/>
      <c r="N102" s="75">
        <v>0.5</v>
      </c>
      <c r="O102" s="76">
        <v>0.75</v>
      </c>
      <c r="P102" s="77">
        <v>6</v>
      </c>
      <c r="Q102" s="78"/>
      <c r="R102" s="79">
        <f t="shared" si="1"/>
        <v>3</v>
      </c>
      <c r="S102" s="80"/>
      <c r="T102" s="81">
        <f t="shared" si="2"/>
        <v>4.5</v>
      </c>
      <c r="U102" s="78"/>
      <c r="V102" s="82">
        <f t="shared" ref="V102:V104" si="27">IF(AND(ISNUMBER(R102),ISNUMBER(T102)),ROUND((R102+T102)/2, 1),"")</f>
        <v>3.8</v>
      </c>
      <c r="W102" s="83"/>
    </row>
    <row r="103" spans="1:23" s="485" customFormat="1" x14ac:dyDescent="0.25">
      <c r="A103" s="6"/>
      <c r="B103" s="72"/>
      <c r="C103" s="91"/>
      <c r="D103" s="521"/>
      <c r="E103" s="73" t="s">
        <v>1647</v>
      </c>
      <c r="F103" s="74" t="s">
        <v>1681</v>
      </c>
      <c r="G103" s="74" t="s">
        <v>1701</v>
      </c>
      <c r="H103" s="92"/>
      <c r="I103" s="91"/>
      <c r="J103" s="91"/>
      <c r="K103" s="91" t="s">
        <v>67</v>
      </c>
      <c r="L103" s="91"/>
      <c r="M103" s="91"/>
      <c r="N103" s="93">
        <v>1</v>
      </c>
      <c r="O103" s="94">
        <v>1.5</v>
      </c>
      <c r="P103" s="95">
        <v>6</v>
      </c>
      <c r="Q103" s="87" t="s">
        <v>1272</v>
      </c>
      <c r="R103" s="79">
        <f t="shared" si="1"/>
        <v>6</v>
      </c>
      <c r="S103" s="80"/>
      <c r="T103" s="81">
        <f t="shared" si="2"/>
        <v>9</v>
      </c>
      <c r="U103" s="78"/>
      <c r="V103" s="82">
        <f t="shared" si="27"/>
        <v>7.5</v>
      </c>
      <c r="W103" s="83"/>
    </row>
    <row r="104" spans="1:23" s="485" customFormat="1" ht="25.5" x14ac:dyDescent="0.25">
      <c r="A104" s="6"/>
      <c r="B104" s="72"/>
      <c r="C104" s="73"/>
      <c r="D104" s="521"/>
      <c r="E104" s="73" t="s">
        <v>1650</v>
      </c>
      <c r="F104" s="74" t="s">
        <v>1681</v>
      </c>
      <c r="G104" s="74" t="s">
        <v>1643</v>
      </c>
      <c r="H104" s="74"/>
      <c r="I104" s="73"/>
      <c r="J104" s="73"/>
      <c r="K104" s="73" t="s">
        <v>67</v>
      </c>
      <c r="L104" s="73"/>
      <c r="M104" s="73"/>
      <c r="N104" s="75">
        <v>1.5</v>
      </c>
      <c r="O104" s="76">
        <v>2</v>
      </c>
      <c r="P104" s="77">
        <v>1</v>
      </c>
      <c r="Q104" s="78"/>
      <c r="R104" s="79">
        <f t="shared" si="1"/>
        <v>1.5</v>
      </c>
      <c r="S104" s="80"/>
      <c r="T104" s="81">
        <f t="shared" si="2"/>
        <v>2</v>
      </c>
      <c r="U104" s="78"/>
      <c r="V104" s="82">
        <f t="shared" si="27"/>
        <v>1.8</v>
      </c>
      <c r="W104" s="83"/>
    </row>
    <row r="105" spans="1:23" s="485" customFormat="1" x14ac:dyDescent="0.25">
      <c r="A105" s="6"/>
      <c r="B105" s="72"/>
      <c r="C105" s="91"/>
      <c r="D105" s="512" t="s">
        <v>1748</v>
      </c>
      <c r="E105" s="511"/>
      <c r="F105" s="511"/>
      <c r="G105" s="512"/>
      <c r="H105" s="512"/>
      <c r="I105" s="511"/>
      <c r="J105" s="511"/>
      <c r="K105" s="511"/>
      <c r="L105" s="511"/>
      <c r="M105" s="511"/>
      <c r="N105" s="513"/>
      <c r="O105" s="514"/>
      <c r="P105" s="515"/>
      <c r="Q105" s="514"/>
      <c r="R105" s="513"/>
      <c r="S105" s="516"/>
      <c r="T105" s="517"/>
      <c r="U105" s="514"/>
      <c r="V105" s="514"/>
      <c r="W105" s="518"/>
    </row>
    <row r="106" spans="1:23" s="485" customFormat="1" ht="25.5" x14ac:dyDescent="0.25">
      <c r="A106" s="6"/>
      <c r="B106" s="72"/>
      <c r="C106" s="91"/>
      <c r="D106" s="92"/>
      <c r="E106" s="91" t="s">
        <v>1749</v>
      </c>
      <c r="F106" s="91" t="s">
        <v>1691</v>
      </c>
      <c r="G106" s="92" t="s">
        <v>1788</v>
      </c>
      <c r="H106" s="92"/>
      <c r="I106" s="91"/>
      <c r="J106" s="91"/>
      <c r="K106" s="91" t="s">
        <v>67</v>
      </c>
      <c r="L106" s="91"/>
      <c r="M106" s="91"/>
      <c r="N106" s="93">
        <v>20</v>
      </c>
      <c r="O106" s="94">
        <v>20</v>
      </c>
      <c r="P106" s="95">
        <v>1</v>
      </c>
      <c r="Q106" s="87" t="s">
        <v>1272</v>
      </c>
      <c r="R106" s="79">
        <f t="shared" si="1"/>
        <v>20</v>
      </c>
      <c r="S106" s="80"/>
      <c r="T106" s="81">
        <f t="shared" si="2"/>
        <v>20</v>
      </c>
      <c r="U106" s="78"/>
      <c r="V106" s="82">
        <f t="shared" ref="V106" si="28">IF(AND(ISNUMBER(R106),ISNUMBER(T106)),ROUND((R106+T106)/2, 1),"")</f>
        <v>20</v>
      </c>
      <c r="W106" s="83"/>
    </row>
    <row r="107" spans="1:23" x14ac:dyDescent="0.25">
      <c r="A107" s="6"/>
      <c r="B107" s="72"/>
      <c r="C107" s="91"/>
      <c r="D107" s="92"/>
      <c r="E107" s="91" t="s">
        <v>1653</v>
      </c>
      <c r="F107" s="91" t="s">
        <v>1644</v>
      </c>
      <c r="G107" s="92" t="s">
        <v>1652</v>
      </c>
      <c r="H107" s="92"/>
      <c r="I107" s="91"/>
      <c r="J107" s="91"/>
      <c r="K107" s="91" t="s">
        <v>67</v>
      </c>
      <c r="L107" s="91"/>
      <c r="M107" s="91"/>
      <c r="N107" s="93">
        <v>2</v>
      </c>
      <c r="O107" s="94">
        <v>2</v>
      </c>
      <c r="P107" s="95">
        <v>5</v>
      </c>
      <c r="Q107" s="87" t="s">
        <v>1272</v>
      </c>
      <c r="R107" s="79">
        <f t="shared" si="1"/>
        <v>10</v>
      </c>
      <c r="S107" s="80"/>
      <c r="T107" s="81">
        <f t="shared" si="2"/>
        <v>10</v>
      </c>
      <c r="U107" s="78"/>
      <c r="V107" s="82">
        <f t="shared" si="0"/>
        <v>10</v>
      </c>
      <c r="W107" s="83"/>
    </row>
    <row r="108" spans="1:23" x14ac:dyDescent="0.25">
      <c r="A108" s="6"/>
      <c r="B108" s="72"/>
      <c r="C108" s="73"/>
      <c r="D108" s="74"/>
      <c r="E108" s="73" t="s">
        <v>1749</v>
      </c>
      <c r="F108" s="73" t="s">
        <v>1658</v>
      </c>
      <c r="G108" s="92" t="s">
        <v>1683</v>
      </c>
      <c r="H108" s="74"/>
      <c r="I108" s="73"/>
      <c r="J108" s="73"/>
      <c r="K108" s="73" t="s">
        <v>67</v>
      </c>
      <c r="L108" s="73"/>
      <c r="M108" s="73"/>
      <c r="N108" s="75">
        <v>10</v>
      </c>
      <c r="O108" s="76">
        <v>10</v>
      </c>
      <c r="P108" s="77">
        <v>1</v>
      </c>
      <c r="Q108" s="78"/>
      <c r="R108" s="79">
        <f t="shared" si="1"/>
        <v>10</v>
      </c>
      <c r="S108" s="80"/>
      <c r="T108" s="81">
        <f t="shared" si="2"/>
        <v>10</v>
      </c>
      <c r="U108" s="78"/>
      <c r="V108" s="82">
        <f t="shared" si="0"/>
        <v>10</v>
      </c>
      <c r="W108" s="83"/>
    </row>
    <row r="109" spans="1:23" x14ac:dyDescent="0.25">
      <c r="A109" s="6"/>
      <c r="B109" s="72"/>
      <c r="C109" s="73"/>
      <c r="D109" s="74"/>
      <c r="E109" s="73"/>
      <c r="F109" s="73"/>
      <c r="G109" s="74"/>
      <c r="H109" s="74"/>
      <c r="I109" s="73"/>
      <c r="J109" s="73"/>
      <c r="K109" s="73" t="s">
        <v>67</v>
      </c>
      <c r="L109" s="73"/>
      <c r="M109" s="73"/>
      <c r="N109" s="75"/>
      <c r="O109" s="76"/>
      <c r="P109" s="77">
        <v>1</v>
      </c>
      <c r="Q109" s="78"/>
      <c r="R109" s="79" t="str">
        <f t="shared" si="1"/>
        <v/>
      </c>
      <c r="S109" s="84"/>
      <c r="T109" s="81" t="str">
        <f t="shared" si="2"/>
        <v/>
      </c>
      <c r="U109" s="78"/>
      <c r="V109" s="82" t="str">
        <f t="shared" si="0"/>
        <v/>
      </c>
      <c r="W109" s="83"/>
    </row>
    <row r="110" spans="1:23" x14ac:dyDescent="0.25">
      <c r="A110" s="6"/>
      <c r="B110" s="72"/>
      <c r="C110" s="91"/>
      <c r="D110" s="92"/>
      <c r="E110" s="91"/>
      <c r="F110" s="91"/>
      <c r="G110" s="92"/>
      <c r="H110" s="92"/>
      <c r="I110" s="91"/>
      <c r="J110" s="91"/>
      <c r="K110" s="91" t="s">
        <v>67</v>
      </c>
      <c r="L110" s="91"/>
      <c r="M110" s="91"/>
      <c r="N110" s="93"/>
      <c r="O110" s="94"/>
      <c r="P110" s="97">
        <v>1</v>
      </c>
      <c r="Q110" s="78"/>
      <c r="R110" s="82" t="str">
        <f t="shared" si="1"/>
        <v/>
      </c>
      <c r="S110" s="80"/>
      <c r="T110" s="81" t="str">
        <f t="shared" si="2"/>
        <v/>
      </c>
      <c r="U110" s="78"/>
      <c r="V110" s="82" t="str">
        <f t="shared" si="0"/>
        <v/>
      </c>
      <c r="W110" s="83"/>
    </row>
    <row r="111" spans="1:23" x14ac:dyDescent="0.25">
      <c r="A111" s="6"/>
      <c r="B111" s="72"/>
      <c r="C111" s="91"/>
      <c r="D111" s="92"/>
      <c r="E111" s="91"/>
      <c r="F111" s="91"/>
      <c r="G111" s="92"/>
      <c r="H111" s="92"/>
      <c r="I111" s="91"/>
      <c r="J111" s="91"/>
      <c r="K111" s="91" t="s">
        <v>67</v>
      </c>
      <c r="L111" s="91"/>
      <c r="M111" s="91"/>
      <c r="N111" s="93"/>
      <c r="O111" s="94"/>
      <c r="P111" s="95">
        <v>1</v>
      </c>
      <c r="Q111" s="87"/>
      <c r="R111" s="88" t="str">
        <f t="shared" si="1"/>
        <v/>
      </c>
      <c r="S111" s="85"/>
      <c r="T111" s="86" t="str">
        <f t="shared" si="2"/>
        <v/>
      </c>
      <c r="U111" s="87"/>
      <c r="V111" s="88" t="str">
        <f t="shared" si="0"/>
        <v/>
      </c>
      <c r="W111" s="89"/>
    </row>
    <row r="112" spans="1:23" x14ac:dyDescent="0.25">
      <c r="A112" s="6"/>
      <c r="B112" s="72"/>
      <c r="C112" s="73"/>
      <c r="D112" s="74"/>
      <c r="E112" s="73"/>
      <c r="F112" s="74"/>
      <c r="G112" s="74"/>
      <c r="H112" s="74"/>
      <c r="I112" s="73"/>
      <c r="J112" s="74"/>
      <c r="K112" s="73" t="s">
        <v>67</v>
      </c>
      <c r="L112" s="73"/>
      <c r="M112" s="73"/>
      <c r="N112" s="75"/>
      <c r="O112" s="76"/>
      <c r="P112" s="77">
        <v>1</v>
      </c>
      <c r="Q112" s="78"/>
      <c r="R112" s="88" t="str">
        <f t="shared" si="1"/>
        <v/>
      </c>
      <c r="S112" s="85"/>
      <c r="T112" s="86" t="str">
        <f t="shared" si="2"/>
        <v/>
      </c>
      <c r="U112" s="87"/>
      <c r="V112" s="88" t="str">
        <f t="shared" si="0"/>
        <v/>
      </c>
      <c r="W112" s="89"/>
    </row>
    <row r="113" spans="1:23" x14ac:dyDescent="0.25">
      <c r="A113" s="6"/>
      <c r="B113" s="72"/>
      <c r="C113" s="73"/>
      <c r="D113" s="74"/>
      <c r="E113" s="73"/>
      <c r="F113" s="74"/>
      <c r="G113" s="74"/>
      <c r="H113" s="74"/>
      <c r="I113" s="73"/>
      <c r="J113" s="74"/>
      <c r="K113" s="73" t="s">
        <v>67</v>
      </c>
      <c r="L113" s="73"/>
      <c r="M113" s="73"/>
      <c r="N113" s="75"/>
      <c r="O113" s="76"/>
      <c r="P113" s="77">
        <v>1</v>
      </c>
      <c r="Q113" s="78"/>
      <c r="R113" s="88" t="str">
        <f t="shared" si="1"/>
        <v/>
      </c>
      <c r="S113" s="85"/>
      <c r="T113" s="86" t="str">
        <f t="shared" si="2"/>
        <v/>
      </c>
      <c r="U113" s="87"/>
      <c r="V113" s="88" t="str">
        <f t="shared" si="0"/>
        <v/>
      </c>
      <c r="W113" s="89"/>
    </row>
    <row r="114" spans="1:23" x14ac:dyDescent="0.25">
      <c r="A114" s="6"/>
      <c r="B114" s="72"/>
      <c r="C114" s="73"/>
      <c r="D114" s="74"/>
      <c r="E114" s="73"/>
      <c r="F114" s="74"/>
      <c r="G114" s="74"/>
      <c r="H114" s="74"/>
      <c r="I114" s="73"/>
      <c r="J114" s="74"/>
      <c r="K114" s="73" t="s">
        <v>67</v>
      </c>
      <c r="L114" s="73"/>
      <c r="M114" s="73"/>
      <c r="N114" s="75"/>
      <c r="O114" s="76"/>
      <c r="P114" s="77">
        <v>1</v>
      </c>
      <c r="Q114" s="78"/>
      <c r="R114" s="90" t="str">
        <f t="shared" si="1"/>
        <v/>
      </c>
      <c r="S114" s="99"/>
      <c r="T114" s="86" t="str">
        <f t="shared" si="2"/>
        <v/>
      </c>
      <c r="U114" s="87"/>
      <c r="V114" s="88" t="str">
        <f t="shared" si="0"/>
        <v/>
      </c>
      <c r="W114" s="89"/>
    </row>
    <row r="115" spans="1:23" x14ac:dyDescent="0.25">
      <c r="B115" s="72"/>
      <c r="C115" s="73"/>
      <c r="D115" s="74"/>
      <c r="E115" s="73"/>
      <c r="F115" s="74"/>
      <c r="G115" s="74"/>
      <c r="H115" s="74"/>
      <c r="I115" s="73"/>
      <c r="J115" s="74"/>
      <c r="K115" s="73" t="s">
        <v>67</v>
      </c>
      <c r="L115" s="73"/>
      <c r="M115" s="73"/>
      <c r="N115" s="75"/>
      <c r="O115" s="76"/>
      <c r="P115" s="77">
        <v>1</v>
      </c>
      <c r="Q115" s="78"/>
      <c r="R115" s="82" t="str">
        <f t="shared" si="1"/>
        <v/>
      </c>
      <c r="S115" s="85"/>
      <c r="T115" s="86" t="str">
        <f t="shared" si="2"/>
        <v/>
      </c>
      <c r="U115" s="87"/>
      <c r="V115" s="88" t="str">
        <f t="shared" si="0"/>
        <v/>
      </c>
      <c r="W115" s="89"/>
    </row>
    <row r="116" spans="1:23" ht="1.5" customHeight="1" x14ac:dyDescent="0.25">
      <c r="A116" s="6"/>
      <c r="B116" s="72"/>
      <c r="C116" s="73"/>
      <c r="D116" s="74"/>
      <c r="E116" s="73"/>
      <c r="F116" s="74"/>
      <c r="G116" s="74"/>
      <c r="H116" s="74"/>
      <c r="I116" s="73"/>
      <c r="J116" s="74"/>
      <c r="K116" s="73" t="s">
        <v>67</v>
      </c>
      <c r="L116" s="73"/>
      <c r="M116" s="73"/>
      <c r="N116" s="75"/>
      <c r="O116" s="76"/>
      <c r="P116" s="77">
        <v>1</v>
      </c>
      <c r="Q116" s="78"/>
      <c r="R116" s="82" t="str">
        <f t="shared" si="1"/>
        <v/>
      </c>
      <c r="S116" s="85"/>
      <c r="T116" s="86" t="str">
        <f t="shared" si="2"/>
        <v/>
      </c>
      <c r="U116" s="87"/>
      <c r="V116" s="88" t="str">
        <f t="shared" si="0"/>
        <v/>
      </c>
      <c r="W116" s="89"/>
    </row>
    <row r="117" spans="1:23" ht="3" customHeight="1" x14ac:dyDescent="0.25">
      <c r="B117" s="8"/>
      <c r="C117" s="9"/>
      <c r="D117" s="10"/>
      <c r="E117" s="9"/>
      <c r="F117" s="10"/>
      <c r="G117" s="21"/>
      <c r="H117" s="21"/>
      <c r="I117" s="9"/>
      <c r="J117" s="10"/>
      <c r="K117" s="9"/>
      <c r="L117" s="9"/>
      <c r="M117" s="9"/>
      <c r="N117" s="41"/>
      <c r="O117" s="41"/>
      <c r="P117" s="66"/>
      <c r="Q117" s="42"/>
      <c r="R117" s="67"/>
      <c r="S117" s="42"/>
      <c r="T117" s="42"/>
      <c r="U117" s="42"/>
      <c r="V117" s="42"/>
      <c r="W117" s="22"/>
    </row>
    <row r="118" spans="1:23" ht="15.75" customHeight="1" x14ac:dyDescent="0.25">
      <c r="B118" s="5"/>
      <c r="C118" s="5"/>
      <c r="D118" s="502"/>
      <c r="E118" s="5"/>
      <c r="F118" s="5"/>
      <c r="G118" s="502"/>
      <c r="H118" s="502"/>
      <c r="I118" s="5"/>
      <c r="J118" s="5"/>
      <c r="K118" s="5"/>
      <c r="L118" s="5"/>
      <c r="M118" s="5"/>
      <c r="N118" s="5"/>
      <c r="O118" s="5"/>
      <c r="P118" s="5"/>
      <c r="Q118" s="5"/>
      <c r="R118" s="5"/>
      <c r="S118" s="5"/>
      <c r="T118" s="5"/>
      <c r="U118" s="5"/>
      <c r="V118" s="5"/>
      <c r="W118" s="5"/>
    </row>
    <row r="119" spans="1:23" x14ac:dyDescent="0.25">
      <c r="B119" s="5"/>
      <c r="C119" s="5"/>
      <c r="D119" s="502"/>
      <c r="E119" s="5"/>
      <c r="F119" s="5"/>
      <c r="G119" s="502"/>
      <c r="H119" s="502"/>
      <c r="I119" s="5"/>
      <c r="J119" s="5"/>
      <c r="K119" s="5"/>
      <c r="L119" s="5"/>
      <c r="M119" s="5"/>
      <c r="N119" s="5"/>
      <c r="O119" s="5"/>
      <c r="P119" s="5"/>
      <c r="Q119" s="5"/>
      <c r="R119" s="5"/>
      <c r="S119" s="5"/>
      <c r="T119" s="5"/>
      <c r="U119" s="5"/>
      <c r="V119" s="5"/>
      <c r="W119" s="5"/>
    </row>
    <row r="120" spans="1:23" x14ac:dyDescent="0.25">
      <c r="B120" s="5"/>
      <c r="C120" s="5"/>
      <c r="D120" s="502"/>
      <c r="E120" s="5"/>
      <c r="F120" s="5"/>
      <c r="G120" s="502"/>
      <c r="H120" s="502"/>
      <c r="I120" s="5"/>
      <c r="J120" s="5"/>
      <c r="K120" s="5"/>
      <c r="L120" s="5"/>
      <c r="M120" s="5"/>
      <c r="N120" s="5"/>
      <c r="O120" s="5"/>
      <c r="P120" s="5"/>
      <c r="Q120" s="5"/>
      <c r="R120" s="5"/>
      <c r="S120" s="5"/>
      <c r="T120" s="5"/>
      <c r="U120" s="5"/>
      <c r="V120" s="5"/>
      <c r="W120" s="5"/>
    </row>
    <row r="121" spans="1:23" x14ac:dyDescent="0.25">
      <c r="B121" s="5"/>
      <c r="C121" s="5"/>
      <c r="D121" s="502"/>
      <c r="E121" s="5"/>
      <c r="F121" s="5"/>
      <c r="G121" s="502"/>
      <c r="I121" s="5"/>
      <c r="J121" s="5"/>
      <c r="K121" s="5"/>
      <c r="L121" s="5"/>
      <c r="M121" s="5"/>
      <c r="N121" s="5"/>
      <c r="O121" s="5"/>
      <c r="P121" s="5"/>
      <c r="Q121" s="5"/>
      <c r="R121" s="5"/>
      <c r="S121" s="5"/>
      <c r="T121" s="5"/>
      <c r="U121" s="5"/>
      <c r="V121" s="5"/>
      <c r="W121" s="5"/>
    </row>
    <row r="122" spans="1:23" x14ac:dyDescent="0.25">
      <c r="B122" s="5"/>
      <c r="C122" s="5"/>
      <c r="D122" s="502"/>
      <c r="E122" s="5"/>
      <c r="F122" s="5"/>
      <c r="G122" s="502"/>
      <c r="H122" s="502"/>
      <c r="I122" s="5"/>
      <c r="J122" s="5"/>
      <c r="K122" s="5"/>
      <c r="L122" s="5"/>
      <c r="M122" s="5"/>
      <c r="N122" s="5"/>
      <c r="O122" s="5"/>
      <c r="P122" s="5"/>
      <c r="Q122" s="5"/>
      <c r="R122" s="5"/>
      <c r="S122" s="5"/>
      <c r="T122" s="5"/>
      <c r="U122" s="5"/>
      <c r="V122" s="5"/>
      <c r="W122" s="5"/>
    </row>
    <row r="123" spans="1:23" x14ac:dyDescent="0.25">
      <c r="B123" s="5"/>
      <c r="C123" s="5"/>
      <c r="D123" s="502"/>
      <c r="E123" s="5"/>
      <c r="F123" s="5"/>
      <c r="G123" s="502"/>
      <c r="H123" s="502"/>
      <c r="I123" s="5"/>
      <c r="J123" s="5"/>
      <c r="K123" s="5"/>
      <c r="L123" s="5"/>
      <c r="M123" s="5"/>
      <c r="N123" s="5"/>
      <c r="O123" s="5"/>
      <c r="P123" s="5"/>
      <c r="Q123" s="5"/>
      <c r="R123" s="5"/>
      <c r="S123" s="5"/>
      <c r="T123" s="5"/>
      <c r="U123" s="5"/>
      <c r="V123" s="5"/>
      <c r="W123" s="5"/>
    </row>
    <row r="124" spans="1:23" x14ac:dyDescent="0.25">
      <c r="H124" s="502"/>
      <c r="I124" s="5"/>
    </row>
    <row r="125" spans="1:23" x14ac:dyDescent="0.25">
      <c r="I125" s="29"/>
    </row>
    <row r="126" spans="1:23" x14ac:dyDescent="0.25">
      <c r="I126" s="29"/>
    </row>
    <row r="127" spans="1:23" x14ac:dyDescent="0.25">
      <c r="I127" s="29"/>
    </row>
  </sheetData>
  <sortState ref="B7:W45">
    <sortCondition ref="G7"/>
  </sortState>
  <dataConsolidate/>
  <conditionalFormatting sqref="B7 B107:B115 B71 B56:B60 B73:B76 B46 B62:B63 B11:B13 B32:B33">
    <cfRule type="cellIs" dxfId="483" priority="317" operator="equal">
      <formula>" "</formula>
    </cfRule>
    <cfRule type="cellIs" dxfId="482" priority="318" operator="equal">
      <formula>"W"</formula>
    </cfRule>
    <cfRule type="cellIs" dxfId="481" priority="319" operator="equal">
      <formula>"E"</formula>
    </cfRule>
    <cfRule type="cellIs" dxfId="480" priority="320" operator="equal">
      <formula>"X"</formula>
    </cfRule>
  </conditionalFormatting>
  <conditionalFormatting sqref="B84:B86">
    <cfRule type="cellIs" dxfId="479" priority="301" operator="equal">
      <formula>" "</formula>
    </cfRule>
    <cfRule type="cellIs" dxfId="478" priority="302" operator="equal">
      <formula>"W"</formula>
    </cfRule>
    <cfRule type="cellIs" dxfId="477" priority="303" operator="equal">
      <formula>"E"</formula>
    </cfRule>
    <cfRule type="cellIs" dxfId="476" priority="304" operator="equal">
      <formula>"X"</formula>
    </cfRule>
  </conditionalFormatting>
  <conditionalFormatting sqref="B82">
    <cfRule type="cellIs" dxfId="475" priority="297" operator="equal">
      <formula>" "</formula>
    </cfRule>
    <cfRule type="cellIs" dxfId="474" priority="298" operator="equal">
      <formula>"W"</formula>
    </cfRule>
    <cfRule type="cellIs" dxfId="473" priority="299" operator="equal">
      <formula>"E"</formula>
    </cfRule>
    <cfRule type="cellIs" dxfId="472" priority="300" operator="equal">
      <formula>"X"</formula>
    </cfRule>
  </conditionalFormatting>
  <conditionalFormatting sqref="B88:B90">
    <cfRule type="cellIs" dxfId="471" priority="289" operator="equal">
      <formula>" "</formula>
    </cfRule>
    <cfRule type="cellIs" dxfId="470" priority="290" operator="equal">
      <formula>"W"</formula>
    </cfRule>
    <cfRule type="cellIs" dxfId="469" priority="291" operator="equal">
      <formula>"E"</formula>
    </cfRule>
    <cfRule type="cellIs" dxfId="468" priority="292" operator="equal">
      <formula>"X"</formula>
    </cfRule>
  </conditionalFormatting>
  <conditionalFormatting sqref="B78:B79 B81">
    <cfRule type="cellIs" dxfId="467" priority="293" operator="equal">
      <formula>" "</formula>
    </cfRule>
    <cfRule type="cellIs" dxfId="466" priority="294" operator="equal">
      <formula>"W"</formula>
    </cfRule>
    <cfRule type="cellIs" dxfId="465" priority="295" operator="equal">
      <formula>"E"</formula>
    </cfRule>
    <cfRule type="cellIs" dxfId="464" priority="296" operator="equal">
      <formula>"X"</formula>
    </cfRule>
  </conditionalFormatting>
  <conditionalFormatting sqref="B92:B93 B96">
    <cfRule type="cellIs" dxfId="463" priority="277" operator="equal">
      <formula>" "</formula>
    </cfRule>
    <cfRule type="cellIs" dxfId="462" priority="278" operator="equal">
      <formula>"W"</formula>
    </cfRule>
    <cfRule type="cellIs" dxfId="461" priority="279" operator="equal">
      <formula>"E"</formula>
    </cfRule>
    <cfRule type="cellIs" dxfId="460" priority="280" operator="equal">
      <formula>"X"</formula>
    </cfRule>
  </conditionalFormatting>
  <conditionalFormatting sqref="B66:B69">
    <cfRule type="cellIs" dxfId="459" priority="269" operator="equal">
      <formula>" "</formula>
    </cfRule>
    <cfRule type="cellIs" dxfId="458" priority="270" operator="equal">
      <formula>"W"</formula>
    </cfRule>
    <cfRule type="cellIs" dxfId="457" priority="271" operator="equal">
      <formula>"E"</formula>
    </cfRule>
    <cfRule type="cellIs" dxfId="456" priority="272" operator="equal">
      <formula>"X"</formula>
    </cfRule>
  </conditionalFormatting>
  <conditionalFormatting sqref="B94">
    <cfRule type="cellIs" dxfId="455" priority="273" operator="equal">
      <formula>" "</formula>
    </cfRule>
    <cfRule type="cellIs" dxfId="454" priority="274" operator="equal">
      <formula>"W"</formula>
    </cfRule>
    <cfRule type="cellIs" dxfId="453" priority="275" operator="equal">
      <formula>"E"</formula>
    </cfRule>
    <cfRule type="cellIs" dxfId="452" priority="276" operator="equal">
      <formula>"X"</formula>
    </cfRule>
  </conditionalFormatting>
  <conditionalFormatting sqref="B72">
    <cfRule type="cellIs" dxfId="451" priority="265" operator="equal">
      <formula>" "</formula>
    </cfRule>
    <cfRule type="cellIs" dxfId="450" priority="266" operator="equal">
      <formula>"W"</formula>
    </cfRule>
    <cfRule type="cellIs" dxfId="449" priority="267" operator="equal">
      <formula>"E"</formula>
    </cfRule>
    <cfRule type="cellIs" dxfId="448" priority="268" operator="equal">
      <formula>"X"</formula>
    </cfRule>
  </conditionalFormatting>
  <conditionalFormatting sqref="B98:B100">
    <cfRule type="cellIs" dxfId="447" priority="261" operator="equal">
      <formula>" "</formula>
    </cfRule>
    <cfRule type="cellIs" dxfId="446" priority="262" operator="equal">
      <formula>"W"</formula>
    </cfRule>
    <cfRule type="cellIs" dxfId="445" priority="263" operator="equal">
      <formula>"E"</formula>
    </cfRule>
    <cfRule type="cellIs" dxfId="444" priority="264" operator="equal">
      <formula>"X"</formula>
    </cfRule>
  </conditionalFormatting>
  <conditionalFormatting sqref="B102:B104">
    <cfRule type="cellIs" dxfId="443" priority="253" operator="equal">
      <formula>" "</formula>
    </cfRule>
    <cfRule type="cellIs" dxfId="442" priority="254" operator="equal">
      <formula>"W"</formula>
    </cfRule>
    <cfRule type="cellIs" dxfId="441" priority="255" operator="equal">
      <formula>"E"</formula>
    </cfRule>
    <cfRule type="cellIs" dxfId="440" priority="256" operator="equal">
      <formula>"X"</formula>
    </cfRule>
  </conditionalFormatting>
  <conditionalFormatting sqref="B64">
    <cfRule type="cellIs" dxfId="439" priority="249" operator="equal">
      <formula>" "</formula>
    </cfRule>
    <cfRule type="cellIs" dxfId="438" priority="250" operator="equal">
      <formula>"W"</formula>
    </cfRule>
    <cfRule type="cellIs" dxfId="437" priority="251" operator="equal">
      <formula>"E"</formula>
    </cfRule>
    <cfRule type="cellIs" dxfId="436" priority="252" operator="equal">
      <formula>"X"</formula>
    </cfRule>
  </conditionalFormatting>
  <conditionalFormatting sqref="B95">
    <cfRule type="cellIs" dxfId="435" priority="245" operator="equal">
      <formula>" "</formula>
    </cfRule>
    <cfRule type="cellIs" dxfId="434" priority="246" operator="equal">
      <formula>"W"</formula>
    </cfRule>
    <cfRule type="cellIs" dxfId="433" priority="247" operator="equal">
      <formula>"E"</formula>
    </cfRule>
    <cfRule type="cellIs" dxfId="432" priority="248" operator="equal">
      <formula>"X"</formula>
    </cfRule>
  </conditionalFormatting>
  <conditionalFormatting sqref="B65">
    <cfRule type="cellIs" dxfId="431" priority="237" operator="equal">
      <formula>" "</formula>
    </cfRule>
    <cfRule type="cellIs" dxfId="430" priority="238" operator="equal">
      <formula>"W"</formula>
    </cfRule>
    <cfRule type="cellIs" dxfId="429" priority="239" operator="equal">
      <formula>"E"</formula>
    </cfRule>
    <cfRule type="cellIs" dxfId="428" priority="240" operator="equal">
      <formula>"X"</formula>
    </cfRule>
  </conditionalFormatting>
  <conditionalFormatting sqref="B16">
    <cfRule type="cellIs" dxfId="427" priority="221" operator="equal">
      <formula>" "</formula>
    </cfRule>
    <cfRule type="cellIs" dxfId="426" priority="222" operator="equal">
      <formula>"W"</formula>
    </cfRule>
    <cfRule type="cellIs" dxfId="425" priority="223" operator="equal">
      <formula>"E"</formula>
    </cfRule>
    <cfRule type="cellIs" dxfId="424" priority="224" operator="equal">
      <formula>"X"</formula>
    </cfRule>
  </conditionalFormatting>
  <conditionalFormatting sqref="B34">
    <cfRule type="cellIs" dxfId="423" priority="217" operator="equal">
      <formula>" "</formula>
    </cfRule>
    <cfRule type="cellIs" dxfId="422" priority="218" operator="equal">
      <formula>"W"</formula>
    </cfRule>
    <cfRule type="cellIs" dxfId="421" priority="219" operator="equal">
      <formula>"E"</formula>
    </cfRule>
    <cfRule type="cellIs" dxfId="420" priority="220" operator="equal">
      <formula>"X"</formula>
    </cfRule>
  </conditionalFormatting>
  <conditionalFormatting sqref="B61">
    <cfRule type="cellIs" dxfId="419" priority="213" operator="equal">
      <formula>" "</formula>
    </cfRule>
    <cfRule type="cellIs" dxfId="418" priority="214" operator="equal">
      <formula>"W"</formula>
    </cfRule>
    <cfRule type="cellIs" dxfId="417" priority="215" operator="equal">
      <formula>"E"</formula>
    </cfRule>
    <cfRule type="cellIs" dxfId="416" priority="216" operator="equal">
      <formula>"X"</formula>
    </cfRule>
  </conditionalFormatting>
  <conditionalFormatting sqref="B8">
    <cfRule type="cellIs" dxfId="415" priority="209" operator="equal">
      <formula>" "</formula>
    </cfRule>
    <cfRule type="cellIs" dxfId="414" priority="210" operator="equal">
      <formula>"W"</formula>
    </cfRule>
    <cfRule type="cellIs" dxfId="413" priority="211" operator="equal">
      <formula>"E"</formula>
    </cfRule>
    <cfRule type="cellIs" dxfId="412" priority="212" operator="equal">
      <formula>"X"</formula>
    </cfRule>
  </conditionalFormatting>
  <conditionalFormatting sqref="B10">
    <cfRule type="cellIs" dxfId="411" priority="205" operator="equal">
      <formula>" "</formula>
    </cfRule>
    <cfRule type="cellIs" dxfId="410" priority="206" operator="equal">
      <formula>"W"</formula>
    </cfRule>
    <cfRule type="cellIs" dxfId="409" priority="207" operator="equal">
      <formula>"E"</formula>
    </cfRule>
    <cfRule type="cellIs" dxfId="408" priority="208" operator="equal">
      <formula>"X"</formula>
    </cfRule>
  </conditionalFormatting>
  <conditionalFormatting sqref="B30">
    <cfRule type="cellIs" dxfId="407" priority="201" operator="equal">
      <formula>" "</formula>
    </cfRule>
    <cfRule type="cellIs" dxfId="406" priority="202" operator="equal">
      <formula>"W"</formula>
    </cfRule>
    <cfRule type="cellIs" dxfId="405" priority="203" operator="equal">
      <formula>"E"</formula>
    </cfRule>
    <cfRule type="cellIs" dxfId="404" priority="204" operator="equal">
      <formula>"X"</formula>
    </cfRule>
  </conditionalFormatting>
  <conditionalFormatting sqref="B45">
    <cfRule type="cellIs" dxfId="403" priority="197" operator="equal">
      <formula>" "</formula>
    </cfRule>
    <cfRule type="cellIs" dxfId="402" priority="198" operator="equal">
      <formula>"W"</formula>
    </cfRule>
    <cfRule type="cellIs" dxfId="401" priority="199" operator="equal">
      <formula>"E"</formula>
    </cfRule>
    <cfRule type="cellIs" dxfId="400" priority="200" operator="equal">
      <formula>"X"</formula>
    </cfRule>
  </conditionalFormatting>
  <conditionalFormatting sqref="B50">
    <cfRule type="cellIs" dxfId="399" priority="193" operator="equal">
      <formula>" "</formula>
    </cfRule>
    <cfRule type="cellIs" dxfId="398" priority="194" operator="equal">
      <formula>"W"</formula>
    </cfRule>
    <cfRule type="cellIs" dxfId="397" priority="195" operator="equal">
      <formula>"E"</formula>
    </cfRule>
    <cfRule type="cellIs" dxfId="396" priority="196" operator="equal">
      <formula>"X"</formula>
    </cfRule>
  </conditionalFormatting>
  <conditionalFormatting sqref="B70">
    <cfRule type="cellIs" dxfId="395" priority="189" operator="equal">
      <formula>" "</formula>
    </cfRule>
    <cfRule type="cellIs" dxfId="394" priority="190" operator="equal">
      <formula>"W"</formula>
    </cfRule>
    <cfRule type="cellIs" dxfId="393" priority="191" operator="equal">
      <formula>"E"</formula>
    </cfRule>
    <cfRule type="cellIs" dxfId="392" priority="192" operator="equal">
      <formula>"X"</formula>
    </cfRule>
  </conditionalFormatting>
  <conditionalFormatting sqref="B77">
    <cfRule type="cellIs" dxfId="391" priority="185" operator="equal">
      <formula>" "</formula>
    </cfRule>
    <cfRule type="cellIs" dxfId="390" priority="186" operator="equal">
      <formula>"W"</formula>
    </cfRule>
    <cfRule type="cellIs" dxfId="389" priority="187" operator="equal">
      <formula>"E"</formula>
    </cfRule>
    <cfRule type="cellIs" dxfId="388" priority="188" operator="equal">
      <formula>"X"</formula>
    </cfRule>
  </conditionalFormatting>
  <conditionalFormatting sqref="B83">
    <cfRule type="cellIs" dxfId="387" priority="181" operator="equal">
      <formula>" "</formula>
    </cfRule>
    <cfRule type="cellIs" dxfId="386" priority="182" operator="equal">
      <formula>"W"</formula>
    </cfRule>
    <cfRule type="cellIs" dxfId="385" priority="183" operator="equal">
      <formula>"E"</formula>
    </cfRule>
    <cfRule type="cellIs" dxfId="384" priority="184" operator="equal">
      <formula>"X"</formula>
    </cfRule>
  </conditionalFormatting>
  <conditionalFormatting sqref="B87">
    <cfRule type="cellIs" dxfId="383" priority="177" operator="equal">
      <formula>" "</formula>
    </cfRule>
    <cfRule type="cellIs" dxfId="382" priority="178" operator="equal">
      <formula>"W"</formula>
    </cfRule>
    <cfRule type="cellIs" dxfId="381" priority="179" operator="equal">
      <formula>"E"</formula>
    </cfRule>
    <cfRule type="cellIs" dxfId="380" priority="180" operator="equal">
      <formula>"X"</formula>
    </cfRule>
  </conditionalFormatting>
  <conditionalFormatting sqref="B91">
    <cfRule type="cellIs" dxfId="379" priority="173" operator="equal">
      <formula>" "</formula>
    </cfRule>
    <cfRule type="cellIs" dxfId="378" priority="174" operator="equal">
      <formula>"W"</formula>
    </cfRule>
    <cfRule type="cellIs" dxfId="377" priority="175" operator="equal">
      <formula>"E"</formula>
    </cfRule>
    <cfRule type="cellIs" dxfId="376" priority="176" operator="equal">
      <formula>"X"</formula>
    </cfRule>
  </conditionalFormatting>
  <conditionalFormatting sqref="B97">
    <cfRule type="cellIs" dxfId="375" priority="169" operator="equal">
      <formula>" "</formula>
    </cfRule>
    <cfRule type="cellIs" dxfId="374" priority="170" operator="equal">
      <formula>"W"</formula>
    </cfRule>
    <cfRule type="cellIs" dxfId="373" priority="171" operator="equal">
      <formula>"E"</formula>
    </cfRule>
    <cfRule type="cellIs" dxfId="372" priority="172" operator="equal">
      <formula>"X"</formula>
    </cfRule>
  </conditionalFormatting>
  <conditionalFormatting sqref="B101">
    <cfRule type="cellIs" dxfId="371" priority="165" operator="equal">
      <formula>" "</formula>
    </cfRule>
    <cfRule type="cellIs" dxfId="370" priority="166" operator="equal">
      <formula>"W"</formula>
    </cfRule>
    <cfRule type="cellIs" dxfId="369" priority="167" operator="equal">
      <formula>"E"</formula>
    </cfRule>
    <cfRule type="cellIs" dxfId="368" priority="168" operator="equal">
      <formula>"X"</formula>
    </cfRule>
  </conditionalFormatting>
  <conditionalFormatting sqref="B9">
    <cfRule type="cellIs" dxfId="367" priority="161" operator="equal">
      <formula>" "</formula>
    </cfRule>
    <cfRule type="cellIs" dxfId="366" priority="162" operator="equal">
      <formula>"W"</formula>
    </cfRule>
    <cfRule type="cellIs" dxfId="365" priority="163" operator="equal">
      <formula>"E"</formula>
    </cfRule>
    <cfRule type="cellIs" dxfId="364" priority="164" operator="equal">
      <formula>"X"</formula>
    </cfRule>
  </conditionalFormatting>
  <conditionalFormatting sqref="B14">
    <cfRule type="cellIs" dxfId="363" priority="157" operator="equal">
      <formula>" "</formula>
    </cfRule>
    <cfRule type="cellIs" dxfId="362" priority="158" operator="equal">
      <formula>"W"</formula>
    </cfRule>
    <cfRule type="cellIs" dxfId="361" priority="159" operator="equal">
      <formula>"E"</formula>
    </cfRule>
    <cfRule type="cellIs" dxfId="360" priority="160" operator="equal">
      <formula>"X"</formula>
    </cfRule>
  </conditionalFormatting>
  <conditionalFormatting sqref="B17">
    <cfRule type="cellIs" dxfId="359" priority="153" operator="equal">
      <formula>" "</formula>
    </cfRule>
    <cfRule type="cellIs" dxfId="358" priority="154" operator="equal">
      <formula>"W"</formula>
    </cfRule>
    <cfRule type="cellIs" dxfId="357" priority="155" operator="equal">
      <formula>"E"</formula>
    </cfRule>
    <cfRule type="cellIs" dxfId="356" priority="156" operator="equal">
      <formula>"X"</formula>
    </cfRule>
  </conditionalFormatting>
  <conditionalFormatting sqref="B15">
    <cfRule type="cellIs" dxfId="355" priority="149" operator="equal">
      <formula>" "</formula>
    </cfRule>
    <cfRule type="cellIs" dxfId="354" priority="150" operator="equal">
      <formula>"W"</formula>
    </cfRule>
    <cfRule type="cellIs" dxfId="353" priority="151" operator="equal">
      <formula>"E"</formula>
    </cfRule>
    <cfRule type="cellIs" dxfId="352" priority="152" operator="equal">
      <formula>"X"</formula>
    </cfRule>
  </conditionalFormatting>
  <conditionalFormatting sqref="B31">
    <cfRule type="cellIs" dxfId="351" priority="141" operator="equal">
      <formula>" "</formula>
    </cfRule>
    <cfRule type="cellIs" dxfId="350" priority="142" operator="equal">
      <formula>"W"</formula>
    </cfRule>
    <cfRule type="cellIs" dxfId="349" priority="143" operator="equal">
      <formula>"E"</formula>
    </cfRule>
    <cfRule type="cellIs" dxfId="348" priority="144" operator="equal">
      <formula>"X"</formula>
    </cfRule>
  </conditionalFormatting>
  <conditionalFormatting sqref="B105">
    <cfRule type="cellIs" dxfId="347" priority="137" operator="equal">
      <formula>" "</formula>
    </cfRule>
    <cfRule type="cellIs" dxfId="346" priority="138" operator="equal">
      <formula>"W"</formula>
    </cfRule>
    <cfRule type="cellIs" dxfId="345" priority="139" operator="equal">
      <formula>"E"</formula>
    </cfRule>
    <cfRule type="cellIs" dxfId="344" priority="140" operator="equal">
      <formula>"X"</formula>
    </cfRule>
  </conditionalFormatting>
  <conditionalFormatting sqref="B80">
    <cfRule type="cellIs" dxfId="343" priority="133" operator="equal">
      <formula>" "</formula>
    </cfRule>
    <cfRule type="cellIs" dxfId="342" priority="134" operator="equal">
      <formula>"W"</formula>
    </cfRule>
    <cfRule type="cellIs" dxfId="341" priority="135" operator="equal">
      <formula>"E"</formula>
    </cfRule>
    <cfRule type="cellIs" dxfId="340" priority="136" operator="equal">
      <formula>"X"</formula>
    </cfRule>
  </conditionalFormatting>
  <conditionalFormatting sqref="B106">
    <cfRule type="cellIs" dxfId="339" priority="129" operator="equal">
      <formula>" "</formula>
    </cfRule>
    <cfRule type="cellIs" dxfId="338" priority="130" operator="equal">
      <formula>"W"</formula>
    </cfRule>
    <cfRule type="cellIs" dxfId="337" priority="131" operator="equal">
      <formula>"E"</formula>
    </cfRule>
    <cfRule type="cellIs" dxfId="336" priority="132" operator="equal">
      <formula>"X"</formula>
    </cfRule>
  </conditionalFormatting>
  <conditionalFormatting sqref="B28">
    <cfRule type="cellIs" dxfId="335" priority="85" operator="equal">
      <formula>" "</formula>
    </cfRule>
    <cfRule type="cellIs" dxfId="334" priority="86" operator="equal">
      <formula>"W"</formula>
    </cfRule>
    <cfRule type="cellIs" dxfId="333" priority="87" operator="equal">
      <formula>"E"</formula>
    </cfRule>
    <cfRule type="cellIs" dxfId="332" priority="88" operator="equal">
      <formula>"X"</formula>
    </cfRule>
  </conditionalFormatting>
  <conditionalFormatting sqref="B19">
    <cfRule type="cellIs" dxfId="331" priority="121" operator="equal">
      <formula>" "</formula>
    </cfRule>
    <cfRule type="cellIs" dxfId="330" priority="122" operator="equal">
      <formula>"W"</formula>
    </cfRule>
    <cfRule type="cellIs" dxfId="329" priority="123" operator="equal">
      <formula>"E"</formula>
    </cfRule>
    <cfRule type="cellIs" dxfId="328" priority="124" operator="equal">
      <formula>"X"</formula>
    </cfRule>
  </conditionalFormatting>
  <conditionalFormatting sqref="B18">
    <cfRule type="cellIs" dxfId="327" priority="117" operator="equal">
      <formula>" "</formula>
    </cfRule>
    <cfRule type="cellIs" dxfId="326" priority="118" operator="equal">
      <formula>"W"</formula>
    </cfRule>
    <cfRule type="cellIs" dxfId="325" priority="119" operator="equal">
      <formula>"E"</formula>
    </cfRule>
    <cfRule type="cellIs" dxfId="324" priority="120" operator="equal">
      <formula>"X"</formula>
    </cfRule>
  </conditionalFormatting>
  <conditionalFormatting sqref="B24">
    <cfRule type="cellIs" dxfId="323" priority="93" operator="equal">
      <formula>" "</formula>
    </cfRule>
    <cfRule type="cellIs" dxfId="322" priority="94" operator="equal">
      <formula>"W"</formula>
    </cfRule>
    <cfRule type="cellIs" dxfId="321" priority="95" operator="equal">
      <formula>"E"</formula>
    </cfRule>
    <cfRule type="cellIs" dxfId="320" priority="96" operator="equal">
      <formula>"X"</formula>
    </cfRule>
  </conditionalFormatting>
  <conditionalFormatting sqref="B22">
    <cfRule type="cellIs" dxfId="319" priority="109" operator="equal">
      <formula>" "</formula>
    </cfRule>
    <cfRule type="cellIs" dxfId="318" priority="110" operator="equal">
      <formula>"W"</formula>
    </cfRule>
    <cfRule type="cellIs" dxfId="317" priority="111" operator="equal">
      <formula>"E"</formula>
    </cfRule>
    <cfRule type="cellIs" dxfId="316" priority="112" operator="equal">
      <formula>"X"</formula>
    </cfRule>
  </conditionalFormatting>
  <conditionalFormatting sqref="B21">
    <cfRule type="cellIs" dxfId="315" priority="105" operator="equal">
      <formula>" "</formula>
    </cfRule>
    <cfRule type="cellIs" dxfId="314" priority="106" operator="equal">
      <formula>"W"</formula>
    </cfRule>
    <cfRule type="cellIs" dxfId="313" priority="107" operator="equal">
      <formula>"E"</formula>
    </cfRule>
    <cfRule type="cellIs" dxfId="312" priority="108" operator="equal">
      <formula>"X"</formula>
    </cfRule>
  </conditionalFormatting>
  <conditionalFormatting sqref="B25">
    <cfRule type="cellIs" dxfId="311" priority="97" operator="equal">
      <formula>" "</formula>
    </cfRule>
    <cfRule type="cellIs" dxfId="310" priority="98" operator="equal">
      <formula>"W"</formula>
    </cfRule>
    <cfRule type="cellIs" dxfId="309" priority="99" operator="equal">
      <formula>"E"</formula>
    </cfRule>
    <cfRule type="cellIs" dxfId="308" priority="100" operator="equal">
      <formula>"X"</formula>
    </cfRule>
  </conditionalFormatting>
  <conditionalFormatting sqref="B35">
    <cfRule type="cellIs" dxfId="307" priority="57" operator="equal">
      <formula>" "</formula>
    </cfRule>
    <cfRule type="cellIs" dxfId="306" priority="58" operator="equal">
      <formula>"W"</formula>
    </cfRule>
    <cfRule type="cellIs" dxfId="305" priority="59" operator="equal">
      <formula>"E"</formula>
    </cfRule>
    <cfRule type="cellIs" dxfId="304" priority="60" operator="equal">
      <formula>"X"</formula>
    </cfRule>
  </conditionalFormatting>
  <conditionalFormatting sqref="B27">
    <cfRule type="cellIs" dxfId="303" priority="81" operator="equal">
      <formula>" "</formula>
    </cfRule>
    <cfRule type="cellIs" dxfId="302" priority="82" operator="equal">
      <formula>"W"</formula>
    </cfRule>
    <cfRule type="cellIs" dxfId="301" priority="83" operator="equal">
      <formula>"E"</formula>
    </cfRule>
    <cfRule type="cellIs" dxfId="300" priority="84" operator="equal">
      <formula>"X"</formula>
    </cfRule>
  </conditionalFormatting>
  <conditionalFormatting sqref="B38">
    <cfRule type="cellIs" dxfId="299" priority="45" operator="equal">
      <formula>" "</formula>
    </cfRule>
    <cfRule type="cellIs" dxfId="298" priority="46" operator="equal">
      <formula>"W"</formula>
    </cfRule>
    <cfRule type="cellIs" dxfId="297" priority="47" operator="equal">
      <formula>"E"</formula>
    </cfRule>
    <cfRule type="cellIs" dxfId="296" priority="48" operator="equal">
      <formula>"X"</formula>
    </cfRule>
  </conditionalFormatting>
  <conditionalFormatting sqref="B40">
    <cfRule type="cellIs" dxfId="295" priority="37" operator="equal">
      <formula>" "</formula>
    </cfRule>
    <cfRule type="cellIs" dxfId="294" priority="38" operator="equal">
      <formula>"W"</formula>
    </cfRule>
    <cfRule type="cellIs" dxfId="293" priority="39" operator="equal">
      <formula>"E"</formula>
    </cfRule>
    <cfRule type="cellIs" dxfId="292" priority="40" operator="equal">
      <formula>"X"</formula>
    </cfRule>
  </conditionalFormatting>
  <conditionalFormatting sqref="B36">
    <cfRule type="cellIs" dxfId="291" priority="53" operator="equal">
      <formula>" "</formula>
    </cfRule>
    <cfRule type="cellIs" dxfId="290" priority="54" operator="equal">
      <formula>"W"</formula>
    </cfRule>
    <cfRule type="cellIs" dxfId="289" priority="55" operator="equal">
      <formula>"E"</formula>
    </cfRule>
    <cfRule type="cellIs" dxfId="288" priority="56" operator="equal">
      <formula>"X"</formula>
    </cfRule>
  </conditionalFormatting>
  <conditionalFormatting sqref="B37">
    <cfRule type="cellIs" dxfId="287" priority="49" operator="equal">
      <formula>" "</formula>
    </cfRule>
    <cfRule type="cellIs" dxfId="286" priority="50" operator="equal">
      <formula>"W"</formula>
    </cfRule>
    <cfRule type="cellIs" dxfId="285" priority="51" operator="equal">
      <formula>"E"</formula>
    </cfRule>
    <cfRule type="cellIs" dxfId="284" priority="52" operator="equal">
      <formula>"X"</formula>
    </cfRule>
  </conditionalFormatting>
  <conditionalFormatting sqref="B43">
    <cfRule type="cellIs" dxfId="283" priority="25" operator="equal">
      <formula>" "</formula>
    </cfRule>
    <cfRule type="cellIs" dxfId="282" priority="26" operator="equal">
      <formula>"W"</formula>
    </cfRule>
    <cfRule type="cellIs" dxfId="281" priority="27" operator="equal">
      <formula>"E"</formula>
    </cfRule>
    <cfRule type="cellIs" dxfId="280" priority="28" operator="equal">
      <formula>"X"</formula>
    </cfRule>
  </conditionalFormatting>
  <conditionalFormatting sqref="B39">
    <cfRule type="cellIs" dxfId="279" priority="41" operator="equal">
      <formula>" "</formula>
    </cfRule>
    <cfRule type="cellIs" dxfId="278" priority="42" operator="equal">
      <formula>"W"</formula>
    </cfRule>
    <cfRule type="cellIs" dxfId="277" priority="43" operator="equal">
      <formula>"E"</formula>
    </cfRule>
    <cfRule type="cellIs" dxfId="276" priority="44" operator="equal">
      <formula>"X"</formula>
    </cfRule>
  </conditionalFormatting>
  <conditionalFormatting sqref="B41">
    <cfRule type="cellIs" dxfId="275" priority="33" operator="equal">
      <formula>" "</formula>
    </cfRule>
    <cfRule type="cellIs" dxfId="274" priority="34" operator="equal">
      <formula>"W"</formula>
    </cfRule>
    <cfRule type="cellIs" dxfId="273" priority="35" operator="equal">
      <formula>"E"</formula>
    </cfRule>
    <cfRule type="cellIs" dxfId="272" priority="36" operator="equal">
      <formula>"X"</formula>
    </cfRule>
  </conditionalFormatting>
  <conditionalFormatting sqref="B42">
    <cfRule type="cellIs" dxfId="271" priority="29" operator="equal">
      <formula>" "</formula>
    </cfRule>
    <cfRule type="cellIs" dxfId="270" priority="30" operator="equal">
      <formula>"W"</formula>
    </cfRule>
    <cfRule type="cellIs" dxfId="269" priority="31" operator="equal">
      <formula>"E"</formula>
    </cfRule>
    <cfRule type="cellIs" dxfId="268" priority="32" operator="equal">
      <formula>"X"</formula>
    </cfRule>
  </conditionalFormatting>
  <conditionalFormatting sqref="B44">
    <cfRule type="cellIs" dxfId="267" priority="21" operator="equal">
      <formula>" "</formula>
    </cfRule>
    <cfRule type="cellIs" dxfId="266" priority="22" operator="equal">
      <formula>"W"</formula>
    </cfRule>
    <cfRule type="cellIs" dxfId="265" priority="23" operator="equal">
      <formula>"E"</formula>
    </cfRule>
    <cfRule type="cellIs" dxfId="264" priority="24" operator="equal">
      <formula>"X"</formula>
    </cfRule>
  </conditionalFormatting>
  <conditionalFormatting sqref="B20">
    <cfRule type="cellIs" dxfId="263" priority="17" operator="equal">
      <formula>" "</formula>
    </cfRule>
    <cfRule type="cellIs" dxfId="262" priority="18" operator="equal">
      <formula>"W"</formula>
    </cfRule>
    <cfRule type="cellIs" dxfId="261" priority="19" operator="equal">
      <formula>"E"</formula>
    </cfRule>
    <cfRule type="cellIs" dxfId="260" priority="20" operator="equal">
      <formula>"X"</formula>
    </cfRule>
  </conditionalFormatting>
  <conditionalFormatting sqref="B23">
    <cfRule type="cellIs" dxfId="259" priority="13" operator="equal">
      <formula>" "</formula>
    </cfRule>
    <cfRule type="cellIs" dxfId="258" priority="14" operator="equal">
      <formula>"W"</formula>
    </cfRule>
    <cfRule type="cellIs" dxfId="257" priority="15" operator="equal">
      <formula>"E"</formula>
    </cfRule>
    <cfRule type="cellIs" dxfId="256" priority="16" operator="equal">
      <formula>"X"</formula>
    </cfRule>
  </conditionalFormatting>
  <conditionalFormatting sqref="B26">
    <cfRule type="cellIs" dxfId="255" priority="9" operator="equal">
      <formula>" "</formula>
    </cfRule>
    <cfRule type="cellIs" dxfId="254" priority="10" operator="equal">
      <formula>"W"</formula>
    </cfRule>
    <cfRule type="cellIs" dxfId="253" priority="11" operator="equal">
      <formula>"E"</formula>
    </cfRule>
    <cfRule type="cellIs" dxfId="252" priority="12" operator="equal">
      <formula>"X"</formula>
    </cfRule>
  </conditionalFormatting>
  <conditionalFormatting sqref="B29">
    <cfRule type="cellIs" dxfId="251" priority="5" operator="equal">
      <formula>" "</formula>
    </cfRule>
    <cfRule type="cellIs" dxfId="250" priority="6" operator="equal">
      <formula>"W"</formula>
    </cfRule>
    <cfRule type="cellIs" dxfId="249" priority="7" operator="equal">
      <formula>"E"</formula>
    </cfRule>
    <cfRule type="cellIs" dxfId="248" priority="8" operator="equal">
      <formula>"X"</formula>
    </cfRule>
  </conditionalFormatting>
  <dataValidations count="7">
    <dataValidation type="custom" allowBlank="1" showInputMessage="1" showErrorMessage="1" errorTitle="Invalid Multiplier" error="You must enter a numeric value to define a valid multiplier." sqref="P56:P59 P101 P50 P70 P77 P83 P87 P91 P97 P105 P48 P7:P46">
      <formula1>ISNUMBER(P7)</formula1>
    </dataValidation>
    <dataValidation type="list" allowBlank="1" showInputMessage="1" showErrorMessage="1" sqref="K7:K116">
      <formula1>list_scope_count</formula1>
    </dataValidation>
    <dataValidation type="list" allowBlank="1" showInputMessage="1" showErrorMessage="1" sqref="M7:M116">
      <formula1>list_story_types</formula1>
    </dataValidation>
    <dataValidation type="list" allowBlank="1" showInputMessage="1" showErrorMessage="1" sqref="F7:F116">
      <formula1>list_project_tracks</formula1>
    </dataValidation>
    <dataValidation type="decimal" allowBlank="1" showInputMessage="1" showErrorMessage="1" errorTitle="Incorrect Value for ABP/HP" error="The entered value does not meet the criteria for 'ABP' or 'HP' values._x000a__x000a_Only decimal values ​​between 0.25 and 100 in increments of 0.25 are supported." sqref="N7:O117 T7:T117 R7:R117">
      <formula1>0.25</formula1>
      <formula2>100</formula2>
    </dataValidation>
    <dataValidation type="list" allowBlank="1" showInputMessage="1" showErrorMessage="1" sqref="E7:E116">
      <formula1>list_Phase</formula1>
    </dataValidation>
    <dataValidation type="list" allowBlank="1" showInputMessage="1" showErrorMessage="1" sqref="L7:L116">
      <formula1>list_Release</formula1>
    </dataValidation>
  </dataValidations>
  <pageMargins left="0.39370078740157499" right="0.39370078740157499" top="0.59055118110236204" bottom="0.59055118110236204" header="0.196850393700787" footer="0.196850393700787"/>
  <pageSetup scale="39" orientation="portrait"/>
  <headerFooter>
    <oddFooter>&amp;L&amp;"Calibri,Regular"&amp;9&amp;D&amp;C&amp;"Calibri,Regular"&amp;9&amp;GSapient Confidential
      &amp;6     Estimation Tool V5.0.0&amp;R&amp;"Calibri,Regular"&amp;9Page &amp;P</oddFooter>
  </headerFooter>
  <drawing r:id="rId1"/>
  <legacyDrawing r:id="rId2"/>
  <legacyDrawingHF r:id="rId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L25"/>
  <sheetViews>
    <sheetView showGridLines="0" zoomScale="80" zoomScaleNormal="80" workbookViewId="0">
      <selection activeCell="I5" sqref="I5"/>
    </sheetView>
  </sheetViews>
  <sheetFormatPr defaultColWidth="8.875" defaultRowHeight="15.75" x14ac:dyDescent="0.25"/>
  <cols>
    <col min="1" max="1" width="1.875" customWidth="1"/>
    <col min="2" max="2" width="11.375" customWidth="1"/>
    <col min="3" max="3" width="13.625" customWidth="1"/>
    <col min="4" max="5" width="10.875" customWidth="1"/>
    <col min="6" max="6" width="34.375" customWidth="1"/>
    <col min="7" max="7" width="9.375" customWidth="1"/>
    <col min="8" max="8" width="35.875" customWidth="1"/>
    <col min="9" max="10" width="9.375" customWidth="1"/>
    <col min="11" max="11" width="28.125" customWidth="1"/>
    <col min="12" max="12" width="25" customWidth="1"/>
    <col min="13" max="13" width="1.875" customWidth="1"/>
    <col min="14" max="17" width="8.125" customWidth="1"/>
    <col min="18" max="18" width="1.875" customWidth="1"/>
  </cols>
  <sheetData>
    <row r="1" spans="1:12" ht="2.25" customHeight="1" x14ac:dyDescent="0.25"/>
    <row r="2" spans="1:12" ht="49.5" customHeight="1" x14ac:dyDescent="0.25">
      <c r="B2" s="338" t="s">
        <v>26</v>
      </c>
      <c r="C2" s="333" t="str">
        <f>project_headline</f>
        <v>Fidelity - Global CMS validation | Estimation</v>
      </c>
      <c r="D2" s="339"/>
      <c r="G2" s="12"/>
      <c r="H2" s="619" t="s">
        <v>830</v>
      </c>
      <c r="I2" s="620"/>
      <c r="J2" s="571">
        <f>SUM(J5:J18)</f>
        <v>20</v>
      </c>
    </row>
    <row r="3" spans="1:12" ht="9" customHeight="1" x14ac:dyDescent="0.25">
      <c r="B3" s="2"/>
      <c r="C3" s="2"/>
    </row>
    <row r="4" spans="1:12" ht="31.5" customHeight="1" x14ac:dyDescent="0.25">
      <c r="A4" s="50"/>
      <c r="B4" s="106" t="s">
        <v>27</v>
      </c>
      <c r="C4" s="351" t="s">
        <v>1169</v>
      </c>
      <c r="D4" s="65" t="s">
        <v>28</v>
      </c>
      <c r="E4" s="349" t="s">
        <v>540</v>
      </c>
      <c r="F4" s="65" t="s">
        <v>30</v>
      </c>
      <c r="G4" s="65" t="s">
        <v>29</v>
      </c>
      <c r="H4" s="65" t="s">
        <v>31</v>
      </c>
      <c r="I4" s="65" t="s">
        <v>32</v>
      </c>
      <c r="J4" s="65" t="s">
        <v>34</v>
      </c>
      <c r="K4" s="139" t="s">
        <v>33</v>
      </c>
    </row>
    <row r="5" spans="1:12" ht="153" x14ac:dyDescent="0.25">
      <c r="A5" s="129"/>
      <c r="B5" s="128"/>
      <c r="C5" s="128" t="s">
        <v>1647</v>
      </c>
      <c r="D5" s="91" t="s">
        <v>1644</v>
      </c>
      <c r="E5" s="91" t="s">
        <v>17</v>
      </c>
      <c r="F5" s="92" t="s">
        <v>35</v>
      </c>
      <c r="G5" s="117">
        <v>3</v>
      </c>
      <c r="H5" s="92" t="s">
        <v>39</v>
      </c>
      <c r="I5" s="94">
        <v>1</v>
      </c>
      <c r="J5" s="88">
        <f t="shared" ref="J5:J18" si="0">I5*(IF(ISNUMBER(G5),G5,1))</f>
        <v>3</v>
      </c>
      <c r="K5" s="89" t="s">
        <v>40</v>
      </c>
      <c r="L5" s="5"/>
    </row>
    <row r="6" spans="1:12" ht="153" x14ac:dyDescent="0.25">
      <c r="A6" s="129"/>
      <c r="B6" s="126"/>
      <c r="C6" s="126" t="s">
        <v>1647</v>
      </c>
      <c r="D6" s="73" t="s">
        <v>1644</v>
      </c>
      <c r="E6" s="140" t="s">
        <v>17</v>
      </c>
      <c r="F6" s="120" t="s">
        <v>36</v>
      </c>
      <c r="G6" s="97">
        <v>3</v>
      </c>
      <c r="H6" s="74" t="s">
        <v>45</v>
      </c>
      <c r="I6" s="76">
        <v>1</v>
      </c>
      <c r="J6" s="82">
        <f t="shared" si="0"/>
        <v>3</v>
      </c>
      <c r="K6" s="83" t="s">
        <v>41</v>
      </c>
      <c r="L6" s="5"/>
    </row>
    <row r="7" spans="1:12" ht="25.5" x14ac:dyDescent="0.25">
      <c r="A7" s="129"/>
      <c r="B7" s="126"/>
      <c r="C7" s="126" t="s">
        <v>17</v>
      </c>
      <c r="D7" s="73" t="s">
        <v>17</v>
      </c>
      <c r="E7" s="140" t="s">
        <v>17</v>
      </c>
      <c r="F7" s="120" t="s">
        <v>37</v>
      </c>
      <c r="G7" s="97">
        <v>0</v>
      </c>
      <c r="H7" s="74" t="s">
        <v>44</v>
      </c>
      <c r="I7" s="75">
        <v>1</v>
      </c>
      <c r="J7" s="121">
        <v>10</v>
      </c>
      <c r="K7" s="122"/>
      <c r="L7" s="5"/>
    </row>
    <row r="8" spans="1:12" ht="25.5" x14ac:dyDescent="0.25">
      <c r="A8" s="129"/>
      <c r="B8" s="127"/>
      <c r="C8" s="127" t="s">
        <v>17</v>
      </c>
      <c r="D8" s="69" t="s">
        <v>17</v>
      </c>
      <c r="E8" s="141" t="s">
        <v>17</v>
      </c>
      <c r="F8" s="111" t="s">
        <v>38</v>
      </c>
      <c r="G8" s="112">
        <v>0</v>
      </c>
      <c r="H8" s="70" t="s">
        <v>43</v>
      </c>
      <c r="I8" s="71">
        <v>0</v>
      </c>
      <c r="J8" s="113">
        <f t="shared" si="0"/>
        <v>0</v>
      </c>
      <c r="K8" s="114" t="s">
        <v>42</v>
      </c>
      <c r="L8" s="5"/>
    </row>
    <row r="9" spans="1:12" ht="25.5" x14ac:dyDescent="0.25">
      <c r="A9" s="129"/>
      <c r="B9" s="126"/>
      <c r="C9" s="128" t="s">
        <v>1650</v>
      </c>
      <c r="D9" s="91" t="s">
        <v>1644</v>
      </c>
      <c r="E9" s="91" t="s">
        <v>17</v>
      </c>
      <c r="F9" s="92" t="s">
        <v>35</v>
      </c>
      <c r="G9" s="117">
        <v>2</v>
      </c>
      <c r="H9" s="92" t="s">
        <v>39</v>
      </c>
      <c r="I9" s="94">
        <v>1</v>
      </c>
      <c r="J9" s="121">
        <f t="shared" si="0"/>
        <v>2</v>
      </c>
      <c r="K9" s="122"/>
      <c r="L9" s="5"/>
    </row>
    <row r="10" spans="1:12" x14ac:dyDescent="0.25">
      <c r="A10" s="129"/>
      <c r="B10" s="128"/>
      <c r="C10" s="126" t="s">
        <v>1647</v>
      </c>
      <c r="D10" s="73" t="s">
        <v>1644</v>
      </c>
      <c r="E10" s="140" t="s">
        <v>17</v>
      </c>
      <c r="F10" s="120" t="s">
        <v>36</v>
      </c>
      <c r="G10" s="97">
        <v>2</v>
      </c>
      <c r="H10" s="74" t="s">
        <v>45</v>
      </c>
      <c r="I10" s="76">
        <v>1</v>
      </c>
      <c r="J10" s="118">
        <f>I10*(IF(ISNUMBER(G10),G10,1))</f>
        <v>2</v>
      </c>
      <c r="K10" s="119"/>
      <c r="L10" s="5"/>
    </row>
    <row r="11" spans="1:12" x14ac:dyDescent="0.25">
      <c r="A11" s="129"/>
      <c r="B11" s="127"/>
      <c r="C11" s="127"/>
      <c r="D11" s="69"/>
      <c r="E11" s="141"/>
      <c r="F11" s="111"/>
      <c r="G11" s="112"/>
      <c r="H11" s="70"/>
      <c r="I11" s="71"/>
      <c r="J11" s="113">
        <f>I11*(IF(ISNUMBER(G11),G11,1))</f>
        <v>0</v>
      </c>
      <c r="K11" s="114"/>
      <c r="L11" s="5"/>
    </row>
    <row r="12" spans="1:12" x14ac:dyDescent="0.25">
      <c r="A12" s="129"/>
      <c r="B12" s="126"/>
      <c r="C12" s="126"/>
      <c r="D12" s="73"/>
      <c r="E12" s="140"/>
      <c r="F12" s="120"/>
      <c r="G12" s="97"/>
      <c r="H12" s="74"/>
      <c r="I12" s="75"/>
      <c r="J12" s="121">
        <f>I12*(IF(ISNUMBER(G12),G12,1))</f>
        <v>0</v>
      </c>
      <c r="K12" s="122"/>
      <c r="L12" s="5"/>
    </row>
    <row r="13" spans="1:12" x14ac:dyDescent="0.25">
      <c r="A13" s="130"/>
      <c r="B13" s="128"/>
      <c r="C13" s="128"/>
      <c r="D13" s="91"/>
      <c r="E13" s="144"/>
      <c r="F13" s="116"/>
      <c r="G13" s="117"/>
      <c r="H13" s="92"/>
      <c r="I13" s="93"/>
      <c r="J13" s="118">
        <f>I13*(IF(ISNUMBER(G13),G13,1))</f>
        <v>0</v>
      </c>
      <c r="K13" s="119"/>
      <c r="L13" s="5"/>
    </row>
    <row r="14" spans="1:12" x14ac:dyDescent="0.25">
      <c r="A14" s="130"/>
      <c r="B14" s="128"/>
      <c r="C14" s="128"/>
      <c r="D14" s="91"/>
      <c r="E14" s="144"/>
      <c r="F14" s="116"/>
      <c r="G14" s="117"/>
      <c r="H14" s="92"/>
      <c r="I14" s="93"/>
      <c r="J14" s="118">
        <f t="shared" si="0"/>
        <v>0</v>
      </c>
      <c r="K14" s="119"/>
      <c r="L14" s="5"/>
    </row>
    <row r="15" spans="1:12" x14ac:dyDescent="0.25">
      <c r="A15" s="130"/>
      <c r="B15" s="128"/>
      <c r="C15" s="128"/>
      <c r="D15" s="91"/>
      <c r="E15" s="144"/>
      <c r="F15" s="116"/>
      <c r="G15" s="117"/>
      <c r="H15" s="92"/>
      <c r="I15" s="93"/>
      <c r="J15" s="118">
        <f t="shared" si="0"/>
        <v>0</v>
      </c>
      <c r="K15" s="119"/>
      <c r="L15" s="5"/>
    </row>
    <row r="16" spans="1:12" x14ac:dyDescent="0.25">
      <c r="A16" s="130"/>
      <c r="B16" s="128"/>
      <c r="C16" s="128"/>
      <c r="D16" s="91"/>
      <c r="E16" s="144"/>
      <c r="F16" s="116"/>
      <c r="G16" s="117"/>
      <c r="H16" s="92"/>
      <c r="I16" s="93"/>
      <c r="J16" s="118">
        <f t="shared" si="0"/>
        <v>0</v>
      </c>
      <c r="K16" s="119"/>
      <c r="L16" s="5"/>
    </row>
    <row r="17" spans="1:12" x14ac:dyDescent="0.25">
      <c r="A17" s="131"/>
      <c r="B17" s="128"/>
      <c r="C17" s="128"/>
      <c r="D17" s="91"/>
      <c r="E17" s="144"/>
      <c r="F17" s="116"/>
      <c r="G17" s="117"/>
      <c r="H17" s="92"/>
      <c r="I17" s="93"/>
      <c r="J17" s="118">
        <f t="shared" si="0"/>
        <v>0</v>
      </c>
      <c r="K17" s="119"/>
    </row>
    <row r="18" spans="1:12" ht="3" customHeight="1" x14ac:dyDescent="0.25">
      <c r="A18" s="133" t="s">
        <v>46</v>
      </c>
      <c r="B18" s="128"/>
      <c r="C18" s="128" t="s">
        <v>17</v>
      </c>
      <c r="D18" s="91"/>
      <c r="E18" s="144" t="s">
        <v>17</v>
      </c>
      <c r="F18" s="116"/>
      <c r="G18" s="117"/>
      <c r="H18" s="74"/>
      <c r="I18" s="93"/>
      <c r="J18" s="82">
        <f t="shared" si="0"/>
        <v>0</v>
      </c>
      <c r="K18" s="89"/>
      <c r="L18" s="5"/>
    </row>
    <row r="19" spans="1:12" ht="3" customHeight="1" x14ac:dyDescent="0.25">
      <c r="A19" s="24"/>
      <c r="B19" s="109"/>
      <c r="C19" s="350"/>
      <c r="D19" s="134"/>
      <c r="E19" s="350"/>
      <c r="F19" s="110"/>
      <c r="G19" s="135"/>
      <c r="H19" s="136"/>
      <c r="I19" s="138"/>
      <c r="J19" s="137"/>
      <c r="K19" s="132"/>
      <c r="L19" s="5"/>
    </row>
    <row r="20" spans="1:12" x14ac:dyDescent="0.25">
      <c r="A20" s="24"/>
      <c r="B20" s="5"/>
      <c r="C20" s="5"/>
      <c r="D20" s="5"/>
      <c r="E20" s="5"/>
      <c r="F20" s="5"/>
      <c r="G20" s="5"/>
      <c r="H20" s="5"/>
      <c r="I20" s="5"/>
      <c r="J20" s="5"/>
      <c r="K20" s="5"/>
      <c r="L20" s="5"/>
    </row>
    <row r="21" spans="1:12" x14ac:dyDescent="0.25">
      <c r="A21" s="24"/>
      <c r="B21" s="5"/>
      <c r="C21" s="5"/>
      <c r="D21" s="5"/>
      <c r="E21" s="5"/>
      <c r="F21" s="5"/>
      <c r="G21" s="5"/>
      <c r="H21" s="5"/>
      <c r="I21" s="5"/>
      <c r="J21" s="5"/>
      <c r="K21" s="5"/>
      <c r="L21" s="5"/>
    </row>
    <row r="22" spans="1:12" x14ac:dyDescent="0.25">
      <c r="A22" s="24"/>
      <c r="B22" s="5"/>
      <c r="C22" s="5"/>
      <c r="D22" s="5"/>
      <c r="E22" s="5"/>
      <c r="F22" s="5"/>
      <c r="G22" s="5"/>
      <c r="H22" s="5"/>
      <c r="I22" s="5"/>
      <c r="J22" s="5"/>
      <c r="K22" s="5"/>
      <c r="L22" s="5"/>
    </row>
    <row r="23" spans="1:12" x14ac:dyDescent="0.25">
      <c r="B23" s="5"/>
      <c r="C23" s="5"/>
      <c r="D23" s="5"/>
      <c r="E23" s="5"/>
      <c r="F23" s="5"/>
      <c r="G23" s="5"/>
      <c r="H23" s="5"/>
      <c r="I23" s="5"/>
      <c r="J23" s="5"/>
      <c r="K23" s="5"/>
      <c r="L23" s="5"/>
    </row>
    <row r="24" spans="1:12" x14ac:dyDescent="0.25">
      <c r="B24" s="5"/>
      <c r="C24" s="5"/>
      <c r="D24" s="5"/>
      <c r="E24" s="5"/>
      <c r="F24" s="5"/>
      <c r="G24" s="5"/>
      <c r="H24" s="5"/>
      <c r="I24" s="5"/>
      <c r="J24" s="5"/>
      <c r="K24" s="5"/>
      <c r="L24" s="5"/>
    </row>
    <row r="25" spans="1:12" x14ac:dyDescent="0.25">
      <c r="B25" s="5"/>
      <c r="C25" s="5"/>
      <c r="D25" s="5"/>
      <c r="E25" s="5"/>
      <c r="F25" s="5"/>
      <c r="G25" s="5"/>
      <c r="H25" s="5"/>
      <c r="I25" s="5"/>
      <c r="J25" s="5"/>
      <c r="K25" s="5"/>
      <c r="L25" s="5"/>
    </row>
  </sheetData>
  <dataConsolidate/>
  <mergeCells count="1">
    <mergeCell ref="H2:I2"/>
  </mergeCells>
  <dataValidations count="3">
    <dataValidation type="list" allowBlank="1" showInputMessage="1" showErrorMessage="1" sqref="D5:D18">
      <formula1>list_project_tracks</formula1>
    </dataValidation>
    <dataValidation type="list" allowBlank="1" showInputMessage="1" showErrorMessage="1" sqref="C5:C18">
      <formula1>list_Phase</formula1>
    </dataValidation>
    <dataValidation type="list" allowBlank="1" showInputMessage="1" showErrorMessage="1" sqref="E5:E18">
      <formula1>list_Release</formula1>
    </dataValidation>
  </dataValidations>
  <pageMargins left="0.39370078740157499" right="0.39370078740157499" top="0.59055118110236204" bottom="0.59055118110236204" header="0.196850393700787" footer="0.196850393700787"/>
  <pageSetup scale="52" orientation="portrait"/>
  <headerFooter>
    <oddFooter>&amp;L&amp;"Calibri,Regular"&amp;9&amp;D&amp;C&amp;"Calibri,Regular"&amp;9&amp;GSapient Confidential
        &amp;6   Estimation Tool V5.0.0&amp;R&amp;"Calibri,Regular"&amp;9Page &amp;P</oddFooter>
  </headerFooter>
  <drawing r:id="rId1"/>
  <legacyDrawing r:id="rId2"/>
  <legacyDrawingHF r:id="rId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L28"/>
  <sheetViews>
    <sheetView showGridLines="0" workbookViewId="0">
      <selection activeCell="H22" sqref="H22"/>
    </sheetView>
  </sheetViews>
  <sheetFormatPr defaultColWidth="8.875" defaultRowHeight="15.75" x14ac:dyDescent="0.25"/>
  <cols>
    <col min="1" max="1" width="1.875" customWidth="1"/>
    <col min="2" max="2" width="12.5" customWidth="1"/>
    <col min="3" max="3" width="10.375" customWidth="1"/>
    <col min="4" max="4" width="9.125" customWidth="1"/>
    <col min="5" max="5" width="8.625" customWidth="1"/>
    <col min="6" max="6" width="40.375" customWidth="1"/>
    <col min="7" max="7" width="9.375" customWidth="1"/>
    <col min="8" max="8" width="21.875" customWidth="1"/>
    <col min="9" max="9" width="12.125" customWidth="1"/>
    <col min="10" max="10" width="18.625" customWidth="1"/>
    <col min="11" max="11" width="28" customWidth="1"/>
    <col min="12" max="12" width="25" customWidth="1"/>
    <col min="13" max="13" width="1.875" customWidth="1"/>
    <col min="14" max="17" width="8.125" customWidth="1"/>
    <col min="18" max="18" width="1.875" customWidth="1"/>
  </cols>
  <sheetData>
    <row r="1" spans="1:12" ht="2.25" customHeight="1" x14ac:dyDescent="0.25"/>
    <row r="2" spans="1:12" ht="49.5" customHeight="1" x14ac:dyDescent="0.25">
      <c r="B2" s="332" t="s">
        <v>47</v>
      </c>
      <c r="D2" s="333" t="str">
        <f>project_headline</f>
        <v>Fidelity - Global CMS validation | Estimation</v>
      </c>
      <c r="E2" s="340"/>
      <c r="G2" s="12"/>
      <c r="I2" s="621" t="s">
        <v>829</v>
      </c>
      <c r="J2" s="622"/>
    </row>
    <row r="3" spans="1:12" ht="15" customHeight="1" x14ac:dyDescent="0.25">
      <c r="B3" s="12"/>
      <c r="C3" s="12"/>
      <c r="D3" s="12"/>
      <c r="E3" s="12"/>
      <c r="F3" s="12"/>
      <c r="G3" s="12"/>
      <c r="I3" s="146" t="s">
        <v>53</v>
      </c>
      <c r="J3" s="147" t="s">
        <v>54</v>
      </c>
    </row>
    <row r="4" spans="1:12" ht="13.5" customHeight="1" x14ac:dyDescent="0.25">
      <c r="B4" s="12"/>
      <c r="C4" s="12"/>
      <c r="D4" s="12"/>
      <c r="E4" s="12"/>
      <c r="F4" s="12"/>
      <c r="G4" s="12"/>
      <c r="I4" s="145">
        <f>SUM(H7:H17)</f>
        <v>33</v>
      </c>
      <c r="J4" s="570">
        <f>SUM(J7:J22)</f>
        <v>35.5</v>
      </c>
    </row>
    <row r="5" spans="1:12" ht="9" customHeight="1" x14ac:dyDescent="0.25"/>
    <row r="6" spans="1:12" ht="41.25" customHeight="1" x14ac:dyDescent="0.25">
      <c r="B6" s="106" t="s">
        <v>27</v>
      </c>
      <c r="C6" s="351" t="s">
        <v>1169</v>
      </c>
      <c r="D6" s="65" t="s">
        <v>28</v>
      </c>
      <c r="E6" s="349" t="s">
        <v>540</v>
      </c>
      <c r="F6" s="65" t="s">
        <v>48</v>
      </c>
      <c r="G6" s="65" t="s">
        <v>29</v>
      </c>
      <c r="H6" s="65" t="s">
        <v>49</v>
      </c>
      <c r="I6" s="65" t="s">
        <v>50</v>
      </c>
      <c r="J6" s="65" t="s">
        <v>51</v>
      </c>
      <c r="K6" s="63" t="s">
        <v>52</v>
      </c>
    </row>
    <row r="7" spans="1:12" x14ac:dyDescent="0.25">
      <c r="A7" s="129"/>
      <c r="B7" s="128"/>
      <c r="C7" s="128" t="s">
        <v>1645</v>
      </c>
      <c r="D7" s="91" t="s">
        <v>1644</v>
      </c>
      <c r="E7" s="91"/>
      <c r="F7" s="92" t="s">
        <v>1751</v>
      </c>
      <c r="G7" s="117">
        <v>1</v>
      </c>
      <c r="H7" s="117">
        <v>2</v>
      </c>
      <c r="I7" s="143">
        <v>0.5</v>
      </c>
      <c r="J7" s="88">
        <f>H7*I7*(IF(ISNUMBER(G7),G7,1))</f>
        <v>1</v>
      </c>
      <c r="K7" s="149"/>
      <c r="L7" s="5"/>
    </row>
    <row r="8" spans="1:12" x14ac:dyDescent="0.25">
      <c r="A8" s="129"/>
      <c r="B8" s="126"/>
      <c r="C8" s="128" t="s">
        <v>1647</v>
      </c>
      <c r="D8" s="91" t="s">
        <v>1644</v>
      </c>
      <c r="E8" s="140"/>
      <c r="F8" s="74" t="s">
        <v>1655</v>
      </c>
      <c r="G8" s="97">
        <v>5</v>
      </c>
      <c r="H8" s="97">
        <v>4</v>
      </c>
      <c r="I8" s="142">
        <v>0.25</v>
      </c>
      <c r="J8" s="82">
        <f>H8*I8*(IF(ISNUMBER(G8),G8,1))</f>
        <v>5</v>
      </c>
      <c r="K8" s="148"/>
      <c r="L8" s="5"/>
    </row>
    <row r="9" spans="1:12" x14ac:dyDescent="0.25">
      <c r="A9" s="129"/>
      <c r="B9" s="128"/>
      <c r="C9" s="128" t="s">
        <v>1647</v>
      </c>
      <c r="D9" s="91" t="s">
        <v>1644</v>
      </c>
      <c r="E9" s="144"/>
      <c r="F9" s="92" t="s">
        <v>1656</v>
      </c>
      <c r="G9" s="117">
        <v>5</v>
      </c>
      <c r="H9" s="117">
        <v>8</v>
      </c>
      <c r="I9" s="142">
        <v>0.25</v>
      </c>
      <c r="J9" s="82">
        <f t="shared" ref="J9:J21" si="0">H9*I9*(IF(ISNUMBER(G9),G9,1))</f>
        <v>10</v>
      </c>
      <c r="K9" s="148"/>
      <c r="L9" s="5"/>
    </row>
    <row r="10" spans="1:12" ht="25.5" customHeight="1" x14ac:dyDescent="0.25">
      <c r="A10" s="129"/>
      <c r="B10" s="128"/>
      <c r="C10" s="128" t="s">
        <v>1647</v>
      </c>
      <c r="D10" s="91" t="s">
        <v>1644</v>
      </c>
      <c r="E10" s="144"/>
      <c r="F10" s="92" t="s">
        <v>1657</v>
      </c>
      <c r="G10" s="117">
        <v>1</v>
      </c>
      <c r="H10" s="117">
        <v>2</v>
      </c>
      <c r="I10" s="142">
        <v>0.5</v>
      </c>
      <c r="J10" s="82">
        <f t="shared" si="0"/>
        <v>1</v>
      </c>
      <c r="K10" s="148"/>
      <c r="L10" s="5"/>
    </row>
    <row r="11" spans="1:12" x14ac:dyDescent="0.25">
      <c r="A11" s="129"/>
      <c r="B11" s="128"/>
      <c r="C11" s="128" t="s">
        <v>1645</v>
      </c>
      <c r="D11" s="91" t="s">
        <v>1672</v>
      </c>
      <c r="E11" s="91"/>
      <c r="F11" s="92" t="s">
        <v>1751</v>
      </c>
      <c r="G11" s="117">
        <v>1</v>
      </c>
      <c r="H11" s="117">
        <v>2</v>
      </c>
      <c r="I11" s="143">
        <v>0.5</v>
      </c>
      <c r="J11" s="82">
        <f t="shared" si="0"/>
        <v>1</v>
      </c>
      <c r="K11" s="148"/>
      <c r="L11" s="5"/>
    </row>
    <row r="12" spans="1:12" x14ac:dyDescent="0.25">
      <c r="A12" s="129"/>
      <c r="B12" s="128"/>
      <c r="C12" s="128" t="s">
        <v>1645</v>
      </c>
      <c r="D12" s="91" t="s">
        <v>1680</v>
      </c>
      <c r="E12" s="91"/>
      <c r="F12" s="92" t="s">
        <v>1751</v>
      </c>
      <c r="G12" s="117">
        <v>1</v>
      </c>
      <c r="H12" s="117">
        <v>2</v>
      </c>
      <c r="I12" s="143">
        <v>0.5</v>
      </c>
      <c r="J12" s="82">
        <f>H12*I12*(IF(ISNUMBER(G12),G12,1))</f>
        <v>1</v>
      </c>
      <c r="K12" s="148"/>
      <c r="L12" s="5"/>
    </row>
    <row r="13" spans="1:12" x14ac:dyDescent="0.25">
      <c r="A13" s="129"/>
      <c r="B13" s="126"/>
      <c r="C13" s="128" t="s">
        <v>1645</v>
      </c>
      <c r="D13" s="91" t="s">
        <v>1681</v>
      </c>
      <c r="E13" s="91"/>
      <c r="F13" s="92" t="s">
        <v>1751</v>
      </c>
      <c r="G13" s="117">
        <v>1</v>
      </c>
      <c r="H13" s="117">
        <v>2</v>
      </c>
      <c r="I13" s="143">
        <v>0.5</v>
      </c>
      <c r="J13" s="82">
        <f t="shared" si="0"/>
        <v>1</v>
      </c>
      <c r="K13" s="148"/>
      <c r="L13" s="5"/>
    </row>
    <row r="14" spans="1:12" x14ac:dyDescent="0.25">
      <c r="A14" s="129"/>
      <c r="B14" s="128"/>
      <c r="C14" s="128" t="s">
        <v>1645</v>
      </c>
      <c r="D14" s="91" t="s">
        <v>1660</v>
      </c>
      <c r="E14" s="91"/>
      <c r="F14" s="92" t="s">
        <v>1751</v>
      </c>
      <c r="G14" s="117">
        <v>1</v>
      </c>
      <c r="H14" s="117">
        <v>2</v>
      </c>
      <c r="I14" s="143">
        <v>0.5</v>
      </c>
      <c r="J14" s="82">
        <f t="shared" si="0"/>
        <v>1</v>
      </c>
      <c r="K14" s="148"/>
      <c r="L14" s="5"/>
    </row>
    <row r="15" spans="1:12" x14ac:dyDescent="0.25">
      <c r="A15" s="129"/>
      <c r="B15" s="127"/>
      <c r="C15" s="128" t="s">
        <v>1645</v>
      </c>
      <c r="D15" s="91" t="s">
        <v>1658</v>
      </c>
      <c r="E15" s="91"/>
      <c r="F15" s="92" t="s">
        <v>1751</v>
      </c>
      <c r="G15" s="117">
        <v>1</v>
      </c>
      <c r="H15" s="117">
        <v>2</v>
      </c>
      <c r="I15" s="143">
        <v>0.5</v>
      </c>
      <c r="J15" s="82">
        <f t="shared" si="0"/>
        <v>1</v>
      </c>
      <c r="K15" s="148"/>
      <c r="L15" s="5"/>
    </row>
    <row r="16" spans="1:12" s="485" customFormat="1" ht="25.5" customHeight="1" x14ac:dyDescent="0.25">
      <c r="A16" s="129"/>
      <c r="B16" s="128"/>
      <c r="C16" s="128" t="s">
        <v>1647</v>
      </c>
      <c r="D16" s="91" t="s">
        <v>1681</v>
      </c>
      <c r="E16" s="144"/>
      <c r="F16" s="92" t="s">
        <v>1657</v>
      </c>
      <c r="G16" s="117">
        <v>1</v>
      </c>
      <c r="H16" s="117">
        <v>2</v>
      </c>
      <c r="I16" s="142">
        <v>0.5</v>
      </c>
      <c r="J16" s="82">
        <f t="shared" ref="J16" si="1">H16*I16*(IF(ISNUMBER(G16),G16,1))</f>
        <v>1</v>
      </c>
      <c r="K16" s="148"/>
      <c r="L16" s="5"/>
    </row>
    <row r="17" spans="1:12" ht="24.75" customHeight="1" x14ac:dyDescent="0.25">
      <c r="A17" s="23" t="s">
        <v>46</v>
      </c>
      <c r="B17" s="72"/>
      <c r="C17" s="128" t="s">
        <v>1647</v>
      </c>
      <c r="D17" s="140" t="s">
        <v>1644</v>
      </c>
      <c r="E17" s="140"/>
      <c r="F17" s="74" t="s">
        <v>1815</v>
      </c>
      <c r="G17" s="97">
        <v>1</v>
      </c>
      <c r="H17" s="97">
        <v>5</v>
      </c>
      <c r="I17" s="142">
        <v>0.5</v>
      </c>
      <c r="J17" s="82">
        <f t="shared" si="0"/>
        <v>2.5</v>
      </c>
      <c r="K17" s="83"/>
      <c r="L17" s="5"/>
    </row>
    <row r="18" spans="1:12" s="485" customFormat="1" ht="24.75" customHeight="1" x14ac:dyDescent="0.25">
      <c r="A18" s="23"/>
      <c r="B18" s="72"/>
      <c r="C18" s="128" t="s">
        <v>1647</v>
      </c>
      <c r="D18" s="140" t="s">
        <v>1660</v>
      </c>
      <c r="E18" s="140"/>
      <c r="F18" s="74" t="s">
        <v>1815</v>
      </c>
      <c r="G18" s="97">
        <v>1</v>
      </c>
      <c r="H18" s="97">
        <v>5</v>
      </c>
      <c r="I18" s="142">
        <v>0.5</v>
      </c>
      <c r="J18" s="82">
        <f t="shared" si="0"/>
        <v>2.5</v>
      </c>
      <c r="K18" s="83"/>
      <c r="L18" s="5"/>
    </row>
    <row r="19" spans="1:12" s="485" customFormat="1" ht="24.75" customHeight="1" x14ac:dyDescent="0.25">
      <c r="A19" s="23"/>
      <c r="B19" s="72"/>
      <c r="C19" s="128" t="s">
        <v>1647</v>
      </c>
      <c r="D19" s="140" t="s">
        <v>1680</v>
      </c>
      <c r="E19" s="140"/>
      <c r="F19" s="74" t="s">
        <v>1815</v>
      </c>
      <c r="G19" s="97">
        <v>1</v>
      </c>
      <c r="H19" s="97">
        <v>5</v>
      </c>
      <c r="I19" s="142">
        <v>0.5</v>
      </c>
      <c r="J19" s="82">
        <f t="shared" si="0"/>
        <v>2.5</v>
      </c>
      <c r="K19" s="83"/>
      <c r="L19" s="5"/>
    </row>
    <row r="20" spans="1:12" s="485" customFormat="1" ht="24.75" customHeight="1" x14ac:dyDescent="0.25">
      <c r="A20" s="23"/>
      <c r="B20" s="72"/>
      <c r="C20" s="128" t="s">
        <v>1647</v>
      </c>
      <c r="D20" s="140" t="s">
        <v>1681</v>
      </c>
      <c r="E20" s="140"/>
      <c r="F20" s="74" t="s">
        <v>1815</v>
      </c>
      <c r="G20" s="97">
        <v>1</v>
      </c>
      <c r="H20" s="97">
        <v>5</v>
      </c>
      <c r="I20" s="142">
        <v>0.5</v>
      </c>
      <c r="J20" s="82">
        <f t="shared" si="0"/>
        <v>2.5</v>
      </c>
      <c r="K20" s="83"/>
      <c r="L20" s="5"/>
    </row>
    <row r="21" spans="1:12" s="485" customFormat="1" ht="24.75" customHeight="1" x14ac:dyDescent="0.25">
      <c r="A21" s="23"/>
      <c r="B21" s="72"/>
      <c r="C21" s="128" t="s">
        <v>1647</v>
      </c>
      <c r="D21" s="140" t="s">
        <v>1658</v>
      </c>
      <c r="E21" s="140"/>
      <c r="F21" s="74" t="s">
        <v>1815</v>
      </c>
      <c r="G21" s="97">
        <v>1</v>
      </c>
      <c r="H21" s="97">
        <v>5</v>
      </c>
      <c r="I21" s="142">
        <v>0.5</v>
      </c>
      <c r="J21" s="82">
        <f t="shared" si="0"/>
        <v>2.5</v>
      </c>
      <c r="K21" s="83"/>
      <c r="L21" s="5"/>
    </row>
    <row r="22" spans="1:12" s="485" customFormat="1" ht="24.75" customHeight="1" x14ac:dyDescent="0.25">
      <c r="A22" s="23" t="s">
        <v>46</v>
      </c>
      <c r="B22" s="72"/>
      <c r="C22" s="126"/>
      <c r="D22" s="140"/>
      <c r="E22" s="140"/>
      <c r="F22" s="74"/>
      <c r="G22" s="97"/>
      <c r="H22" s="97"/>
      <c r="I22" s="142"/>
      <c r="J22" s="82">
        <f t="shared" ref="J22" si="2">H22*I22*(IF(ISNUMBER(G22),G22,1))</f>
        <v>0</v>
      </c>
      <c r="K22" s="83"/>
      <c r="L22" s="5"/>
    </row>
    <row r="23" spans="1:12" x14ac:dyDescent="0.25">
      <c r="B23" s="5"/>
      <c r="C23" s="5"/>
      <c r="D23" s="5"/>
      <c r="E23" s="5"/>
      <c r="F23" s="5"/>
      <c r="G23" s="5"/>
      <c r="H23" s="5"/>
      <c r="I23" s="5"/>
      <c r="J23" s="5"/>
      <c r="K23" s="5"/>
      <c r="L23" s="5"/>
    </row>
    <row r="24" spans="1:12" x14ac:dyDescent="0.25">
      <c r="B24" s="5"/>
      <c r="C24" s="5"/>
      <c r="D24" s="5"/>
      <c r="E24" s="5"/>
      <c r="F24" s="5"/>
      <c r="G24" s="5"/>
      <c r="H24" s="5"/>
      <c r="I24" s="5"/>
      <c r="J24" s="5"/>
      <c r="K24" s="5"/>
      <c r="L24" s="5"/>
    </row>
    <row r="25" spans="1:12" x14ac:dyDescent="0.25">
      <c r="B25" s="5"/>
      <c r="C25" s="5"/>
      <c r="D25" s="5"/>
      <c r="E25" s="5"/>
      <c r="F25" s="5"/>
      <c r="G25" s="5"/>
      <c r="H25" s="5"/>
      <c r="I25" s="5"/>
      <c r="J25" s="5"/>
      <c r="K25" s="5"/>
      <c r="L25" s="5"/>
    </row>
    <row r="26" spans="1:12" x14ac:dyDescent="0.25">
      <c r="B26" s="5"/>
      <c r="C26" s="5"/>
      <c r="D26" s="5"/>
      <c r="E26" s="5"/>
      <c r="F26" s="5"/>
      <c r="G26" s="5"/>
      <c r="H26" s="5"/>
      <c r="I26" s="5"/>
      <c r="J26" s="5"/>
      <c r="K26" s="5"/>
      <c r="L26" s="5"/>
    </row>
    <row r="27" spans="1:12" x14ac:dyDescent="0.25">
      <c r="B27" s="5"/>
      <c r="C27" s="5"/>
      <c r="D27" s="5"/>
      <c r="E27" s="5"/>
      <c r="F27" s="5"/>
      <c r="G27" s="5"/>
      <c r="H27" s="5"/>
      <c r="I27" s="5"/>
      <c r="J27" s="5"/>
      <c r="K27" s="5"/>
      <c r="L27" s="5"/>
    </row>
    <row r="28" spans="1:12" x14ac:dyDescent="0.25">
      <c r="B28" s="5"/>
      <c r="C28" s="5"/>
      <c r="D28" s="5"/>
      <c r="E28" s="5"/>
      <c r="F28" s="5"/>
      <c r="G28" s="5"/>
      <c r="H28" s="5"/>
      <c r="I28" s="5"/>
      <c r="J28" s="5"/>
      <c r="K28" s="5"/>
      <c r="L28" s="5"/>
    </row>
  </sheetData>
  <dataConsolidate/>
  <mergeCells count="1">
    <mergeCell ref="I2:J2"/>
  </mergeCells>
  <dataValidations count="4">
    <dataValidation type="list" allowBlank="1" showInputMessage="1" showErrorMessage="1" sqref="D7:D22">
      <formula1>list_project_tracks</formula1>
    </dataValidation>
    <dataValidation type="list" allowBlank="1" showInputMessage="1" showErrorMessage="1" sqref="B7:B22">
      <formula1>list_risk_categories</formula1>
    </dataValidation>
    <dataValidation type="list" allowBlank="1" showInputMessage="1" showErrorMessage="1" sqref="C7:C22">
      <formula1>list_Phase</formula1>
    </dataValidation>
    <dataValidation type="list" allowBlank="1" showInputMessage="1" showErrorMessage="1" sqref="E7:E22">
      <formula1>list_Release</formula1>
    </dataValidation>
  </dataValidations>
  <pageMargins left="0.39370078740157499" right="0.39370078740157499" top="0.59055118110236204" bottom="0.59055118110236204" header="0.196850393700787" footer="0.196850393700787"/>
  <pageSetup scale="49" orientation="portrait"/>
  <headerFooter>
    <oddFooter>&amp;L&amp;"Calibri,Regular"&amp;9&amp;D&amp;C&amp;"Calibri,Regular"&amp;9&amp;GSapient Confidential
    &amp;6       Estimation Tool V5.0.0&amp;R&amp;"Calibri,Regular"&amp;9Page &amp;N</oddFooter>
  </headerFooter>
  <drawing r:id="rId1"/>
  <legacyDrawing r:id="rId2"/>
  <legacyDrawingHF r:id="rId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AJ54"/>
  <sheetViews>
    <sheetView showGridLines="0" zoomScale="80" zoomScaleNormal="80" workbookViewId="0">
      <pane xSplit="7" ySplit="9" topLeftCell="H25" activePane="bottomRight" state="frozen"/>
      <selection pane="topRight" activeCell="H1" sqref="H1"/>
      <selection pane="bottomLeft" activeCell="A10" sqref="A10"/>
      <selection pane="bottomRight" activeCell="L1" sqref="L1:L1048576"/>
    </sheetView>
  </sheetViews>
  <sheetFormatPr defaultColWidth="8.875" defaultRowHeight="15.75" outlineLevelCol="1" x14ac:dyDescent="0.25"/>
  <cols>
    <col min="1" max="1" width="1.125" style="24" customWidth="1"/>
    <col min="2" max="2" width="1.875" style="24" customWidth="1"/>
    <col min="3" max="3" width="8" customWidth="1"/>
    <col min="4" max="4" width="14" customWidth="1"/>
    <col min="5" max="5" width="17.875" style="11" customWidth="1"/>
    <col min="6" max="6" width="29.875" style="48" customWidth="1"/>
    <col min="7" max="7" width="13.5" style="48" customWidth="1"/>
    <col min="8" max="8" width="12.875" customWidth="1"/>
    <col min="9" max="9" width="9.625" hidden="1" customWidth="1"/>
    <col min="10" max="29" width="4.625" customWidth="1"/>
    <col min="30" max="31" width="7.5" customWidth="1"/>
    <col min="32" max="32" width="12.125" customWidth="1" outlineLevel="1"/>
    <col min="33" max="33" width="5.125" style="46" customWidth="1" outlineLevel="1"/>
    <col min="34" max="34" width="5" style="46" customWidth="1" outlineLevel="1"/>
    <col min="35" max="35" width="8.125" customWidth="1" outlineLevel="1"/>
    <col min="36" max="36" width="30.625" style="11" customWidth="1" outlineLevel="1"/>
    <col min="37" max="37" width="4.125" customWidth="1"/>
  </cols>
  <sheetData>
    <row r="1" spans="1:36" ht="49.5" hidden="1" customHeight="1" x14ac:dyDescent="0.25">
      <c r="A1" s="341"/>
      <c r="B1" s="332" t="s">
        <v>80</v>
      </c>
      <c r="C1" s="4"/>
      <c r="D1" s="333" t="str">
        <f>project_headline</f>
        <v>Fidelity - Global CMS validation | Estimation</v>
      </c>
      <c r="J1" s="438"/>
    </row>
    <row r="2" spans="1:36" ht="25.5" hidden="1" customHeight="1" thickBot="1" x14ac:dyDescent="0.3">
      <c r="B2" s="599" t="s">
        <v>81</v>
      </c>
      <c r="C2" s="623"/>
      <c r="D2" s="439">
        <v>42737</v>
      </c>
      <c r="E2" s="435" t="str">
        <f>IF(WEEKDAY(D2)&lt;&gt;2,"ERROR: Project start date has to be a Monday",CHOOSE(WEEKDAY(D2,2),"Monday","Tuesday","Wednesday","Thursday","Friday","Saturday","Sunday"))</f>
        <v>Monday</v>
      </c>
      <c r="J2" s="528"/>
      <c r="K2" s="528"/>
      <c r="L2" s="528"/>
      <c r="M2" s="528"/>
      <c r="N2" s="528"/>
      <c r="O2" s="528"/>
      <c r="P2" s="528"/>
      <c r="Q2" s="528"/>
      <c r="R2" s="528"/>
    </row>
    <row r="3" spans="1:36" ht="24" customHeight="1" thickBot="1" x14ac:dyDescent="0.3">
      <c r="B3" s="624" t="s">
        <v>82</v>
      </c>
      <c r="C3" s="625"/>
      <c r="D3" s="437">
        <v>42790</v>
      </c>
      <c r="E3" s="436" t="str">
        <f>IF(WEEKDAY(D3)&lt;&gt;6,"ERROR: Project end date has to be a Friday",CHOOSE(WEEKDAY(D3,2),"Monday","Tuesday","Wednesday","Thursday","Friday","Saturday","Sunday"))</f>
        <v>Friday</v>
      </c>
      <c r="J3" s="528"/>
      <c r="K3" s="528"/>
      <c r="L3" s="528"/>
      <c r="M3" s="632" t="s">
        <v>1647</v>
      </c>
      <c r="N3" s="633"/>
      <c r="O3" s="634"/>
      <c r="P3" s="528"/>
      <c r="Q3" s="528"/>
      <c r="R3" s="528"/>
    </row>
    <row r="4" spans="1:36" ht="16.5" thickBot="1" x14ac:dyDescent="0.3">
      <c r="B4" s="599" t="s">
        <v>83</v>
      </c>
      <c r="C4" s="623"/>
      <c r="D4" s="239">
        <f>IF(AND(ISBLANK(D2),ISBLANK(D3)),,(DAYS360(D2,D3)+3)/7)</f>
        <v>7.8571428571428568</v>
      </c>
      <c r="E4" s="237" t="s">
        <v>90</v>
      </c>
      <c r="J4" s="537" t="s">
        <v>1785</v>
      </c>
      <c r="K4" s="630" t="s">
        <v>1645</v>
      </c>
      <c r="L4" s="631"/>
      <c r="M4" s="538" t="s">
        <v>1786</v>
      </c>
      <c r="N4" s="528"/>
      <c r="O4" s="528"/>
      <c r="P4" s="635" t="s">
        <v>1787</v>
      </c>
      <c r="Q4" s="636"/>
      <c r="R4" s="528"/>
    </row>
    <row r="5" spans="1:36" hidden="1" x14ac:dyDescent="0.25">
      <c r="B5" s="619" t="s">
        <v>95</v>
      </c>
      <c r="C5" s="626"/>
      <c r="D5" s="240">
        <f>NETWORKDAYS(D2,D3)</f>
        <v>40</v>
      </c>
      <c r="E5" s="238" t="s">
        <v>94</v>
      </c>
    </row>
    <row r="6" spans="1:36" ht="3.95" customHeight="1" x14ac:dyDescent="0.25">
      <c r="B6"/>
    </row>
    <row r="7" spans="1:36" ht="12.95" customHeight="1" x14ac:dyDescent="0.25">
      <c r="A7" s="131"/>
      <c r="B7" s="123"/>
      <c r="C7" s="124"/>
      <c r="D7" s="124"/>
      <c r="E7" s="124"/>
      <c r="F7" s="124"/>
      <c r="G7" s="363"/>
      <c r="H7" s="359"/>
      <c r="I7" s="358"/>
      <c r="J7" s="357">
        <v>1</v>
      </c>
      <c r="K7" s="108">
        <f>J7+1</f>
        <v>2</v>
      </c>
      <c r="L7" s="108">
        <f t="shared" ref="L7:AC7" si="0">K7+1</f>
        <v>3</v>
      </c>
      <c r="M7" s="108">
        <f t="shared" si="0"/>
        <v>4</v>
      </c>
      <c r="N7" s="108">
        <f t="shared" si="0"/>
        <v>5</v>
      </c>
      <c r="O7" s="108">
        <f t="shared" si="0"/>
        <v>6</v>
      </c>
      <c r="P7" s="108">
        <f t="shared" si="0"/>
        <v>7</v>
      </c>
      <c r="Q7" s="108">
        <f t="shared" si="0"/>
        <v>8</v>
      </c>
      <c r="R7" s="108">
        <f t="shared" si="0"/>
        <v>9</v>
      </c>
      <c r="S7" s="108">
        <f t="shared" si="0"/>
        <v>10</v>
      </c>
      <c r="T7" s="108">
        <f t="shared" si="0"/>
        <v>11</v>
      </c>
      <c r="U7" s="108">
        <f t="shared" si="0"/>
        <v>12</v>
      </c>
      <c r="V7" s="108">
        <f t="shared" si="0"/>
        <v>13</v>
      </c>
      <c r="W7" s="108">
        <f t="shared" si="0"/>
        <v>14</v>
      </c>
      <c r="X7" s="108">
        <f t="shared" si="0"/>
        <v>15</v>
      </c>
      <c r="Y7" s="108">
        <f t="shared" si="0"/>
        <v>16</v>
      </c>
      <c r="Z7" s="108">
        <f t="shared" si="0"/>
        <v>17</v>
      </c>
      <c r="AA7" s="108">
        <f t="shared" si="0"/>
        <v>18</v>
      </c>
      <c r="AB7" s="108">
        <f t="shared" si="0"/>
        <v>19</v>
      </c>
      <c r="AC7" s="108">
        <f t="shared" si="0"/>
        <v>20</v>
      </c>
      <c r="AD7" s="256"/>
      <c r="AE7" s="244"/>
      <c r="AF7" s="627" t="s">
        <v>811</v>
      </c>
      <c r="AG7" s="628"/>
      <c r="AH7" s="628"/>
      <c r="AI7" s="628"/>
      <c r="AJ7" s="629"/>
    </row>
    <row r="8" spans="1:36" ht="56.1" customHeight="1" x14ac:dyDescent="0.25">
      <c r="B8" s="241" t="s">
        <v>64</v>
      </c>
      <c r="C8" s="242" t="s">
        <v>84</v>
      </c>
      <c r="D8" s="242" t="s">
        <v>86</v>
      </c>
      <c r="E8" s="449" t="s">
        <v>87</v>
      </c>
      <c r="F8" s="449" t="s">
        <v>88</v>
      </c>
      <c r="G8" s="450" t="s">
        <v>1169</v>
      </c>
      <c r="H8" s="451" t="s">
        <v>28</v>
      </c>
      <c r="I8" s="452" t="s">
        <v>540</v>
      </c>
      <c r="J8" s="255">
        <f>D2</f>
        <v>42737</v>
      </c>
      <c r="K8" s="243">
        <f>J8+7</f>
        <v>42744</v>
      </c>
      <c r="L8" s="243">
        <f t="shared" ref="L8:AC8" si="1">K8+7</f>
        <v>42751</v>
      </c>
      <c r="M8" s="243">
        <f t="shared" si="1"/>
        <v>42758</v>
      </c>
      <c r="N8" s="243">
        <f t="shared" si="1"/>
        <v>42765</v>
      </c>
      <c r="O8" s="243">
        <f t="shared" si="1"/>
        <v>42772</v>
      </c>
      <c r="P8" s="243">
        <f t="shared" si="1"/>
        <v>42779</v>
      </c>
      <c r="Q8" s="243">
        <f t="shared" si="1"/>
        <v>42786</v>
      </c>
      <c r="R8" s="243">
        <f t="shared" si="1"/>
        <v>42793</v>
      </c>
      <c r="S8" s="243">
        <f t="shared" si="1"/>
        <v>42800</v>
      </c>
      <c r="T8" s="243">
        <f t="shared" si="1"/>
        <v>42807</v>
      </c>
      <c r="U8" s="243">
        <f t="shared" si="1"/>
        <v>42814</v>
      </c>
      <c r="V8" s="243">
        <f t="shared" si="1"/>
        <v>42821</v>
      </c>
      <c r="W8" s="243">
        <f t="shared" si="1"/>
        <v>42828</v>
      </c>
      <c r="X8" s="243">
        <f t="shared" si="1"/>
        <v>42835</v>
      </c>
      <c r="Y8" s="243">
        <f t="shared" si="1"/>
        <v>42842</v>
      </c>
      <c r="Z8" s="243">
        <f t="shared" si="1"/>
        <v>42849</v>
      </c>
      <c r="AA8" s="243">
        <f t="shared" si="1"/>
        <v>42856</v>
      </c>
      <c r="AB8" s="243">
        <f t="shared" si="1"/>
        <v>42863</v>
      </c>
      <c r="AC8" s="243">
        <f t="shared" si="1"/>
        <v>42870</v>
      </c>
      <c r="AD8" s="257" t="s">
        <v>828</v>
      </c>
      <c r="AE8" s="245" t="s">
        <v>827</v>
      </c>
      <c r="AF8" s="327" t="s">
        <v>825</v>
      </c>
      <c r="AG8" s="235" t="s">
        <v>812</v>
      </c>
      <c r="AH8" s="235" t="s">
        <v>826</v>
      </c>
      <c r="AI8" s="235" t="s">
        <v>813</v>
      </c>
      <c r="AJ8" s="236" t="s">
        <v>814</v>
      </c>
    </row>
    <row r="9" spans="1:36" hidden="1" x14ac:dyDescent="0.25">
      <c r="A9" s="25"/>
      <c r="B9" s="72"/>
      <c r="C9" s="98"/>
      <c r="D9" s="73"/>
      <c r="E9" s="92"/>
      <c r="F9" s="158"/>
      <c r="G9" s="446"/>
      <c r="H9" s="447"/>
      <c r="I9" s="448"/>
      <c r="J9" s="185"/>
      <c r="K9" s="186"/>
      <c r="L9" s="176"/>
      <c r="M9" s="177"/>
      <c r="N9" s="175"/>
      <c r="O9" s="186"/>
      <c r="P9" s="176"/>
      <c r="Q9" s="177"/>
      <c r="R9" s="175"/>
      <c r="S9" s="176"/>
      <c r="T9" s="186"/>
      <c r="U9" s="177"/>
      <c r="V9" s="186"/>
      <c r="W9" s="186"/>
      <c r="X9" s="186"/>
      <c r="Y9" s="186"/>
      <c r="Z9" s="186"/>
      <c r="AA9" s="186"/>
      <c r="AB9" s="186"/>
      <c r="AC9" s="487"/>
      <c r="AD9" s="182">
        <f t="shared" ref="AD9:AD21" ca="1" si="2">SUM(INDIRECT(ADDRESS(ROW(),CELL("col",staffing_column_before_weeks)+1) &amp; ":" &amp; ADDRESS(ROW(),CELL("col", staffing_column_after_weeks)-1)))*5</f>
        <v>0</v>
      </c>
      <c r="AE9" s="160">
        <f ca="1">IF(staffing_planned_net_work_days=0,0,AD9/staffing_planned_net_work_days)</f>
        <v>0</v>
      </c>
      <c r="AF9" s="331"/>
      <c r="AG9" s="165"/>
      <c r="AH9" s="166"/>
      <c r="AI9" s="167">
        <f ca="1">IF(OR(AG9="",AH9=""),0,PRODUCT(INDIRECT(ADDRESS(ROW(),CELL("col",staffing_column_Rate)+1) &amp; ":" &amp; ADDRESS(ROW(),CELL("col", staffing_column_HrsPerDay)-1)), INDIRECT(ADDRESS(ROW(),CELL("col",staffing_column_after_weeks)))))</f>
        <v>0</v>
      </c>
      <c r="AJ9" s="168"/>
    </row>
    <row r="10" spans="1:36" x14ac:dyDescent="0.25">
      <c r="A10" s="25"/>
      <c r="B10" s="215" t="s">
        <v>89</v>
      </c>
      <c r="C10" s="216"/>
      <c r="D10" s="217"/>
      <c r="E10" s="218"/>
      <c r="F10" s="219"/>
      <c r="G10" s="444"/>
      <c r="H10" s="445"/>
      <c r="I10" s="445"/>
      <c r="J10" s="217"/>
      <c r="K10" s="217"/>
      <c r="L10" s="217"/>
      <c r="M10" s="217"/>
      <c r="N10" s="313"/>
      <c r="O10" s="313"/>
      <c r="P10" s="313"/>
      <c r="Q10" s="313"/>
      <c r="R10" s="217"/>
      <c r="S10" s="217"/>
      <c r="T10" s="217"/>
      <c r="U10" s="217"/>
      <c r="V10" s="217"/>
      <c r="W10" s="217"/>
      <c r="X10" s="217"/>
      <c r="Y10" s="217"/>
      <c r="Z10" s="217"/>
      <c r="AA10" s="217"/>
      <c r="AB10" s="217"/>
      <c r="AC10" s="217"/>
      <c r="AD10" s="217"/>
      <c r="AE10" s="220"/>
      <c r="AF10" s="328"/>
      <c r="AG10" s="221"/>
      <c r="AH10" s="221"/>
      <c r="AI10" s="220"/>
      <c r="AJ10" s="220"/>
    </row>
    <row r="11" spans="1:36" ht="25.5" x14ac:dyDescent="0.25">
      <c r="A11" s="25"/>
      <c r="B11" s="488"/>
      <c r="C11" s="125" t="s">
        <v>92</v>
      </c>
      <c r="D11" s="144" t="s">
        <v>117</v>
      </c>
      <c r="E11" s="92" t="s">
        <v>295</v>
      </c>
      <c r="F11" s="158" t="s">
        <v>177</v>
      </c>
      <c r="G11" s="367" t="s">
        <v>1702</v>
      </c>
      <c r="H11" s="419" t="s">
        <v>17</v>
      </c>
      <c r="I11" s="420"/>
      <c r="J11" s="185">
        <v>1</v>
      </c>
      <c r="K11" s="186">
        <v>1</v>
      </c>
      <c r="L11" s="176">
        <v>1</v>
      </c>
      <c r="M11" s="177">
        <v>0.5</v>
      </c>
      <c r="N11" s="192">
        <v>0.5</v>
      </c>
      <c r="O11" s="192">
        <v>0.5</v>
      </c>
      <c r="P11" s="171">
        <v>0.5</v>
      </c>
      <c r="Q11" s="171">
        <v>0.5</v>
      </c>
      <c r="R11" s="175"/>
      <c r="S11" s="176"/>
      <c r="T11" s="186"/>
      <c r="U11" s="177"/>
      <c r="V11" s="186"/>
      <c r="W11" s="186"/>
      <c r="X11" s="186"/>
      <c r="Y11" s="186"/>
      <c r="Z11" s="186"/>
      <c r="AA11" s="186"/>
      <c r="AB11" s="186"/>
      <c r="AC11" s="186"/>
      <c r="AD11" s="315">
        <f t="shared" ca="1" si="2"/>
        <v>27.5</v>
      </c>
      <c r="AE11" s="213">
        <f t="shared" ref="AE11:AE21" ca="1" si="3">IF(staffing_planned_net_work_days=0,0,AD11/staffing_planned_net_work_days)</f>
        <v>0.6875</v>
      </c>
      <c r="AF11" s="197"/>
      <c r="AG11" s="165"/>
      <c r="AH11" s="166"/>
      <c r="AI11" s="214">
        <f t="shared" ref="AI11:AI21" ca="1" si="4">IF(OR(AG11="",AH11=""),0,PRODUCT(INDIRECT(ADDRESS(ROW(),CELL("col",staffing_column_Rate)+1) &amp; ":" &amp; ADDRESS(ROW(),CELL("col", staffing_column_HrsPerDay)-1)), INDIRECT(ADDRESS(ROW(),CELL("col",staffing_column_after_weeks)))))</f>
        <v>0</v>
      </c>
      <c r="AJ11" s="119"/>
    </row>
    <row r="12" spans="1:36" ht="25.5" x14ac:dyDescent="0.25">
      <c r="A12" s="25"/>
      <c r="B12" s="72"/>
      <c r="C12" s="125" t="s">
        <v>85</v>
      </c>
      <c r="D12" s="144" t="s">
        <v>133</v>
      </c>
      <c r="E12" s="92" t="s">
        <v>306</v>
      </c>
      <c r="F12" s="158" t="s">
        <v>729</v>
      </c>
      <c r="G12" s="367" t="s">
        <v>1702</v>
      </c>
      <c r="H12" s="419" t="s">
        <v>17</v>
      </c>
      <c r="I12" s="443"/>
      <c r="J12" s="185">
        <v>1</v>
      </c>
      <c r="K12" s="186"/>
      <c r="L12" s="176"/>
      <c r="M12" s="177">
        <v>0.5</v>
      </c>
      <c r="N12" s="192">
        <v>0.5</v>
      </c>
      <c r="O12" s="192">
        <v>0.5</v>
      </c>
      <c r="P12" s="171">
        <v>0.5</v>
      </c>
      <c r="Q12" s="171">
        <v>0.5</v>
      </c>
      <c r="R12" s="178"/>
      <c r="S12" s="179"/>
      <c r="T12" s="183"/>
      <c r="U12" s="180"/>
      <c r="V12" s="183"/>
      <c r="W12" s="183"/>
      <c r="X12" s="183"/>
      <c r="Y12" s="183"/>
      <c r="Z12" s="183"/>
      <c r="AA12" s="183"/>
      <c r="AB12" s="183"/>
      <c r="AC12" s="183"/>
      <c r="AD12" s="182">
        <f t="shared" ca="1" si="2"/>
        <v>17.5</v>
      </c>
      <c r="AE12" s="160">
        <f t="shared" ca="1" si="3"/>
        <v>0.4375</v>
      </c>
      <c r="AF12" s="168"/>
      <c r="AG12" s="165"/>
      <c r="AH12" s="166"/>
      <c r="AI12" s="167">
        <f t="shared" ca="1" si="4"/>
        <v>0</v>
      </c>
      <c r="AJ12" s="168"/>
    </row>
    <row r="13" spans="1:36" ht="25.5" x14ac:dyDescent="0.25">
      <c r="A13" s="25"/>
      <c r="B13" s="72"/>
      <c r="C13" s="125" t="s">
        <v>85</v>
      </c>
      <c r="D13" s="91" t="s">
        <v>133</v>
      </c>
      <c r="E13" s="92" t="s">
        <v>252</v>
      </c>
      <c r="F13" s="158" t="s">
        <v>642</v>
      </c>
      <c r="G13" s="441" t="s">
        <v>1702</v>
      </c>
      <c r="H13" s="442" t="s">
        <v>17</v>
      </c>
      <c r="I13" s="443"/>
      <c r="J13" s="185">
        <v>1</v>
      </c>
      <c r="K13" s="186">
        <v>1</v>
      </c>
      <c r="L13" s="176">
        <v>1</v>
      </c>
      <c r="M13" s="177">
        <v>1</v>
      </c>
      <c r="N13" s="192">
        <v>1</v>
      </c>
      <c r="O13" s="192">
        <v>1</v>
      </c>
      <c r="P13" s="171">
        <v>1</v>
      </c>
      <c r="Q13" s="171">
        <v>1</v>
      </c>
      <c r="R13" s="183"/>
      <c r="S13" s="179"/>
      <c r="T13" s="183"/>
      <c r="U13" s="180"/>
      <c r="V13" s="183"/>
      <c r="W13" s="183"/>
      <c r="X13" s="183"/>
      <c r="Y13" s="183"/>
      <c r="Z13" s="183"/>
      <c r="AA13" s="183"/>
      <c r="AB13" s="183"/>
      <c r="AC13" s="183"/>
      <c r="AD13" s="182">
        <f t="shared" ca="1" si="2"/>
        <v>40</v>
      </c>
      <c r="AE13" s="160">
        <f t="shared" ca="1" si="3"/>
        <v>1</v>
      </c>
      <c r="AF13" s="168"/>
      <c r="AG13" s="165"/>
      <c r="AH13" s="166"/>
      <c r="AI13" s="167">
        <f t="shared" ca="1" si="4"/>
        <v>0</v>
      </c>
      <c r="AJ13" s="168"/>
    </row>
    <row r="14" spans="1:36" ht="25.5" x14ac:dyDescent="0.25">
      <c r="A14" s="25"/>
      <c r="B14" s="314"/>
      <c r="C14" s="125" t="s">
        <v>85</v>
      </c>
      <c r="D14" s="91" t="s">
        <v>133</v>
      </c>
      <c r="E14" s="92" t="s">
        <v>231</v>
      </c>
      <c r="F14" s="158" t="s">
        <v>1086</v>
      </c>
      <c r="G14" s="441" t="s">
        <v>1702</v>
      </c>
      <c r="H14" s="442" t="s">
        <v>17</v>
      </c>
      <c r="I14" s="443"/>
      <c r="J14" s="185"/>
      <c r="K14" s="186">
        <v>0.1</v>
      </c>
      <c r="L14" s="176">
        <v>0.1</v>
      </c>
      <c r="M14" s="177">
        <v>0.1</v>
      </c>
      <c r="N14" s="192">
        <v>0.1</v>
      </c>
      <c r="O14" s="192">
        <v>0.1</v>
      </c>
      <c r="P14" s="171">
        <v>0.1</v>
      </c>
      <c r="Q14" s="171">
        <v>0.1</v>
      </c>
      <c r="R14" s="178"/>
      <c r="S14" s="179"/>
      <c r="T14" s="183"/>
      <c r="U14" s="180"/>
      <c r="V14" s="183"/>
      <c r="W14" s="183"/>
      <c r="X14" s="183"/>
      <c r="Y14" s="183"/>
      <c r="Z14" s="183"/>
      <c r="AA14" s="183"/>
      <c r="AB14" s="183"/>
      <c r="AC14" s="183"/>
      <c r="AD14" s="182">
        <f t="shared" ca="1" si="2"/>
        <v>3.5</v>
      </c>
      <c r="AE14" s="160">
        <f ca="1">IF(staffing_planned_net_work_days=0,0,AD14/staffing_planned_net_work_days)</f>
        <v>8.7499999999999994E-2</v>
      </c>
      <c r="AF14" s="168"/>
      <c r="AG14" s="165"/>
      <c r="AH14" s="166"/>
      <c r="AI14" s="167">
        <f ca="1">IF(OR(AG14="",AH14=""),0,PRODUCT(INDIRECT(ADDRESS(ROW(),CELL("col",staffing_column_Rate)+1) &amp; ":" &amp; ADDRESS(ROW(),CELL("col", staffing_column_HrsPerDay)-1)), INDIRECT(ADDRESS(ROW(),CELL("col",staffing_column_after_weeks)))))</f>
        <v>0</v>
      </c>
      <c r="AJ14" s="168"/>
    </row>
    <row r="15" spans="1:36" x14ac:dyDescent="0.25">
      <c r="A15" s="25"/>
      <c r="B15" s="68"/>
      <c r="C15" s="125" t="s">
        <v>85</v>
      </c>
      <c r="D15" s="144" t="s">
        <v>133</v>
      </c>
      <c r="E15" s="92" t="s">
        <v>255</v>
      </c>
      <c r="F15" s="569" t="s">
        <v>1003</v>
      </c>
      <c r="G15" s="441" t="s">
        <v>1702</v>
      </c>
      <c r="H15" s="442" t="s">
        <v>17</v>
      </c>
      <c r="I15" s="443"/>
      <c r="J15" s="185"/>
      <c r="K15" s="186"/>
      <c r="L15" s="176"/>
      <c r="M15" s="177"/>
      <c r="N15" s="192">
        <v>0.5</v>
      </c>
      <c r="O15" s="192">
        <v>0.5</v>
      </c>
      <c r="P15" s="171">
        <v>0.5</v>
      </c>
      <c r="Q15" s="171"/>
      <c r="R15" s="175"/>
      <c r="S15" s="183"/>
      <c r="T15" s="183"/>
      <c r="U15" s="180"/>
      <c r="V15" s="183"/>
      <c r="W15" s="183"/>
      <c r="X15" s="183"/>
      <c r="Y15" s="183"/>
      <c r="Z15" s="183"/>
      <c r="AA15" s="183"/>
      <c r="AB15" s="183"/>
      <c r="AC15" s="183"/>
      <c r="AD15" s="315">
        <f t="shared" ca="1" si="2"/>
        <v>7.5</v>
      </c>
      <c r="AE15" s="160">
        <f t="shared" ca="1" si="3"/>
        <v>0.1875</v>
      </c>
      <c r="AF15" s="168"/>
      <c r="AG15" s="165"/>
      <c r="AH15" s="166"/>
      <c r="AI15" s="167">
        <f t="shared" ca="1" si="4"/>
        <v>0</v>
      </c>
      <c r="AJ15" s="119"/>
    </row>
    <row r="16" spans="1:36" hidden="1" x14ac:dyDescent="0.25">
      <c r="A16" s="25"/>
      <c r="B16" s="115"/>
      <c r="C16" s="125"/>
      <c r="D16" s="91"/>
      <c r="E16" s="92"/>
      <c r="F16" s="158"/>
      <c r="G16" s="367"/>
      <c r="H16" s="419"/>
      <c r="I16" s="440"/>
      <c r="J16" s="185"/>
      <c r="K16" s="186"/>
      <c r="L16" s="176"/>
      <c r="M16" s="177"/>
      <c r="N16" s="192"/>
      <c r="O16" s="192"/>
      <c r="P16" s="171"/>
      <c r="Q16" s="171"/>
      <c r="R16" s="169"/>
      <c r="S16" s="174"/>
      <c r="T16" s="194"/>
      <c r="U16" s="193"/>
      <c r="V16" s="194"/>
      <c r="W16" s="194"/>
      <c r="X16" s="194"/>
      <c r="Y16" s="194"/>
      <c r="Z16" s="194"/>
      <c r="AA16" s="194"/>
      <c r="AB16" s="194"/>
      <c r="AC16" s="194"/>
      <c r="AD16" s="182">
        <f t="shared" ca="1" si="2"/>
        <v>0</v>
      </c>
      <c r="AE16" s="160">
        <f t="shared" ca="1" si="3"/>
        <v>0</v>
      </c>
      <c r="AF16" s="168"/>
      <c r="AG16" s="165"/>
      <c r="AH16" s="166"/>
      <c r="AI16" s="167">
        <f t="shared" ca="1" si="4"/>
        <v>0</v>
      </c>
      <c r="AJ16" s="168"/>
    </row>
    <row r="17" spans="1:36" hidden="1" x14ac:dyDescent="0.25">
      <c r="A17" s="25"/>
      <c r="B17" s="96"/>
      <c r="C17" s="125"/>
      <c r="D17" s="144"/>
      <c r="E17" s="92"/>
      <c r="F17" s="158"/>
      <c r="G17" s="367"/>
      <c r="H17" s="419"/>
      <c r="I17" s="443"/>
      <c r="J17" s="185"/>
      <c r="K17" s="186"/>
      <c r="L17" s="179"/>
      <c r="M17" s="177"/>
      <c r="N17" s="169"/>
      <c r="O17" s="194"/>
      <c r="P17" s="174"/>
      <c r="Q17" s="176"/>
      <c r="R17" s="178"/>
      <c r="S17" s="179"/>
      <c r="T17" s="183"/>
      <c r="U17" s="193"/>
      <c r="V17" s="183"/>
      <c r="W17" s="183"/>
      <c r="X17" s="183"/>
      <c r="Y17" s="183"/>
      <c r="Z17" s="183"/>
      <c r="AA17" s="183"/>
      <c r="AB17" s="183"/>
      <c r="AC17" s="183"/>
      <c r="AD17" s="182">
        <f t="shared" ca="1" si="2"/>
        <v>0</v>
      </c>
      <c r="AE17" s="160">
        <f t="shared" ca="1" si="3"/>
        <v>0</v>
      </c>
      <c r="AF17" s="168"/>
      <c r="AG17" s="165"/>
      <c r="AH17" s="166"/>
      <c r="AI17" s="167">
        <f t="shared" ca="1" si="4"/>
        <v>0</v>
      </c>
      <c r="AJ17" s="168"/>
    </row>
    <row r="18" spans="1:36" hidden="1" x14ac:dyDescent="0.25">
      <c r="A18" s="25"/>
      <c r="B18" s="96"/>
      <c r="C18" s="125"/>
      <c r="D18" s="91"/>
      <c r="E18" s="92"/>
      <c r="F18" s="158"/>
      <c r="G18" s="369"/>
      <c r="H18" s="421"/>
      <c r="I18" s="422"/>
      <c r="J18" s="185"/>
      <c r="K18" s="186"/>
      <c r="L18" s="176"/>
      <c r="M18" s="177"/>
      <c r="N18" s="175"/>
      <c r="O18" s="186"/>
      <c r="P18" s="176"/>
      <c r="Q18" s="177"/>
      <c r="R18" s="175"/>
      <c r="S18" s="176"/>
      <c r="T18" s="186"/>
      <c r="U18" s="177"/>
      <c r="V18" s="186"/>
      <c r="W18" s="186"/>
      <c r="X18" s="186"/>
      <c r="Y18" s="186"/>
      <c r="Z18" s="186"/>
      <c r="AA18" s="186"/>
      <c r="AB18" s="186"/>
      <c r="AC18" s="186"/>
      <c r="AD18" s="182">
        <f t="shared" ca="1" si="2"/>
        <v>0</v>
      </c>
      <c r="AE18" s="160">
        <f t="shared" ca="1" si="3"/>
        <v>0</v>
      </c>
      <c r="AF18" s="168"/>
      <c r="AG18" s="165"/>
      <c r="AH18" s="166"/>
      <c r="AI18" s="167">
        <f t="shared" ca="1" si="4"/>
        <v>0</v>
      </c>
      <c r="AJ18" s="114"/>
    </row>
    <row r="19" spans="1:36" hidden="1" x14ac:dyDescent="0.25">
      <c r="A19" s="25"/>
      <c r="B19" s="96"/>
      <c r="C19" s="125"/>
      <c r="D19" s="91"/>
      <c r="E19" s="92"/>
      <c r="F19" s="158"/>
      <c r="G19" s="369"/>
      <c r="H19" s="421"/>
      <c r="I19" s="422"/>
      <c r="J19" s="185"/>
      <c r="K19" s="186"/>
      <c r="L19" s="176"/>
      <c r="M19" s="193"/>
      <c r="N19" s="169"/>
      <c r="O19" s="194"/>
      <c r="P19" s="174"/>
      <c r="Q19" s="18"/>
      <c r="R19" s="169"/>
      <c r="S19" s="174"/>
      <c r="T19" s="194"/>
      <c r="U19" s="193"/>
      <c r="V19" s="194"/>
      <c r="W19" s="194"/>
      <c r="X19" s="194"/>
      <c r="Y19" s="194"/>
      <c r="Z19" s="194"/>
      <c r="AA19" s="194"/>
      <c r="AB19" s="194"/>
      <c r="AC19" s="194"/>
      <c r="AD19" s="182">
        <f t="shared" ca="1" si="2"/>
        <v>0</v>
      </c>
      <c r="AE19" s="160">
        <f t="shared" ca="1" si="3"/>
        <v>0</v>
      </c>
      <c r="AF19" s="168"/>
      <c r="AG19" s="165"/>
      <c r="AH19" s="166"/>
      <c r="AI19" s="167">
        <f t="shared" ca="1" si="4"/>
        <v>0</v>
      </c>
      <c r="AJ19" s="168"/>
    </row>
    <row r="20" spans="1:36" hidden="1" x14ac:dyDescent="0.25">
      <c r="A20" s="25"/>
      <c r="B20" s="96"/>
      <c r="C20" s="125"/>
      <c r="D20" s="91"/>
      <c r="E20" s="92"/>
      <c r="F20" s="158"/>
      <c r="G20" s="369"/>
      <c r="H20" s="421"/>
      <c r="I20" s="422"/>
      <c r="J20" s="185"/>
      <c r="K20" s="186"/>
      <c r="L20" s="176"/>
      <c r="M20" s="181"/>
      <c r="N20" s="183"/>
      <c r="O20" s="183"/>
      <c r="P20" s="179"/>
      <c r="Q20" s="180"/>
      <c r="R20" s="178"/>
      <c r="S20" s="179"/>
      <c r="T20" s="183"/>
      <c r="U20" s="193"/>
      <c r="V20" s="183"/>
      <c r="W20" s="183"/>
      <c r="X20" s="183"/>
      <c r="Y20" s="183"/>
      <c r="Z20" s="183"/>
      <c r="AA20" s="183"/>
      <c r="AB20" s="183"/>
      <c r="AC20" s="183"/>
      <c r="AD20" s="182">
        <f t="shared" ca="1" si="2"/>
        <v>0</v>
      </c>
      <c r="AE20" s="160">
        <f t="shared" ca="1" si="3"/>
        <v>0</v>
      </c>
      <c r="AF20" s="168"/>
      <c r="AG20" s="165"/>
      <c r="AH20" s="166"/>
      <c r="AI20" s="167">
        <f t="shared" ca="1" si="4"/>
        <v>0</v>
      </c>
      <c r="AJ20" s="168"/>
    </row>
    <row r="21" spans="1:36" hidden="1" x14ac:dyDescent="0.25">
      <c r="A21" s="25"/>
      <c r="B21" s="153"/>
      <c r="C21" s="154"/>
      <c r="D21" s="155"/>
      <c r="E21" s="156"/>
      <c r="F21" s="157"/>
      <c r="G21" s="370"/>
      <c r="H21" s="423"/>
      <c r="I21" s="424"/>
      <c r="J21" s="184"/>
      <c r="K21" s="190"/>
      <c r="L21" s="191"/>
      <c r="M21" s="18"/>
      <c r="N21" s="169"/>
      <c r="O21" s="194"/>
      <c r="P21" s="174"/>
      <c r="Q21" s="18"/>
      <c r="R21" s="169"/>
      <c r="S21" s="174"/>
      <c r="T21" s="194"/>
      <c r="U21" s="18"/>
      <c r="V21" s="194"/>
      <c r="W21" s="194"/>
      <c r="X21" s="194"/>
      <c r="Y21" s="194"/>
      <c r="Z21" s="194"/>
      <c r="AA21" s="194"/>
      <c r="AB21" s="194"/>
      <c r="AC21" s="194"/>
      <c r="AD21" s="316">
        <f t="shared" ca="1" si="2"/>
        <v>0</v>
      </c>
      <c r="AE21" s="159">
        <f t="shared" ca="1" si="3"/>
        <v>0</v>
      </c>
      <c r="AF21" s="203"/>
      <c r="AG21" s="163"/>
      <c r="AH21" s="161"/>
      <c r="AI21" s="164">
        <f t="shared" ca="1" si="4"/>
        <v>0</v>
      </c>
      <c r="AJ21" s="114"/>
    </row>
    <row r="22" spans="1:36" x14ac:dyDescent="0.25">
      <c r="B22" s="16" t="s">
        <v>96</v>
      </c>
      <c r="C22" s="40"/>
      <c r="D22" s="17"/>
      <c r="E22" s="47"/>
      <c r="F22" s="49"/>
      <c r="G22" s="364"/>
      <c r="H22" s="360"/>
      <c r="I22" s="354"/>
      <c r="J22" s="187">
        <f t="shared" ref="J22:AC22" ca="1" si="5">SUM(INDIRECT(ADDRESS(CELL("row", staffing_row_before_oversight)+1, COLUMN()) &amp; ":" &amp; ADDRESS(CELL("row", staffing_row_after_oversight)-1, COLUMN())))*5</f>
        <v>15</v>
      </c>
      <c r="K22" s="189">
        <f t="shared" ca="1" si="5"/>
        <v>10.5</v>
      </c>
      <c r="L22" s="189">
        <f t="shared" ca="1" si="5"/>
        <v>10.5</v>
      </c>
      <c r="M22" s="188">
        <f t="shared" ca="1" si="5"/>
        <v>10.5</v>
      </c>
      <c r="N22" s="172">
        <f t="shared" ca="1" si="5"/>
        <v>13</v>
      </c>
      <c r="O22" s="195">
        <f t="shared" ca="1" si="5"/>
        <v>13</v>
      </c>
      <c r="P22" s="173">
        <f t="shared" ca="1" si="5"/>
        <v>13</v>
      </c>
      <c r="Q22" s="170">
        <f t="shared" ca="1" si="5"/>
        <v>10.5</v>
      </c>
      <c r="R22" s="172">
        <f t="shared" ca="1" si="5"/>
        <v>0</v>
      </c>
      <c r="S22" s="173">
        <f t="shared" ca="1" si="5"/>
        <v>0</v>
      </c>
      <c r="T22" s="195">
        <f t="shared" ca="1" si="5"/>
        <v>0</v>
      </c>
      <c r="U22" s="170">
        <f t="shared" ca="1" si="5"/>
        <v>0</v>
      </c>
      <c r="V22" s="195">
        <f t="shared" ca="1" si="5"/>
        <v>0</v>
      </c>
      <c r="W22" s="195">
        <f t="shared" ca="1" si="5"/>
        <v>0</v>
      </c>
      <c r="X22" s="195">
        <f t="shared" ca="1" si="5"/>
        <v>0</v>
      </c>
      <c r="Y22" s="195">
        <f t="shared" ca="1" si="5"/>
        <v>0</v>
      </c>
      <c r="Z22" s="195">
        <f t="shared" ca="1" si="5"/>
        <v>0</v>
      </c>
      <c r="AA22" s="195">
        <f t="shared" ca="1" si="5"/>
        <v>0</v>
      </c>
      <c r="AB22" s="195">
        <f t="shared" ca="1" si="5"/>
        <v>0</v>
      </c>
      <c r="AC22" s="195">
        <f t="shared" ca="1" si="5"/>
        <v>0</v>
      </c>
      <c r="AD22" s="317">
        <f ca="1">SUM(INDIRECT(ADDRESS(ROW(),CELL("col",staffing_column_before_weeks)+1) &amp; ":" &amp; ADDRESS(ROW(),CELL("col", staffing_column_after_weeks)-1)))</f>
        <v>96</v>
      </c>
      <c r="AE22" s="205"/>
      <c r="AF22" s="329" t="s">
        <v>815</v>
      </c>
      <c r="AG22" s="187">
        <f ca="1">SUM(INDIRECT(ADDRESS(CELL("row", staffing_row_before_oversight)+1, COLUMN()) &amp; ":" &amp; ADDRESS(CELL("row", staffing_row_after_oversight)-1, COLUMN())))</f>
        <v>0</v>
      </c>
      <c r="AH22" s="206">
        <f ca="1">SUM(INDIRECT(ADDRESS(CELL("row", staffing_row_before_oversight)+1, COLUMN()) &amp; ":" &amp; ADDRESS(CELL("row", staffing_row_after_oversight)-1, COLUMN())))</f>
        <v>0</v>
      </c>
      <c r="AI22" s="43">
        <f ca="1">SUM(INDIRECT(ADDRESS(CELL("row", staffing_row_before_oversight)+1, COLUMN()) &amp; ":" &amp; ADDRESS(CELL("row", staffing_row_after_oversight)-1, COLUMN())))</f>
        <v>0</v>
      </c>
      <c r="AJ22" s="44"/>
    </row>
    <row r="23" spans="1:36" x14ac:dyDescent="0.25">
      <c r="B23" s="222" t="s">
        <v>97</v>
      </c>
      <c r="C23" s="223"/>
      <c r="D23" s="224"/>
      <c r="E23" s="225"/>
      <c r="F23" s="226"/>
      <c r="G23" s="365"/>
      <c r="H23" s="361"/>
      <c r="I23" s="355"/>
      <c r="J23" s="224"/>
      <c r="K23" s="224"/>
      <c r="L23" s="224"/>
      <c r="M23" s="224"/>
      <c r="N23" s="227"/>
      <c r="O23" s="224"/>
      <c r="P23" s="224"/>
      <c r="Q23" s="224"/>
      <c r="R23" s="224"/>
      <c r="S23" s="224"/>
      <c r="T23" s="227"/>
      <c r="U23" s="224"/>
      <c r="V23" s="227"/>
      <c r="W23" s="227"/>
      <c r="X23" s="227"/>
      <c r="Y23" s="227"/>
      <c r="Z23" s="227"/>
      <c r="AA23" s="227"/>
      <c r="AB23" s="227"/>
      <c r="AC23" s="227"/>
      <c r="AD23" s="224"/>
      <c r="AE23" s="228"/>
      <c r="AF23" s="330"/>
      <c r="AG23" s="229"/>
      <c r="AH23" s="229"/>
      <c r="AI23" s="228"/>
      <c r="AJ23" s="230"/>
    </row>
    <row r="24" spans="1:36" x14ac:dyDescent="0.25">
      <c r="A24" s="25"/>
      <c r="B24" s="96"/>
      <c r="C24" s="125"/>
      <c r="D24" s="144"/>
      <c r="E24" s="92"/>
      <c r="F24" s="158"/>
      <c r="G24" s="367"/>
      <c r="H24" s="419"/>
      <c r="I24" s="420"/>
      <c r="J24" s="526"/>
      <c r="K24" s="527"/>
      <c r="L24" s="527"/>
      <c r="M24" s="177"/>
      <c r="N24" s="175"/>
      <c r="O24" s="186"/>
      <c r="P24" s="186"/>
      <c r="Q24" s="177"/>
      <c r="R24" s="175"/>
      <c r="S24" s="186"/>
      <c r="T24" s="176"/>
      <c r="U24" s="177"/>
      <c r="V24" s="176"/>
      <c r="W24" s="176"/>
      <c r="X24" s="176"/>
      <c r="Y24" s="176"/>
      <c r="Z24" s="176"/>
      <c r="AA24" s="176"/>
      <c r="AB24" s="176"/>
      <c r="AC24" s="176"/>
      <c r="AD24" s="315">
        <f ca="1">SUM(INDIRECT(ADDRESS(ROW(),CELL("col",staffing_column_before_weeks)+1) &amp; ":" &amp; ADDRESS(ROW(),CELL("col", staffing_column_after_weeks)-1)))*5</f>
        <v>0</v>
      </c>
      <c r="AE24" s="213">
        <f ca="1">IF(staffing_planned_net_work_days=0,0,AD24/staffing_planned_net_work_days)</f>
        <v>0</v>
      </c>
      <c r="AF24" s="197"/>
      <c r="AG24" s="165"/>
      <c r="AH24" s="166"/>
      <c r="AI24" s="167">
        <f t="shared" ref="AI24:AI52" ca="1" si="6">IF(OR(AG24="",AH24=""),0,PRODUCT(INDIRECT(ADDRESS(ROW(),CELL("col",staffing_column_Rate)+1) &amp; ":" &amp; ADDRESS(ROW(),CELL("col", staffing_column_HrsPerDay)-1)), INDIRECT(ADDRESS(ROW(),CELL("col",staffing_column_after_weeks)))))</f>
        <v>0</v>
      </c>
      <c r="AJ24" s="119"/>
    </row>
    <row r="25" spans="1:36" ht="25.5" x14ac:dyDescent="0.25">
      <c r="A25" s="196"/>
      <c r="B25" s="96"/>
      <c r="C25" s="125" t="s">
        <v>93</v>
      </c>
      <c r="D25" s="144" t="s">
        <v>133</v>
      </c>
      <c r="E25" s="92" t="s">
        <v>306</v>
      </c>
      <c r="F25" s="158" t="s">
        <v>729</v>
      </c>
      <c r="G25" s="367" t="s">
        <v>1645</v>
      </c>
      <c r="H25" s="419" t="s">
        <v>1644</v>
      </c>
      <c r="I25" s="422"/>
      <c r="J25" s="526"/>
      <c r="K25" s="529">
        <v>1</v>
      </c>
      <c r="L25" s="529">
        <v>1</v>
      </c>
      <c r="M25" s="530"/>
      <c r="N25" s="531"/>
      <c r="O25" s="529"/>
      <c r="P25" s="529"/>
      <c r="Q25" s="530"/>
      <c r="R25" s="175"/>
      <c r="S25" s="186"/>
      <c r="T25" s="176"/>
      <c r="U25" s="177"/>
      <c r="V25" s="176"/>
      <c r="W25" s="176"/>
      <c r="X25" s="176"/>
      <c r="Y25" s="176"/>
      <c r="Z25" s="176"/>
      <c r="AA25" s="176"/>
      <c r="AB25" s="176"/>
      <c r="AC25" s="176"/>
      <c r="AD25" s="182">
        <f t="shared" ref="AD25:AD52" ca="1" si="7">SUM(INDIRECT(ADDRESS(ROW(),CELL("col",staffing_column_before_weeks)+1) &amp; ":" &amp; ADDRESS(ROW(),CELL("col", staffing_column_after_weeks)-1)))*5</f>
        <v>10</v>
      </c>
      <c r="AE25" s="320">
        <f ca="1">IF(staffing_planned_net_work_days=0,0,AD25/staffing_planned_net_work_days)</f>
        <v>0.25</v>
      </c>
      <c r="AF25" s="168"/>
      <c r="AG25" s="165"/>
      <c r="AH25" s="166"/>
      <c r="AI25" s="167">
        <f t="shared" ca="1" si="6"/>
        <v>0</v>
      </c>
      <c r="AJ25" s="119"/>
    </row>
    <row r="26" spans="1:36" s="485" customFormat="1" x14ac:dyDescent="0.25">
      <c r="A26" s="25"/>
      <c r="B26" s="68"/>
      <c r="C26" s="125" t="s">
        <v>93</v>
      </c>
      <c r="D26" s="144" t="s">
        <v>133</v>
      </c>
      <c r="E26" s="92" t="s">
        <v>255</v>
      </c>
      <c r="F26" s="158" t="s">
        <v>1003</v>
      </c>
      <c r="G26" s="367" t="s">
        <v>1645</v>
      </c>
      <c r="H26" s="419" t="s">
        <v>1644</v>
      </c>
      <c r="I26" s="422"/>
      <c r="J26" s="526"/>
      <c r="K26" s="529">
        <v>1</v>
      </c>
      <c r="L26" s="529">
        <v>1</v>
      </c>
      <c r="M26" s="533"/>
      <c r="N26" s="534"/>
      <c r="O26" s="532"/>
      <c r="P26" s="532"/>
      <c r="Q26" s="533">
        <v>1</v>
      </c>
      <c r="R26" s="178"/>
      <c r="S26" s="183"/>
      <c r="T26" s="179"/>
      <c r="U26" s="180"/>
      <c r="V26" s="179"/>
      <c r="W26" s="179"/>
      <c r="X26" s="179"/>
      <c r="Y26" s="179"/>
      <c r="Z26" s="179"/>
      <c r="AA26" s="179"/>
      <c r="AB26" s="179"/>
      <c r="AC26" s="179"/>
      <c r="AD26" s="182">
        <f t="shared" ca="1" si="7"/>
        <v>15</v>
      </c>
      <c r="AE26" s="320">
        <f t="shared" ref="AE26" ca="1" si="8">IF(staffing_planned_net_work_days=0,0,AD26/staffing_planned_net_work_days)</f>
        <v>0.375</v>
      </c>
      <c r="AF26" s="168"/>
      <c r="AG26" s="165"/>
      <c r="AH26" s="166"/>
      <c r="AI26" s="167">
        <f t="shared" ref="AI26" ca="1" si="9">IF(OR(AG26="",AH26=""),0,PRODUCT(INDIRECT(ADDRESS(ROW(),CELL("col",staffing_column_Rate)+1) &amp; ":" &amp; ADDRESS(ROW(),CELL("col", staffing_column_HrsPerDay)-1)), INDIRECT(ADDRESS(ROW(),CELL("col",staffing_column_after_weeks)))))</f>
        <v>0</v>
      </c>
      <c r="AJ26" s="119"/>
    </row>
    <row r="27" spans="1:36" ht="25.5" x14ac:dyDescent="0.25">
      <c r="A27" s="25"/>
      <c r="B27" s="68"/>
      <c r="C27" s="125" t="s">
        <v>92</v>
      </c>
      <c r="D27" s="144" t="s">
        <v>117</v>
      </c>
      <c r="E27" s="92" t="s">
        <v>290</v>
      </c>
      <c r="F27" s="158" t="s">
        <v>1059</v>
      </c>
      <c r="G27" s="367" t="s">
        <v>1645</v>
      </c>
      <c r="H27" s="419" t="s">
        <v>1691</v>
      </c>
      <c r="I27" s="422"/>
      <c r="J27" s="185"/>
      <c r="K27" s="532">
        <v>1</v>
      </c>
      <c r="L27" s="529">
        <v>1</v>
      </c>
      <c r="M27" s="529"/>
      <c r="N27" s="533"/>
      <c r="O27" s="534"/>
      <c r="P27" s="532"/>
      <c r="Q27" s="532"/>
      <c r="R27" s="178"/>
      <c r="S27" s="183"/>
      <c r="T27" s="179"/>
      <c r="U27" s="180"/>
      <c r="V27" s="179"/>
      <c r="W27" s="179"/>
      <c r="X27" s="179"/>
      <c r="Y27" s="179"/>
      <c r="Z27" s="179"/>
      <c r="AA27" s="179"/>
      <c r="AB27" s="179"/>
      <c r="AC27" s="179"/>
      <c r="AD27" s="182">
        <f t="shared" ca="1" si="7"/>
        <v>10</v>
      </c>
      <c r="AE27" s="320">
        <f t="shared" ref="AE27:AE45" ca="1" si="10">IF(staffing_planned_net_work_days=0,0,AD27/staffing_planned_net_work_days)</f>
        <v>0.25</v>
      </c>
      <c r="AF27" s="168"/>
      <c r="AG27" s="165"/>
      <c r="AH27" s="166"/>
      <c r="AI27" s="167">
        <f t="shared" ca="1" si="6"/>
        <v>0</v>
      </c>
      <c r="AJ27" s="119"/>
    </row>
    <row r="28" spans="1:36" s="485" customFormat="1" ht="25.5" x14ac:dyDescent="0.25">
      <c r="A28" s="130"/>
      <c r="B28" s="128"/>
      <c r="C28" s="125" t="s">
        <v>85</v>
      </c>
      <c r="D28" s="144" t="s">
        <v>133</v>
      </c>
      <c r="E28" s="74" t="s">
        <v>309</v>
      </c>
      <c r="F28" s="151" t="s">
        <v>186</v>
      </c>
      <c r="G28" s="367" t="s">
        <v>1645</v>
      </c>
      <c r="H28" s="421" t="s">
        <v>1658</v>
      </c>
      <c r="I28" s="422"/>
      <c r="J28" s="209"/>
      <c r="K28" s="532">
        <v>1</v>
      </c>
      <c r="L28" s="533">
        <v>1</v>
      </c>
      <c r="M28" s="533"/>
      <c r="N28" s="533"/>
      <c r="O28" s="533"/>
      <c r="P28" s="533"/>
      <c r="Q28" s="533"/>
      <c r="R28" s="178"/>
      <c r="S28" s="183"/>
      <c r="T28" s="179"/>
      <c r="U28" s="180"/>
      <c r="V28" s="179"/>
      <c r="W28" s="179"/>
      <c r="X28" s="179"/>
      <c r="Y28" s="179"/>
      <c r="Z28" s="179"/>
      <c r="AA28" s="179"/>
      <c r="AB28" s="179"/>
      <c r="AC28" s="179"/>
      <c r="AD28" s="182">
        <f t="shared" ca="1" si="7"/>
        <v>10</v>
      </c>
      <c r="AE28" s="320">
        <f t="shared" ca="1" si="10"/>
        <v>0.25</v>
      </c>
      <c r="AF28" s="168"/>
      <c r="AG28" s="202"/>
      <c r="AH28" s="166"/>
      <c r="AI28" s="167">
        <f t="shared" ca="1" si="6"/>
        <v>0</v>
      </c>
      <c r="AJ28" s="119"/>
    </row>
    <row r="29" spans="1:36" s="485" customFormat="1" ht="25.5" x14ac:dyDescent="0.25">
      <c r="A29" s="130"/>
      <c r="B29" s="127"/>
      <c r="C29" s="125" t="s">
        <v>85</v>
      </c>
      <c r="D29" s="144" t="s">
        <v>133</v>
      </c>
      <c r="E29" s="74" t="s">
        <v>370</v>
      </c>
      <c r="F29" s="151" t="s">
        <v>1413</v>
      </c>
      <c r="G29" s="367" t="s">
        <v>1645</v>
      </c>
      <c r="H29" s="421" t="s">
        <v>1672</v>
      </c>
      <c r="I29" s="422"/>
      <c r="J29" s="209"/>
      <c r="K29" s="532">
        <v>1</v>
      </c>
      <c r="L29" s="533">
        <v>1</v>
      </c>
      <c r="M29" s="533">
        <v>1</v>
      </c>
      <c r="N29" s="533"/>
      <c r="O29" s="531"/>
      <c r="P29" s="535"/>
      <c r="Q29" s="530"/>
      <c r="R29" s="175"/>
      <c r="S29" s="186"/>
      <c r="T29" s="176"/>
      <c r="U29" s="177"/>
      <c r="V29" s="176"/>
      <c r="W29" s="176"/>
      <c r="X29" s="176"/>
      <c r="Y29" s="176"/>
      <c r="Z29" s="176"/>
      <c r="AA29" s="176"/>
      <c r="AB29" s="176"/>
      <c r="AC29" s="176"/>
      <c r="AD29" s="208">
        <f t="shared" ca="1" si="7"/>
        <v>15</v>
      </c>
      <c r="AE29" s="321">
        <f t="shared" ca="1" si="10"/>
        <v>0.375</v>
      </c>
      <c r="AF29" s="203"/>
      <c r="AG29" s="202"/>
      <c r="AH29" s="166"/>
      <c r="AI29" s="167">
        <f t="shared" ca="1" si="6"/>
        <v>0</v>
      </c>
      <c r="AJ29" s="119"/>
    </row>
    <row r="30" spans="1:36" s="485" customFormat="1" x14ac:dyDescent="0.25">
      <c r="A30" s="130"/>
      <c r="B30" s="231"/>
      <c r="C30" s="150" t="s">
        <v>85</v>
      </c>
      <c r="D30" s="141" t="s">
        <v>133</v>
      </c>
      <c r="E30" s="70" t="s">
        <v>253</v>
      </c>
      <c r="F30" s="152" t="s">
        <v>1483</v>
      </c>
      <c r="G30" s="367" t="s">
        <v>1645</v>
      </c>
      <c r="H30" s="421" t="s">
        <v>1660</v>
      </c>
      <c r="I30" s="422"/>
      <c r="J30" s="209"/>
      <c r="K30" s="532">
        <v>1</v>
      </c>
      <c r="L30" s="533">
        <v>1</v>
      </c>
      <c r="M30" s="532">
        <v>1</v>
      </c>
      <c r="N30" s="533"/>
      <c r="O30" s="533"/>
      <c r="P30" s="562"/>
      <c r="Q30" s="533"/>
      <c r="R30" s="178"/>
      <c r="S30" s="183"/>
      <c r="T30" s="179"/>
      <c r="U30" s="180"/>
      <c r="V30" s="179"/>
      <c r="W30" s="179"/>
      <c r="X30" s="179"/>
      <c r="Y30" s="179"/>
      <c r="Z30" s="179"/>
      <c r="AA30" s="179"/>
      <c r="AB30" s="179"/>
      <c r="AC30" s="179"/>
      <c r="AD30" s="182">
        <f t="shared" ca="1" si="7"/>
        <v>15</v>
      </c>
      <c r="AE30" s="320">
        <f t="shared" ca="1" si="10"/>
        <v>0.375</v>
      </c>
      <c r="AF30" s="168"/>
      <c r="AG30" s="202"/>
      <c r="AH30" s="166"/>
      <c r="AI30" s="167">
        <f t="shared" ca="1" si="6"/>
        <v>0</v>
      </c>
      <c r="AJ30" s="119"/>
    </row>
    <row r="31" spans="1:36" s="485" customFormat="1" x14ac:dyDescent="0.25">
      <c r="A31" s="130"/>
      <c r="B31" s="127"/>
      <c r="C31" s="98" t="s">
        <v>85</v>
      </c>
      <c r="D31" s="140" t="s">
        <v>133</v>
      </c>
      <c r="E31" s="74" t="s">
        <v>181</v>
      </c>
      <c r="F31" s="151" t="s">
        <v>181</v>
      </c>
      <c r="G31" s="367" t="s">
        <v>1645</v>
      </c>
      <c r="H31" s="421" t="s">
        <v>1680</v>
      </c>
      <c r="I31" s="422"/>
      <c r="J31" s="209"/>
      <c r="K31" s="532">
        <v>1</v>
      </c>
      <c r="L31" s="533">
        <v>1</v>
      </c>
      <c r="M31" s="532">
        <v>1</v>
      </c>
      <c r="N31" s="533"/>
      <c r="O31" s="533"/>
      <c r="P31" s="563"/>
      <c r="Q31" s="530"/>
      <c r="R31" s="175"/>
      <c r="S31" s="186"/>
      <c r="T31" s="176"/>
      <c r="U31" s="177"/>
      <c r="V31" s="176"/>
      <c r="W31" s="176"/>
      <c r="X31" s="176"/>
      <c r="Y31" s="176"/>
      <c r="Z31" s="176"/>
      <c r="AA31" s="176"/>
      <c r="AB31" s="176"/>
      <c r="AC31" s="176"/>
      <c r="AD31" s="182">
        <f t="shared" ca="1" si="7"/>
        <v>15</v>
      </c>
      <c r="AE31" s="320">
        <f t="shared" ca="1" si="10"/>
        <v>0.375</v>
      </c>
      <c r="AF31" s="168"/>
      <c r="AG31" s="233"/>
      <c r="AH31" s="161"/>
      <c r="AI31" s="164">
        <f t="shared" ca="1" si="6"/>
        <v>0</v>
      </c>
      <c r="AJ31" s="114"/>
    </row>
    <row r="32" spans="1:36" s="485" customFormat="1" ht="25.5" x14ac:dyDescent="0.25">
      <c r="A32" s="130"/>
      <c r="B32" s="126"/>
      <c r="C32" s="125" t="s">
        <v>85</v>
      </c>
      <c r="D32" s="144" t="s">
        <v>133</v>
      </c>
      <c r="E32" s="92" t="s">
        <v>372</v>
      </c>
      <c r="F32" s="158" t="s">
        <v>926</v>
      </c>
      <c r="G32" s="367" t="s">
        <v>1645</v>
      </c>
      <c r="H32" s="421" t="s">
        <v>1681</v>
      </c>
      <c r="I32" s="422"/>
      <c r="J32" s="209"/>
      <c r="K32" s="532">
        <v>1</v>
      </c>
      <c r="L32" s="533">
        <v>1</v>
      </c>
      <c r="M32" s="532">
        <v>1</v>
      </c>
      <c r="N32" s="533"/>
      <c r="O32" s="533"/>
      <c r="P32" s="564"/>
      <c r="Q32" s="536"/>
      <c r="R32" s="169"/>
      <c r="S32" s="194"/>
      <c r="T32" s="174"/>
      <c r="U32" s="18"/>
      <c r="V32" s="174"/>
      <c r="W32" s="174"/>
      <c r="X32" s="174"/>
      <c r="Y32" s="174"/>
      <c r="Z32" s="174"/>
      <c r="AA32" s="174"/>
      <c r="AB32" s="174"/>
      <c r="AC32" s="174"/>
      <c r="AD32" s="182">
        <f t="shared" ca="1" si="7"/>
        <v>15</v>
      </c>
      <c r="AE32" s="322">
        <f t="shared" ca="1" si="10"/>
        <v>0.375</v>
      </c>
      <c r="AF32" s="197"/>
      <c r="AG32" s="200"/>
      <c r="AH32" s="199"/>
      <c r="AI32" s="198">
        <f t="shared" ca="1" si="6"/>
        <v>0</v>
      </c>
      <c r="AJ32" s="168"/>
    </row>
    <row r="33" spans="1:36" s="485" customFormat="1" x14ac:dyDescent="0.25">
      <c r="A33" s="25"/>
      <c r="B33" s="68"/>
      <c r="C33" s="125"/>
      <c r="D33" s="144"/>
      <c r="E33" s="92"/>
      <c r="F33" s="158"/>
      <c r="G33" s="367"/>
      <c r="H33" s="419"/>
      <c r="I33" s="422"/>
      <c r="J33" s="185"/>
      <c r="K33" s="532"/>
      <c r="L33" s="532"/>
      <c r="M33" s="529"/>
      <c r="N33" s="566"/>
      <c r="O33" s="567"/>
      <c r="P33" s="568"/>
      <c r="Q33" s="568"/>
      <c r="R33" s="178"/>
      <c r="S33" s="183"/>
      <c r="T33" s="179"/>
      <c r="U33" s="180"/>
      <c r="V33" s="179"/>
      <c r="W33" s="179"/>
      <c r="X33" s="179"/>
      <c r="Y33" s="179"/>
      <c r="Z33" s="179"/>
      <c r="AA33" s="179"/>
      <c r="AB33" s="179"/>
      <c r="AC33" s="179"/>
      <c r="AD33" s="182">
        <f t="shared" ca="1" si="7"/>
        <v>0</v>
      </c>
      <c r="AE33" s="320">
        <f t="shared" ref="AE33" ca="1" si="11">IF(staffing_planned_net_work_days=0,0,AD33/staffing_planned_net_work_days)</f>
        <v>0</v>
      </c>
      <c r="AF33" s="168"/>
      <c r="AG33" s="165"/>
      <c r="AH33" s="166"/>
      <c r="AI33" s="167">
        <f t="shared" ref="AI33" ca="1" si="12">IF(OR(AG33="",AH33=""),0,PRODUCT(INDIRECT(ADDRESS(ROW(),CELL("col",staffing_column_Rate)+1) &amp; ":" &amp; ADDRESS(ROW(),CELL("col", staffing_column_HrsPerDay)-1)), INDIRECT(ADDRESS(ROW(),CELL("col",staffing_column_after_weeks)))))</f>
        <v>0</v>
      </c>
      <c r="AJ33" s="119"/>
    </row>
    <row r="34" spans="1:36" x14ac:dyDescent="0.25">
      <c r="A34" s="130"/>
      <c r="B34" s="126"/>
      <c r="C34" s="125" t="s">
        <v>85</v>
      </c>
      <c r="D34" s="144" t="s">
        <v>133</v>
      </c>
      <c r="E34" s="92" t="s">
        <v>255</v>
      </c>
      <c r="F34" s="569" t="s">
        <v>1003</v>
      </c>
      <c r="G34" s="367" t="s">
        <v>1646</v>
      </c>
      <c r="H34" s="419" t="s">
        <v>1644</v>
      </c>
      <c r="I34" s="422"/>
      <c r="J34" s="209"/>
      <c r="K34" s="532"/>
      <c r="L34" s="532"/>
      <c r="M34" s="577">
        <v>1</v>
      </c>
      <c r="N34" s="566">
        <v>0.5</v>
      </c>
      <c r="O34" s="567">
        <v>0.5</v>
      </c>
      <c r="P34" s="568">
        <v>0.5</v>
      </c>
      <c r="Q34" s="568"/>
      <c r="R34" s="179"/>
      <c r="S34" s="183"/>
      <c r="T34" s="179"/>
      <c r="U34" s="180"/>
      <c r="V34" s="179"/>
      <c r="W34" s="179"/>
      <c r="X34" s="179"/>
      <c r="Y34" s="179"/>
      <c r="Z34" s="179"/>
      <c r="AA34" s="179"/>
      <c r="AB34" s="179"/>
      <c r="AC34" s="179"/>
      <c r="AD34" s="182">
        <f t="shared" ca="1" si="7"/>
        <v>12.5</v>
      </c>
      <c r="AE34" s="320">
        <f t="shared" ca="1" si="10"/>
        <v>0.3125</v>
      </c>
      <c r="AF34" s="168"/>
      <c r="AG34" s="165"/>
      <c r="AH34" s="166"/>
      <c r="AI34" s="167">
        <f t="shared" ca="1" si="6"/>
        <v>0</v>
      </c>
      <c r="AJ34" s="119"/>
    </row>
    <row r="35" spans="1:36" ht="25.5" x14ac:dyDescent="0.25">
      <c r="A35" s="130"/>
      <c r="B35" s="128"/>
      <c r="C35" s="125" t="s">
        <v>92</v>
      </c>
      <c r="D35" s="144" t="s">
        <v>117</v>
      </c>
      <c r="E35" s="92" t="s">
        <v>290</v>
      </c>
      <c r="F35" s="158" t="s">
        <v>1059</v>
      </c>
      <c r="G35" s="367" t="s">
        <v>1646</v>
      </c>
      <c r="H35" s="419" t="s">
        <v>1691</v>
      </c>
      <c r="I35" s="422"/>
      <c r="J35" s="209"/>
      <c r="K35" s="532"/>
      <c r="L35" s="532"/>
      <c r="M35" s="532">
        <v>1</v>
      </c>
      <c r="N35" s="530"/>
      <c r="O35" s="531"/>
      <c r="P35" s="531"/>
      <c r="Q35" s="529"/>
      <c r="R35" s="175"/>
      <c r="S35" s="186"/>
      <c r="T35" s="176"/>
      <c r="U35" s="177"/>
      <c r="V35" s="176"/>
      <c r="W35" s="176"/>
      <c r="X35" s="176"/>
      <c r="Y35" s="176"/>
      <c r="Z35" s="176"/>
      <c r="AA35" s="176"/>
      <c r="AB35" s="176"/>
      <c r="AC35" s="176"/>
      <c r="AD35" s="182">
        <f t="shared" ca="1" si="7"/>
        <v>5</v>
      </c>
      <c r="AE35" s="320">
        <f t="shared" ca="1" si="10"/>
        <v>0.125</v>
      </c>
      <c r="AF35" s="168"/>
      <c r="AG35" s="165"/>
      <c r="AH35" s="166"/>
      <c r="AI35" s="167">
        <f t="shared" ca="1" si="6"/>
        <v>0</v>
      </c>
      <c r="AJ35" s="119"/>
    </row>
    <row r="36" spans="1:36" s="485" customFormat="1" ht="25.5" x14ac:dyDescent="0.25">
      <c r="A36" s="130"/>
      <c r="B36" s="128"/>
      <c r="C36" s="125" t="s">
        <v>85</v>
      </c>
      <c r="D36" s="144" t="s">
        <v>133</v>
      </c>
      <c r="E36" s="74" t="s">
        <v>271</v>
      </c>
      <c r="F36" s="151" t="s">
        <v>707</v>
      </c>
      <c r="G36" s="368" t="s">
        <v>1647</v>
      </c>
      <c r="H36" s="421" t="s">
        <v>1644</v>
      </c>
      <c r="I36" s="422"/>
      <c r="J36" s="209"/>
      <c r="K36" s="532"/>
      <c r="L36" s="533">
        <v>1</v>
      </c>
      <c r="M36" s="533">
        <v>1</v>
      </c>
      <c r="N36" s="533">
        <v>1</v>
      </c>
      <c r="O36" s="533">
        <v>1</v>
      </c>
      <c r="P36" s="533"/>
      <c r="Q36" s="532"/>
      <c r="R36" s="175"/>
      <c r="S36" s="186"/>
      <c r="T36" s="176"/>
      <c r="U36" s="177"/>
      <c r="V36" s="176"/>
      <c r="W36" s="176"/>
      <c r="X36" s="176"/>
      <c r="Y36" s="176"/>
      <c r="Z36" s="176"/>
      <c r="AA36" s="176"/>
      <c r="AB36" s="176"/>
      <c r="AC36" s="176"/>
      <c r="AD36" s="182">
        <f t="shared" ca="1" si="7"/>
        <v>20</v>
      </c>
      <c r="AE36" s="320">
        <f t="shared" ref="AE36" ca="1" si="13">IF(staffing_planned_net_work_days=0,0,AD36/staffing_planned_net_work_days)</f>
        <v>0.5</v>
      </c>
      <c r="AF36" s="168"/>
      <c r="AG36" s="165"/>
      <c r="AH36" s="166"/>
      <c r="AI36" s="167">
        <f t="shared" ref="AI36" ca="1" si="14">IF(OR(AG36="",AH36=""),0,PRODUCT(INDIRECT(ADDRESS(ROW(),CELL("col",staffing_column_Rate)+1) &amp; ":" &amp; ADDRESS(ROW(),CELL("col", staffing_column_HrsPerDay)-1)), INDIRECT(ADDRESS(ROW(),CELL("col",staffing_column_after_weeks)))))</f>
        <v>0</v>
      </c>
      <c r="AJ36" s="119"/>
    </row>
    <row r="37" spans="1:36" ht="25.5" x14ac:dyDescent="0.25">
      <c r="A37" s="130"/>
      <c r="B37" s="128"/>
      <c r="C37" s="125" t="s">
        <v>85</v>
      </c>
      <c r="D37" s="144" t="s">
        <v>133</v>
      </c>
      <c r="E37" s="74" t="s">
        <v>271</v>
      </c>
      <c r="F37" s="151" t="s">
        <v>707</v>
      </c>
      <c r="G37" s="368" t="s">
        <v>1647</v>
      </c>
      <c r="H37" s="421" t="s">
        <v>1644</v>
      </c>
      <c r="I37" s="422"/>
      <c r="J37" s="185"/>
      <c r="K37" s="529"/>
      <c r="L37" s="533">
        <v>1</v>
      </c>
      <c r="M37" s="533">
        <v>1</v>
      </c>
      <c r="N37" s="533">
        <v>1</v>
      </c>
      <c r="O37" s="533">
        <v>1</v>
      </c>
      <c r="P37" s="533"/>
      <c r="Q37" s="530"/>
      <c r="R37" s="175"/>
      <c r="S37" s="186"/>
      <c r="T37" s="176"/>
      <c r="U37" s="177"/>
      <c r="V37" s="176"/>
      <c r="W37" s="176"/>
      <c r="X37" s="176"/>
      <c r="Y37" s="176"/>
      <c r="Z37" s="176"/>
      <c r="AA37" s="176"/>
      <c r="AB37" s="176"/>
      <c r="AC37" s="176"/>
      <c r="AD37" s="208">
        <f t="shared" ca="1" si="7"/>
        <v>20</v>
      </c>
      <c r="AE37" s="321">
        <f t="shared" ca="1" si="10"/>
        <v>0.5</v>
      </c>
      <c r="AF37" s="234"/>
      <c r="AG37" s="202"/>
      <c r="AH37" s="166"/>
      <c r="AI37" s="167">
        <f t="shared" ca="1" si="6"/>
        <v>0</v>
      </c>
      <c r="AJ37" s="119"/>
    </row>
    <row r="38" spans="1:36" ht="25.5" x14ac:dyDescent="0.25">
      <c r="A38" s="130"/>
      <c r="B38" s="127"/>
      <c r="C38" s="125" t="s">
        <v>85</v>
      </c>
      <c r="D38" s="144" t="s">
        <v>133</v>
      </c>
      <c r="E38" s="74" t="s">
        <v>271</v>
      </c>
      <c r="F38" s="151" t="s">
        <v>707</v>
      </c>
      <c r="G38" s="368" t="s">
        <v>1647</v>
      </c>
      <c r="H38" s="421" t="s">
        <v>1644</v>
      </c>
      <c r="I38" s="422"/>
      <c r="J38" s="209"/>
      <c r="K38" s="532"/>
      <c r="L38" s="533">
        <v>1</v>
      </c>
      <c r="M38" s="533">
        <v>1</v>
      </c>
      <c r="N38" s="533">
        <v>1</v>
      </c>
      <c r="O38" s="533">
        <v>1</v>
      </c>
      <c r="P38" s="575">
        <v>1</v>
      </c>
      <c r="Q38" s="530"/>
      <c r="R38" s="175"/>
      <c r="S38" s="186"/>
      <c r="T38" s="176"/>
      <c r="U38" s="177"/>
      <c r="V38" s="176"/>
      <c r="W38" s="176"/>
      <c r="X38" s="176"/>
      <c r="Y38" s="176"/>
      <c r="Z38" s="176"/>
      <c r="AA38" s="176"/>
      <c r="AB38" s="176"/>
      <c r="AC38" s="176"/>
      <c r="AD38" s="182">
        <f t="shared" ca="1" si="7"/>
        <v>25</v>
      </c>
      <c r="AE38" s="320">
        <f t="shared" ca="1" si="10"/>
        <v>0.625</v>
      </c>
      <c r="AF38" s="168"/>
      <c r="AG38" s="202"/>
      <c r="AH38" s="166"/>
      <c r="AI38" s="167">
        <f t="shared" ca="1" si="6"/>
        <v>0</v>
      </c>
      <c r="AJ38" s="119"/>
    </row>
    <row r="39" spans="1:36" ht="25.5" x14ac:dyDescent="0.25">
      <c r="A39" s="130"/>
      <c r="B39" s="126"/>
      <c r="C39" s="125" t="s">
        <v>85</v>
      </c>
      <c r="D39" s="144" t="s">
        <v>133</v>
      </c>
      <c r="E39" s="74" t="s">
        <v>271</v>
      </c>
      <c r="F39" s="151" t="s">
        <v>707</v>
      </c>
      <c r="G39" s="368" t="s">
        <v>1647</v>
      </c>
      <c r="H39" s="421" t="s">
        <v>1644</v>
      </c>
      <c r="I39" s="422"/>
      <c r="J39" s="209"/>
      <c r="K39" s="532"/>
      <c r="L39" s="533">
        <v>1</v>
      </c>
      <c r="M39" s="533">
        <v>1</v>
      </c>
      <c r="N39" s="533">
        <v>1</v>
      </c>
      <c r="O39" s="533">
        <v>1</v>
      </c>
      <c r="P39" s="575">
        <v>1</v>
      </c>
      <c r="Q39" s="533"/>
      <c r="R39" s="178"/>
      <c r="S39" s="183"/>
      <c r="T39" s="179"/>
      <c r="U39" s="180"/>
      <c r="V39" s="179"/>
      <c r="W39" s="179"/>
      <c r="X39" s="179"/>
      <c r="Y39" s="179"/>
      <c r="Z39" s="179"/>
      <c r="AA39" s="179"/>
      <c r="AB39" s="179"/>
      <c r="AC39" s="179"/>
      <c r="AD39" s="182">
        <f t="shared" ca="1" si="7"/>
        <v>25</v>
      </c>
      <c r="AE39" s="320">
        <f t="shared" ca="1" si="10"/>
        <v>0.625</v>
      </c>
      <c r="AF39" s="197"/>
      <c r="AG39" s="202"/>
      <c r="AH39" s="166"/>
      <c r="AI39" s="167">
        <f t="shared" ca="1" si="6"/>
        <v>0</v>
      </c>
      <c r="AJ39" s="119"/>
    </row>
    <row r="40" spans="1:36" ht="25.5" x14ac:dyDescent="0.25">
      <c r="A40" s="130"/>
      <c r="B40" s="128"/>
      <c r="C40" s="125" t="s">
        <v>85</v>
      </c>
      <c r="D40" s="144" t="s">
        <v>133</v>
      </c>
      <c r="E40" s="74" t="s">
        <v>271</v>
      </c>
      <c r="F40" s="151" t="s">
        <v>707</v>
      </c>
      <c r="G40" s="368" t="s">
        <v>1647</v>
      </c>
      <c r="H40" s="421" t="s">
        <v>1644</v>
      </c>
      <c r="I40" s="422"/>
      <c r="J40" s="209"/>
      <c r="K40" s="532"/>
      <c r="L40" s="533">
        <v>1</v>
      </c>
      <c r="M40" s="533">
        <v>1</v>
      </c>
      <c r="N40" s="533">
        <v>1</v>
      </c>
      <c r="O40" s="533">
        <v>1</v>
      </c>
      <c r="P40" s="575">
        <v>1</v>
      </c>
      <c r="Q40" s="530"/>
      <c r="R40" s="175"/>
      <c r="S40" s="186"/>
      <c r="T40" s="176"/>
      <c r="U40" s="177"/>
      <c r="V40" s="176"/>
      <c r="W40" s="176"/>
      <c r="X40" s="176"/>
      <c r="Y40" s="176"/>
      <c r="Z40" s="176"/>
      <c r="AA40" s="176"/>
      <c r="AB40" s="176"/>
      <c r="AC40" s="176"/>
      <c r="AD40" s="182">
        <f t="shared" ca="1" si="7"/>
        <v>25</v>
      </c>
      <c r="AE40" s="320">
        <f t="shared" ca="1" si="10"/>
        <v>0.625</v>
      </c>
      <c r="AF40" s="197"/>
      <c r="AG40" s="202"/>
      <c r="AH40" s="166"/>
      <c r="AI40" s="167">
        <f t="shared" ca="1" si="6"/>
        <v>0</v>
      </c>
      <c r="AJ40" s="119"/>
    </row>
    <row r="41" spans="1:36" ht="25.5" x14ac:dyDescent="0.25">
      <c r="A41" s="130"/>
      <c r="B41" s="128"/>
      <c r="C41" s="125" t="s">
        <v>85</v>
      </c>
      <c r="D41" s="144" t="s">
        <v>133</v>
      </c>
      <c r="E41" s="74" t="s">
        <v>309</v>
      </c>
      <c r="F41" s="151" t="s">
        <v>186</v>
      </c>
      <c r="G41" s="368" t="s">
        <v>1647</v>
      </c>
      <c r="H41" s="421" t="s">
        <v>1658</v>
      </c>
      <c r="I41" s="422"/>
      <c r="J41" s="209"/>
      <c r="K41" s="532"/>
      <c r="L41" s="533"/>
      <c r="M41" s="532">
        <v>1</v>
      </c>
      <c r="N41" s="533">
        <v>1</v>
      </c>
      <c r="O41" s="533">
        <v>1</v>
      </c>
      <c r="P41" s="533">
        <v>1</v>
      </c>
      <c r="Q41" s="533"/>
      <c r="R41" s="178"/>
      <c r="S41" s="183"/>
      <c r="T41" s="179"/>
      <c r="U41" s="180"/>
      <c r="V41" s="179"/>
      <c r="W41" s="179"/>
      <c r="X41" s="179"/>
      <c r="Y41" s="179"/>
      <c r="Z41" s="179"/>
      <c r="AA41" s="179"/>
      <c r="AB41" s="179"/>
      <c r="AC41" s="179"/>
      <c r="AD41" s="182">
        <f t="shared" ca="1" si="7"/>
        <v>20</v>
      </c>
      <c r="AE41" s="320">
        <f t="shared" ca="1" si="10"/>
        <v>0.5</v>
      </c>
      <c r="AF41" s="168"/>
      <c r="AG41" s="202"/>
      <c r="AH41" s="166"/>
      <c r="AI41" s="167">
        <f t="shared" ca="1" si="6"/>
        <v>0</v>
      </c>
      <c r="AJ41" s="119"/>
    </row>
    <row r="42" spans="1:36" ht="25.5" x14ac:dyDescent="0.25">
      <c r="A42" s="130"/>
      <c r="B42" s="127"/>
      <c r="C42" s="125" t="s">
        <v>85</v>
      </c>
      <c r="D42" s="144" t="s">
        <v>133</v>
      </c>
      <c r="E42" s="74" t="s">
        <v>370</v>
      </c>
      <c r="F42" s="151" t="s">
        <v>1413</v>
      </c>
      <c r="G42" s="368" t="s">
        <v>1647</v>
      </c>
      <c r="H42" s="421" t="s">
        <v>1672</v>
      </c>
      <c r="I42" s="422"/>
      <c r="J42" s="209"/>
      <c r="K42" s="532"/>
      <c r="L42" s="533"/>
      <c r="M42" s="533"/>
      <c r="N42" s="533">
        <v>1</v>
      </c>
      <c r="O42" s="531">
        <v>1</v>
      </c>
      <c r="P42" s="535">
        <v>1</v>
      </c>
      <c r="Q42" s="530">
        <v>1</v>
      </c>
      <c r="R42" s="175"/>
      <c r="S42" s="186"/>
      <c r="T42" s="176"/>
      <c r="U42" s="177"/>
      <c r="V42" s="176"/>
      <c r="W42" s="176"/>
      <c r="X42" s="176"/>
      <c r="Y42" s="176"/>
      <c r="Z42" s="176"/>
      <c r="AA42" s="176"/>
      <c r="AB42" s="176"/>
      <c r="AC42" s="176"/>
      <c r="AD42" s="208">
        <f t="shared" ca="1" si="7"/>
        <v>20</v>
      </c>
      <c r="AE42" s="321">
        <f t="shared" ca="1" si="10"/>
        <v>0.5</v>
      </c>
      <c r="AF42" s="203"/>
      <c r="AG42" s="202"/>
      <c r="AH42" s="166"/>
      <c r="AI42" s="167">
        <f t="shared" ca="1" si="6"/>
        <v>0</v>
      </c>
      <c r="AJ42" s="119"/>
    </row>
    <row r="43" spans="1:36" x14ac:dyDescent="0.25">
      <c r="A43" s="130"/>
      <c r="B43" s="231"/>
      <c r="C43" s="150" t="s">
        <v>85</v>
      </c>
      <c r="D43" s="141" t="s">
        <v>133</v>
      </c>
      <c r="E43" s="70" t="s">
        <v>253</v>
      </c>
      <c r="F43" s="152" t="s">
        <v>1483</v>
      </c>
      <c r="G43" s="371" t="s">
        <v>1647</v>
      </c>
      <c r="H43" s="421" t="s">
        <v>1660</v>
      </c>
      <c r="I43" s="422"/>
      <c r="J43" s="209"/>
      <c r="K43" s="532"/>
      <c r="L43" s="533"/>
      <c r="M43" s="532"/>
      <c r="N43" s="533">
        <v>1</v>
      </c>
      <c r="O43" s="533">
        <v>1</v>
      </c>
      <c r="P43" s="562">
        <v>1</v>
      </c>
      <c r="Q43" s="533"/>
      <c r="R43" s="178"/>
      <c r="S43" s="183"/>
      <c r="T43" s="179"/>
      <c r="U43" s="180"/>
      <c r="V43" s="179"/>
      <c r="W43" s="179"/>
      <c r="X43" s="179"/>
      <c r="Y43" s="179"/>
      <c r="Z43" s="179"/>
      <c r="AA43" s="179"/>
      <c r="AB43" s="179"/>
      <c r="AC43" s="179"/>
      <c r="AD43" s="182">
        <f t="shared" ca="1" si="7"/>
        <v>15</v>
      </c>
      <c r="AE43" s="320">
        <f t="shared" ca="1" si="10"/>
        <v>0.375</v>
      </c>
      <c r="AF43" s="168"/>
      <c r="AG43" s="202"/>
      <c r="AH43" s="166"/>
      <c r="AI43" s="167">
        <f t="shared" ca="1" si="6"/>
        <v>0</v>
      </c>
      <c r="AJ43" s="119"/>
    </row>
    <row r="44" spans="1:36" x14ac:dyDescent="0.25">
      <c r="A44" s="130"/>
      <c r="B44" s="127"/>
      <c r="C44" s="98" t="s">
        <v>85</v>
      </c>
      <c r="D44" s="140" t="s">
        <v>133</v>
      </c>
      <c r="E44" s="74" t="s">
        <v>181</v>
      </c>
      <c r="F44" s="151" t="s">
        <v>181</v>
      </c>
      <c r="G44" s="368" t="s">
        <v>1647</v>
      </c>
      <c r="H44" s="421" t="s">
        <v>1680</v>
      </c>
      <c r="I44" s="422"/>
      <c r="J44" s="209"/>
      <c r="K44" s="532"/>
      <c r="L44" s="533"/>
      <c r="M44" s="529"/>
      <c r="N44" s="533">
        <v>1</v>
      </c>
      <c r="O44" s="533">
        <v>1</v>
      </c>
      <c r="P44" s="563">
        <v>1</v>
      </c>
      <c r="Q44" s="530"/>
      <c r="R44" s="175"/>
      <c r="S44" s="186"/>
      <c r="T44" s="176"/>
      <c r="U44" s="177"/>
      <c r="V44" s="176"/>
      <c r="W44" s="176"/>
      <c r="X44" s="176"/>
      <c r="Y44" s="176"/>
      <c r="Z44" s="176"/>
      <c r="AA44" s="176"/>
      <c r="AB44" s="176"/>
      <c r="AC44" s="176"/>
      <c r="AD44" s="182">
        <f t="shared" ca="1" si="7"/>
        <v>15</v>
      </c>
      <c r="AE44" s="320">
        <f t="shared" ca="1" si="10"/>
        <v>0.375</v>
      </c>
      <c r="AF44" s="168"/>
      <c r="AG44" s="233"/>
      <c r="AH44" s="161"/>
      <c r="AI44" s="164">
        <f t="shared" ca="1" si="6"/>
        <v>0</v>
      </c>
      <c r="AJ44" s="114"/>
    </row>
    <row r="45" spans="1:36" ht="25.5" x14ac:dyDescent="0.25">
      <c r="A45" s="130"/>
      <c r="B45" s="126"/>
      <c r="C45" s="125" t="s">
        <v>85</v>
      </c>
      <c r="D45" s="144" t="s">
        <v>133</v>
      </c>
      <c r="E45" s="92" t="s">
        <v>372</v>
      </c>
      <c r="F45" s="158" t="s">
        <v>926</v>
      </c>
      <c r="G45" s="369" t="s">
        <v>1647</v>
      </c>
      <c r="H45" s="421" t="s">
        <v>1681</v>
      </c>
      <c r="I45" s="422"/>
      <c r="J45" s="209"/>
      <c r="K45" s="532"/>
      <c r="L45" s="533"/>
      <c r="M45" s="535"/>
      <c r="N45" s="533">
        <v>1</v>
      </c>
      <c r="O45" s="533">
        <v>1</v>
      </c>
      <c r="P45" s="564">
        <v>1</v>
      </c>
      <c r="Q45" s="536"/>
      <c r="R45" s="169"/>
      <c r="S45" s="194"/>
      <c r="T45" s="174"/>
      <c r="U45" s="18"/>
      <c r="V45" s="174"/>
      <c r="W45" s="174"/>
      <c r="X45" s="174"/>
      <c r="Y45" s="174"/>
      <c r="Z45" s="174"/>
      <c r="AA45" s="174"/>
      <c r="AB45" s="174"/>
      <c r="AC45" s="174"/>
      <c r="AD45" s="182">
        <f t="shared" ca="1" si="7"/>
        <v>15</v>
      </c>
      <c r="AE45" s="322">
        <f t="shared" ca="1" si="10"/>
        <v>0.375</v>
      </c>
      <c r="AF45" s="197"/>
      <c r="AG45" s="200"/>
      <c r="AH45" s="199"/>
      <c r="AI45" s="198">
        <f t="shared" ca="1" si="6"/>
        <v>0</v>
      </c>
      <c r="AJ45" s="168"/>
    </row>
    <row r="46" spans="1:36" x14ac:dyDescent="0.25">
      <c r="A46" s="130"/>
      <c r="B46" s="126"/>
      <c r="C46" s="98"/>
      <c r="D46" s="140"/>
      <c r="E46" s="74"/>
      <c r="F46" s="151"/>
      <c r="G46" s="368"/>
      <c r="H46" s="421"/>
      <c r="I46" s="422"/>
      <c r="J46" s="209"/>
      <c r="K46" s="532"/>
      <c r="L46" s="533"/>
      <c r="M46" s="180"/>
      <c r="N46" s="178"/>
      <c r="O46" s="183"/>
      <c r="P46" s="186"/>
      <c r="Q46" s="180"/>
      <c r="R46" s="178"/>
      <c r="S46" s="183"/>
      <c r="T46" s="179"/>
      <c r="U46" s="180"/>
      <c r="V46" s="179"/>
      <c r="W46" s="179"/>
      <c r="X46" s="179"/>
      <c r="Y46" s="179"/>
      <c r="Z46" s="179"/>
      <c r="AA46" s="179"/>
      <c r="AB46" s="179"/>
      <c r="AC46" s="179"/>
      <c r="AD46" s="315">
        <f t="shared" ca="1" si="7"/>
        <v>0</v>
      </c>
      <c r="AE46" s="204">
        <f t="shared" ref="AE46:AE52" ca="1" si="15">IF(staffing_planned_net_work_days=0,0,AD46/staffing_planned_net_work_days)</f>
        <v>0</v>
      </c>
      <c r="AF46" s="168"/>
      <c r="AG46" s="200"/>
      <c r="AH46" s="199"/>
      <c r="AI46" s="198">
        <f t="shared" ca="1" si="6"/>
        <v>0</v>
      </c>
      <c r="AJ46" s="168"/>
    </row>
    <row r="47" spans="1:36" ht="25.5" x14ac:dyDescent="0.25">
      <c r="A47" s="130"/>
      <c r="B47" s="128"/>
      <c r="C47" s="572" t="s">
        <v>85</v>
      </c>
      <c r="D47" s="144" t="s">
        <v>133</v>
      </c>
      <c r="E47" s="74" t="s">
        <v>271</v>
      </c>
      <c r="F47" s="151" t="s">
        <v>707</v>
      </c>
      <c r="G47" s="368" t="s">
        <v>1650</v>
      </c>
      <c r="H47" s="421" t="s">
        <v>1644</v>
      </c>
      <c r="I47" s="422"/>
      <c r="J47" s="209"/>
      <c r="K47" s="532"/>
      <c r="L47" s="533"/>
      <c r="M47" s="177"/>
      <c r="N47" s="175"/>
      <c r="O47" s="186"/>
      <c r="P47" s="576">
        <v>1</v>
      </c>
      <c r="Q47" s="177">
        <v>1</v>
      </c>
      <c r="R47" s="175"/>
      <c r="S47" s="186"/>
      <c r="T47" s="176"/>
      <c r="U47" s="177"/>
      <c r="V47" s="176"/>
      <c r="W47" s="176"/>
      <c r="X47" s="176"/>
      <c r="Y47" s="176"/>
      <c r="Z47" s="176"/>
      <c r="AA47" s="176"/>
      <c r="AB47" s="176"/>
      <c r="AC47" s="176"/>
      <c r="AD47" s="315">
        <f t="shared" ca="1" si="7"/>
        <v>10</v>
      </c>
      <c r="AE47" s="204">
        <f t="shared" ca="1" si="15"/>
        <v>0.25</v>
      </c>
      <c r="AF47" s="197"/>
      <c r="AG47" s="165"/>
      <c r="AH47" s="166"/>
      <c r="AI47" s="167">
        <f t="shared" ca="1" si="6"/>
        <v>0</v>
      </c>
      <c r="AJ47" s="197"/>
    </row>
    <row r="48" spans="1:36" ht="25.5" x14ac:dyDescent="0.25">
      <c r="A48" s="130"/>
      <c r="B48" s="128"/>
      <c r="C48" s="125" t="s">
        <v>85</v>
      </c>
      <c r="D48" s="144" t="s">
        <v>133</v>
      </c>
      <c r="E48" s="74" t="s">
        <v>271</v>
      </c>
      <c r="F48" s="151" t="s">
        <v>707</v>
      </c>
      <c r="G48" s="368" t="s">
        <v>1650</v>
      </c>
      <c r="H48" s="421" t="s">
        <v>1644</v>
      </c>
      <c r="I48" s="422"/>
      <c r="J48" s="185"/>
      <c r="K48" s="186"/>
      <c r="L48" s="186"/>
      <c r="M48" s="177"/>
      <c r="N48" s="175"/>
      <c r="O48" s="186"/>
      <c r="P48" s="576">
        <v>1</v>
      </c>
      <c r="Q48" s="177">
        <v>1</v>
      </c>
      <c r="R48" s="175"/>
      <c r="S48" s="186"/>
      <c r="T48" s="176"/>
      <c r="U48" s="177"/>
      <c r="V48" s="176"/>
      <c r="W48" s="176"/>
      <c r="X48" s="176"/>
      <c r="Y48" s="176"/>
      <c r="Z48" s="176"/>
      <c r="AA48" s="176"/>
      <c r="AB48" s="176"/>
      <c r="AC48" s="176"/>
      <c r="AD48" s="182">
        <f t="shared" ca="1" si="7"/>
        <v>10</v>
      </c>
      <c r="AE48" s="320">
        <f t="shared" ca="1" si="15"/>
        <v>0.25</v>
      </c>
      <c r="AF48" s="197"/>
      <c r="AG48" s="165"/>
      <c r="AH48" s="166"/>
      <c r="AI48" s="167">
        <f t="shared" ca="1" si="6"/>
        <v>0</v>
      </c>
      <c r="AJ48" s="119"/>
    </row>
    <row r="49" spans="1:36" x14ac:dyDescent="0.25">
      <c r="A49" s="130"/>
      <c r="B49" s="126"/>
      <c r="C49" s="98"/>
      <c r="D49" s="140"/>
      <c r="E49" s="74"/>
      <c r="F49" s="151"/>
      <c r="G49" s="368"/>
      <c r="H49" s="421"/>
      <c r="I49" s="422"/>
      <c r="J49" s="209"/>
      <c r="K49" s="183"/>
      <c r="L49" s="183"/>
      <c r="M49" s="180"/>
      <c r="N49" s="178"/>
      <c r="O49" s="183"/>
      <c r="P49" s="183"/>
      <c r="Q49" s="565"/>
      <c r="R49" s="178"/>
      <c r="S49" s="183"/>
      <c r="T49" s="179"/>
      <c r="U49" s="180"/>
      <c r="V49" s="179"/>
      <c r="W49" s="179"/>
      <c r="X49" s="179"/>
      <c r="Y49" s="179"/>
      <c r="Z49" s="179"/>
      <c r="AA49" s="179"/>
      <c r="AB49" s="179"/>
      <c r="AC49" s="179"/>
      <c r="AD49" s="182">
        <f t="shared" ca="1" si="7"/>
        <v>0</v>
      </c>
      <c r="AE49" s="320">
        <f t="shared" ca="1" si="15"/>
        <v>0</v>
      </c>
      <c r="AF49" s="168"/>
      <c r="AG49" s="200"/>
      <c r="AH49" s="199"/>
      <c r="AI49" s="198">
        <f t="shared" ca="1" si="6"/>
        <v>0</v>
      </c>
      <c r="AJ49" s="122"/>
    </row>
    <row r="50" spans="1:36" s="485" customFormat="1" ht="25.5" x14ac:dyDescent="0.25">
      <c r="A50" s="130"/>
      <c r="B50" s="128"/>
      <c r="C50" s="125" t="s">
        <v>85</v>
      </c>
      <c r="D50" s="144" t="s">
        <v>133</v>
      </c>
      <c r="E50" s="74" t="s">
        <v>309</v>
      </c>
      <c r="F50" s="151" t="s">
        <v>186</v>
      </c>
      <c r="G50" s="368" t="s">
        <v>1749</v>
      </c>
      <c r="H50" s="421" t="s">
        <v>1658</v>
      </c>
      <c r="I50" s="422"/>
      <c r="J50" s="185"/>
      <c r="K50" s="186">
        <v>1</v>
      </c>
      <c r="L50" s="186">
        <v>1</v>
      </c>
      <c r="M50" s="177"/>
      <c r="N50" s="175"/>
      <c r="O50" s="186"/>
      <c r="P50" s="487"/>
      <c r="Q50" s="487"/>
      <c r="R50" s="176"/>
      <c r="S50" s="186"/>
      <c r="T50" s="176"/>
      <c r="U50" s="177"/>
      <c r="V50" s="176"/>
      <c r="W50" s="176"/>
      <c r="X50" s="176"/>
      <c r="Y50" s="176"/>
      <c r="Z50" s="176"/>
      <c r="AA50" s="176"/>
      <c r="AB50" s="176"/>
      <c r="AC50" s="176"/>
      <c r="AD50" s="182">
        <f t="shared" ca="1" si="7"/>
        <v>10</v>
      </c>
      <c r="AE50" s="320">
        <f t="shared" ref="AE50" ca="1" si="16">IF(staffing_planned_net_work_days=0,0,AD50/staffing_planned_net_work_days)</f>
        <v>0.25</v>
      </c>
      <c r="AF50" s="168"/>
      <c r="AG50" s="200"/>
      <c r="AH50" s="199"/>
      <c r="AI50" s="198">
        <f t="shared" ref="AI50" ca="1" si="17">IF(OR(AG50="",AH50=""),0,PRODUCT(INDIRECT(ADDRESS(ROW(),CELL("col",staffing_column_Rate)+1) &amp; ":" &amp; ADDRESS(ROW(),CELL("col", staffing_column_HrsPerDay)-1)), INDIRECT(ADDRESS(ROW(),CELL("col",staffing_column_after_weeks)))))</f>
        <v>0</v>
      </c>
      <c r="AJ50" s="122"/>
    </row>
    <row r="51" spans="1:36" ht="25.5" x14ac:dyDescent="0.25">
      <c r="A51" s="130"/>
      <c r="B51" s="128"/>
      <c r="C51" s="125" t="s">
        <v>92</v>
      </c>
      <c r="D51" s="144" t="s">
        <v>117</v>
      </c>
      <c r="E51" s="92" t="s">
        <v>290</v>
      </c>
      <c r="F51" s="158" t="s">
        <v>1059</v>
      </c>
      <c r="G51" s="368" t="s">
        <v>1749</v>
      </c>
      <c r="H51" s="421" t="s">
        <v>1691</v>
      </c>
      <c r="I51" s="422"/>
      <c r="J51" s="185"/>
      <c r="K51" s="186"/>
      <c r="L51" s="186"/>
      <c r="M51" s="177"/>
      <c r="N51" s="175">
        <v>1</v>
      </c>
      <c r="O51" s="186">
        <v>1</v>
      </c>
      <c r="P51" s="186">
        <v>1</v>
      </c>
      <c r="Q51" s="177">
        <v>1</v>
      </c>
      <c r="R51" s="175"/>
      <c r="S51" s="186"/>
      <c r="T51" s="176"/>
      <c r="U51" s="177"/>
      <c r="V51" s="176"/>
      <c r="W51" s="176"/>
      <c r="X51" s="176"/>
      <c r="Y51" s="176"/>
      <c r="Z51" s="176"/>
      <c r="AA51" s="176"/>
      <c r="AB51" s="176"/>
      <c r="AC51" s="176"/>
      <c r="AD51" s="182">
        <f t="shared" ca="1" si="7"/>
        <v>20</v>
      </c>
      <c r="AE51" s="320">
        <f t="shared" ca="1" si="15"/>
        <v>0.5</v>
      </c>
      <c r="AF51" s="168"/>
      <c r="AG51" s="200"/>
      <c r="AH51" s="199"/>
      <c r="AI51" s="198">
        <f t="shared" ca="1" si="6"/>
        <v>0</v>
      </c>
      <c r="AJ51" s="122"/>
    </row>
    <row r="52" spans="1:36" x14ac:dyDescent="0.25">
      <c r="A52" s="130"/>
      <c r="B52" s="232"/>
      <c r="C52" s="211"/>
      <c r="D52" s="212"/>
      <c r="E52" s="156"/>
      <c r="F52" s="157"/>
      <c r="G52" s="370"/>
      <c r="H52" s="423"/>
      <c r="I52" s="424"/>
      <c r="J52" s="210"/>
      <c r="K52" s="194"/>
      <c r="L52" s="194"/>
      <c r="M52" s="18"/>
      <c r="N52" s="169"/>
      <c r="O52" s="194"/>
      <c r="P52" s="194"/>
      <c r="Q52" s="18"/>
      <c r="R52" s="169"/>
      <c r="S52" s="194"/>
      <c r="T52" s="174"/>
      <c r="U52" s="18"/>
      <c r="V52" s="174"/>
      <c r="W52" s="174"/>
      <c r="X52" s="174"/>
      <c r="Y52" s="174"/>
      <c r="Z52" s="174"/>
      <c r="AA52" s="174"/>
      <c r="AB52" s="174"/>
      <c r="AC52" s="174"/>
      <c r="AD52" s="207">
        <f t="shared" ca="1" si="7"/>
        <v>0</v>
      </c>
      <c r="AE52" s="321">
        <f t="shared" ca="1" si="15"/>
        <v>0</v>
      </c>
      <c r="AF52" s="203"/>
      <c r="AG52" s="162"/>
      <c r="AH52" s="161"/>
      <c r="AI52" s="164">
        <f t="shared" ca="1" si="6"/>
        <v>0</v>
      </c>
      <c r="AJ52" s="114"/>
    </row>
    <row r="53" spans="1:36" x14ac:dyDescent="0.25">
      <c r="B53" s="16" t="s">
        <v>98</v>
      </c>
      <c r="C53" s="40"/>
      <c r="D53" s="17"/>
      <c r="E53" s="49"/>
      <c r="F53" s="49"/>
      <c r="G53" s="364"/>
      <c r="H53" s="360"/>
      <c r="I53" s="354"/>
      <c r="J53" s="201">
        <f t="shared" ref="J53:AC53" ca="1" si="18">SUM(INDIRECT(ADDRESS(CELL("row", staffing_row_before_team)+1, COLUMN()) &amp; ":" &amp; ADDRESS(CELL("row", staffing_row_after_team)-1, COLUMN())))*5</f>
        <v>0</v>
      </c>
      <c r="K53" s="195">
        <f t="shared" ca="1" si="18"/>
        <v>45</v>
      </c>
      <c r="L53" s="195">
        <f t="shared" ca="1" si="18"/>
        <v>70</v>
      </c>
      <c r="M53" s="170">
        <f t="shared" ca="1" si="18"/>
        <v>60</v>
      </c>
      <c r="N53" s="172">
        <f t="shared" ca="1" si="18"/>
        <v>57.5</v>
      </c>
      <c r="O53" s="195">
        <f t="shared" ca="1" si="18"/>
        <v>57.5</v>
      </c>
      <c r="P53" s="195">
        <f t="shared" ca="1" si="18"/>
        <v>57.5</v>
      </c>
      <c r="Q53" s="170">
        <f t="shared" ca="1" si="18"/>
        <v>25</v>
      </c>
      <c r="R53" s="172">
        <f t="shared" ca="1" si="18"/>
        <v>0</v>
      </c>
      <c r="S53" s="195">
        <f t="shared" ca="1" si="18"/>
        <v>0</v>
      </c>
      <c r="T53" s="173">
        <f t="shared" ca="1" si="18"/>
        <v>0</v>
      </c>
      <c r="U53" s="170">
        <f t="shared" ca="1" si="18"/>
        <v>0</v>
      </c>
      <c r="V53" s="173">
        <f t="shared" ca="1" si="18"/>
        <v>0</v>
      </c>
      <c r="W53" s="173">
        <f t="shared" ca="1" si="18"/>
        <v>0</v>
      </c>
      <c r="X53" s="173">
        <f t="shared" ca="1" si="18"/>
        <v>0</v>
      </c>
      <c r="Y53" s="173">
        <f t="shared" ca="1" si="18"/>
        <v>0</v>
      </c>
      <c r="Z53" s="173">
        <f t="shared" ca="1" si="18"/>
        <v>0</v>
      </c>
      <c r="AA53" s="173">
        <f t="shared" ca="1" si="18"/>
        <v>0</v>
      </c>
      <c r="AB53" s="173">
        <f t="shared" ca="1" si="18"/>
        <v>0</v>
      </c>
      <c r="AC53" s="173">
        <f t="shared" ca="1" si="18"/>
        <v>0</v>
      </c>
      <c r="AD53" s="318">
        <f ca="1">SUM(INDIRECT(ADDRESS(ROW(),CELL("col",staffing_column_before_weeks)+1) &amp; ":" &amp; ADDRESS(ROW(),CELL("col", staffing_column_after_weeks)-1)))</f>
        <v>372.5</v>
      </c>
      <c r="AE53" s="323"/>
      <c r="AF53" s="325" t="s">
        <v>815</v>
      </c>
      <c r="AG53" s="201">
        <f ca="1">SUM(INDIRECT(ADDRESS(CELL("row", staffing_row_before_team)+1, COLUMN()) &amp; ":" &amp; ADDRESS(CELL("row", staffing_row_after_team)-1, COLUMN())))</f>
        <v>0</v>
      </c>
      <c r="AH53" s="170">
        <f ca="1">SUM(INDIRECT(ADDRESS(CELL("row", staffing_row_before_team)+1, COLUMN()) &amp; ":" &amp; ADDRESS(CELL("row", staffing_row_after_team)-1, COLUMN())))</f>
        <v>0</v>
      </c>
      <c r="AI53" s="43">
        <f ca="1">SUM(INDIRECT(ADDRESS(CELL("row", staffing_row_before_team)+1, COLUMN()) &amp; ":" &amp; ADDRESS(CELL("row", staffing_row_after_team)-1, COLUMN())))</f>
        <v>0</v>
      </c>
      <c r="AJ53" s="45"/>
    </row>
    <row r="54" spans="1:36" x14ac:dyDescent="0.25">
      <c r="B54" s="246" t="s">
        <v>99</v>
      </c>
      <c r="C54" s="247"/>
      <c r="D54" s="247"/>
      <c r="E54" s="247"/>
      <c r="F54" s="247"/>
      <c r="G54" s="366"/>
      <c r="H54" s="362"/>
      <c r="I54" s="356"/>
      <c r="J54" s="248">
        <f t="shared" ref="J54:AD54" ca="1" si="19">SUM(J22,J53)</f>
        <v>15</v>
      </c>
      <c r="K54" s="249">
        <f t="shared" ca="1" si="19"/>
        <v>55.5</v>
      </c>
      <c r="L54" s="249">
        <f t="shared" ca="1" si="19"/>
        <v>80.5</v>
      </c>
      <c r="M54" s="250">
        <f t="shared" ca="1" si="19"/>
        <v>70.5</v>
      </c>
      <c r="N54" s="251">
        <f t="shared" ca="1" si="19"/>
        <v>70.5</v>
      </c>
      <c r="O54" s="249">
        <f t="shared" ca="1" si="19"/>
        <v>70.5</v>
      </c>
      <c r="P54" s="249">
        <f t="shared" ca="1" si="19"/>
        <v>70.5</v>
      </c>
      <c r="Q54" s="250">
        <f t="shared" ca="1" si="19"/>
        <v>35.5</v>
      </c>
      <c r="R54" s="251">
        <f t="shared" ca="1" si="19"/>
        <v>0</v>
      </c>
      <c r="S54" s="249">
        <f t="shared" ca="1" si="19"/>
        <v>0</v>
      </c>
      <c r="T54" s="252">
        <f t="shared" ca="1" si="19"/>
        <v>0</v>
      </c>
      <c r="U54" s="250">
        <f t="shared" ca="1" si="19"/>
        <v>0</v>
      </c>
      <c r="V54" s="252">
        <f t="shared" ca="1" si="19"/>
        <v>0</v>
      </c>
      <c r="W54" s="252">
        <f t="shared" ca="1" si="19"/>
        <v>0</v>
      </c>
      <c r="X54" s="252">
        <f t="shared" ca="1" si="19"/>
        <v>0</v>
      </c>
      <c r="Y54" s="252">
        <f t="shared" ca="1" si="19"/>
        <v>0</v>
      </c>
      <c r="Z54" s="252">
        <f t="shared" ca="1" si="19"/>
        <v>0</v>
      </c>
      <c r="AA54" s="252">
        <f t="shared" ca="1" si="19"/>
        <v>0</v>
      </c>
      <c r="AB54" s="252">
        <f t="shared" ca="1" si="19"/>
        <v>0</v>
      </c>
      <c r="AC54" s="252">
        <f t="shared" ca="1" si="19"/>
        <v>0</v>
      </c>
      <c r="AD54" s="319">
        <f t="shared" ca="1" si="19"/>
        <v>468.5</v>
      </c>
      <c r="AE54" s="324"/>
      <c r="AF54" s="326" t="s">
        <v>816</v>
      </c>
      <c r="AG54" s="248">
        <f ca="1">SUM(AG22,AG53)</f>
        <v>0</v>
      </c>
      <c r="AH54" s="250">
        <f ca="1">SUM(AH22,AH53)</f>
        <v>0</v>
      </c>
      <c r="AI54" s="253">
        <f ca="1">IFERROR(SUM(AI22,AI53),0)</f>
        <v>0</v>
      </c>
      <c r="AJ54" s="254"/>
    </row>
  </sheetData>
  <dataConsolidate/>
  <mergeCells count="8">
    <mergeCell ref="B2:C2"/>
    <mergeCell ref="B3:C3"/>
    <mergeCell ref="B4:C4"/>
    <mergeCell ref="B5:C5"/>
    <mergeCell ref="AF7:AJ7"/>
    <mergeCell ref="K4:L4"/>
    <mergeCell ref="M3:O3"/>
    <mergeCell ref="P4:Q4"/>
  </mergeCells>
  <conditionalFormatting sqref="AD9 AD11:AD22 Q35:U35 AD37:AD49 J25:K25 M25:U25 V24:AD25 V34:AD35 J24:U24 J27 J48:U49 M27:AD27 J37:K37 Q37:U40 J51:U54 AD51:AD54 J34:M34 R34:U34 M46:U47 J11:U22 O41:U45">
    <cfRule type="expression" dxfId="247" priority="698">
      <formula>IF(AND(ISNUMBER(J$7),IF(MOD(J$7,4)=0,TRUE)),TRUE, FALSE)</formula>
    </cfRule>
    <cfRule type="containsBlanks" dxfId="246" priority="702">
      <formula>LEN(TRIM(J9))=0</formula>
    </cfRule>
  </conditionalFormatting>
  <conditionalFormatting sqref="AD25 AD37:AD49 AD34:AD35 AD27 AD51:AD52">
    <cfRule type="expression" dxfId="245" priority="695" stopIfTrue="1">
      <formula>IF(AND(ISNUMBER(AD$7),IF(MOD(AD$7,4)=0,TRUE)),TRUE, FALSE)</formula>
    </cfRule>
  </conditionalFormatting>
  <conditionalFormatting sqref="B12:B13 B15:B21 B37:B49 B24:B25 B34:B35 B27 B51:B52">
    <cfRule type="cellIs" dxfId="244" priority="574" operator="equal">
      <formula>"WE"</formula>
    </cfRule>
    <cfRule type="cellIs" dxfId="243" priority="575" operator="equal">
      <formula>"W"</formula>
    </cfRule>
    <cfRule type="cellIs" dxfId="242" priority="576" operator="equal">
      <formula>"E"</formula>
    </cfRule>
  </conditionalFormatting>
  <conditionalFormatting sqref="AI22">
    <cfRule type="expression" dxfId="241" priority="572">
      <formula>IF(AND(ISNUMBER(AI$7),IF(MOD(AI$7,4)=0,TRUE)),TRUE, FALSE)</formula>
    </cfRule>
    <cfRule type="containsBlanks" dxfId="240" priority="573">
      <formula>LEN(TRIM(AI22))=0</formula>
    </cfRule>
  </conditionalFormatting>
  <conditionalFormatting sqref="AI53">
    <cfRule type="expression" dxfId="239" priority="568">
      <formula>IF(AND(ISNUMBER(AI$7),IF(MOD(AI$7,4)=0,TRUE)),TRUE, FALSE)</formula>
    </cfRule>
    <cfRule type="containsBlanks" dxfId="238" priority="569">
      <formula>LEN(TRIM(AI53))=0</formula>
    </cfRule>
  </conditionalFormatting>
  <conditionalFormatting sqref="AG54:AH54">
    <cfRule type="expression" dxfId="237" priority="566">
      <formula>IF(AND(ISNUMBER(AG$7),IF(MOD(AG$7,4)=0,TRUE)),TRUE, FALSE)</formula>
    </cfRule>
    <cfRule type="containsBlanks" dxfId="236" priority="567">
      <formula>LEN(TRIM(AG54))=0</formula>
    </cfRule>
  </conditionalFormatting>
  <conditionalFormatting sqref="AG53:AH53">
    <cfRule type="expression" dxfId="235" priority="564">
      <formula>IF(AND(ISNUMBER(AG$7),IF(MOD(AG$7,4)=0,TRUE)),TRUE, FALSE)</formula>
    </cfRule>
    <cfRule type="containsBlanks" dxfId="234" priority="565">
      <formula>LEN(TRIM(AG53))=0</formula>
    </cfRule>
  </conditionalFormatting>
  <conditionalFormatting sqref="AG22">
    <cfRule type="expression" dxfId="233" priority="562">
      <formula>IF(AND(ISNUMBER(AG$7),IF(MOD(AG$7,4)=0,TRUE)),TRUE, FALSE)</formula>
    </cfRule>
    <cfRule type="containsBlanks" dxfId="232" priority="563">
      <formula>LEN(TRIM(AG22))=0</formula>
    </cfRule>
  </conditionalFormatting>
  <conditionalFormatting sqref="E2">
    <cfRule type="expression" dxfId="231" priority="555" stopIfTrue="1">
      <formula>WEEKDAY(D2)&lt;&gt;2</formula>
    </cfRule>
  </conditionalFormatting>
  <conditionalFormatting sqref="E3">
    <cfRule type="expression" dxfId="230" priority="556" stopIfTrue="1">
      <formula>WEEKDAY(D3)&lt;&gt;6</formula>
    </cfRule>
  </conditionalFormatting>
  <conditionalFormatting sqref="F18:F21">
    <cfRule type="cellIs" dxfId="229" priority="531" operator="equal">
      <formula>data_role_doesnt_exist_msg</formula>
    </cfRule>
    <cfRule type="expression" dxfId="228" priority="532">
      <formula>AND($E18&lt;&gt;data_blank_value, $F18=data_blank_value)</formula>
    </cfRule>
  </conditionalFormatting>
  <conditionalFormatting sqref="B9">
    <cfRule type="cellIs" dxfId="227" priority="524" operator="equal">
      <formula>"WE"</formula>
    </cfRule>
    <cfRule type="cellIs" dxfId="226" priority="525" operator="equal">
      <formula>"W"</formula>
    </cfRule>
    <cfRule type="cellIs" dxfId="225" priority="526" operator="equal">
      <formula>"E"</formula>
    </cfRule>
  </conditionalFormatting>
  <conditionalFormatting sqref="B14">
    <cfRule type="cellIs" dxfId="224" priority="517" operator="equal">
      <formula>"WE"</formula>
    </cfRule>
    <cfRule type="cellIs" dxfId="223" priority="518" operator="equal">
      <formula>"W"</formula>
    </cfRule>
    <cfRule type="cellIs" dxfId="222" priority="519" operator="equal">
      <formula>"E"</formula>
    </cfRule>
  </conditionalFormatting>
  <conditionalFormatting sqref="V11:Y22 V37:Y49 V51:Y54">
    <cfRule type="expression" dxfId="221" priority="497">
      <formula>IF(AND(ISNUMBER(V$7),IF(MOD(V$7,4)=0,TRUE)),TRUE, FALSE)</formula>
    </cfRule>
    <cfRule type="containsBlanks" dxfId="220" priority="498">
      <formula>LEN(TRIM(V11))=0</formula>
    </cfRule>
  </conditionalFormatting>
  <conditionalFormatting sqref="Z11:Z22 Z37:Z49 Z51:Z54">
    <cfRule type="expression" dxfId="219" priority="495">
      <formula>IF(AND(ISNUMBER(Z$7),IF(MOD(Z$7,4)=0,TRUE)),TRUE, FALSE)</formula>
    </cfRule>
    <cfRule type="containsBlanks" dxfId="218" priority="496">
      <formula>LEN(TRIM(Z11))=0</formula>
    </cfRule>
  </conditionalFormatting>
  <conditionalFormatting sqref="AA11:AA22 AA37:AA49 AA51:AA54">
    <cfRule type="expression" dxfId="217" priority="493">
      <formula>IF(AND(ISNUMBER(AA$7),IF(MOD(AA$7,4)=0,TRUE)),TRUE, FALSE)</formula>
    </cfRule>
    <cfRule type="containsBlanks" dxfId="216" priority="494">
      <formula>LEN(TRIM(AA11))=0</formula>
    </cfRule>
  </conditionalFormatting>
  <conditionalFormatting sqref="AB11:AB22 AB37:AB49 AB51:AB54">
    <cfRule type="expression" dxfId="215" priority="491">
      <formula>IF(AND(ISNUMBER(AB$7),IF(MOD(AB$7,4)=0,TRUE)),TRUE, FALSE)</formula>
    </cfRule>
    <cfRule type="containsBlanks" dxfId="214" priority="492">
      <formula>LEN(TRIM(AB11))=0</formula>
    </cfRule>
  </conditionalFormatting>
  <conditionalFormatting sqref="AC11:AC22 AC37:AC49 AC51:AC54">
    <cfRule type="expression" dxfId="213" priority="489">
      <formula>IF(AND(ISNUMBER(AC$7),IF(MOD(AC$7,4)=0,TRUE)),TRUE, FALSE)</formula>
    </cfRule>
    <cfRule type="containsBlanks" dxfId="212" priority="490">
      <formula>LEN(TRIM(AC11))=0</formula>
    </cfRule>
  </conditionalFormatting>
  <conditionalFormatting sqref="F46 F49 F52">
    <cfRule type="cellIs" dxfId="211" priority="529" operator="equal">
      <formula>data_role_doesnt_exist_msg</formula>
    </cfRule>
    <cfRule type="expression" dxfId="210" priority="530">
      <formula>AND($E46&lt;&gt;data_blank_value, $F46=data_blank_value)</formula>
    </cfRule>
  </conditionalFormatting>
  <conditionalFormatting sqref="F9">
    <cfRule type="cellIs" dxfId="209" priority="453" operator="equal">
      <formula>data_role_doesnt_exist_msg</formula>
    </cfRule>
    <cfRule type="expression" dxfId="208" priority="454">
      <formula>AND($E9&lt;&gt;data_blank_value, $F9=data_blank_value)</formula>
    </cfRule>
  </conditionalFormatting>
  <conditionalFormatting sqref="J9:U9">
    <cfRule type="expression" dxfId="207" priority="434">
      <formula>IF(AND(ISNUMBER(J$7),IF(MOD(J$7,4)=0,TRUE)),TRUE, FALSE)</formula>
    </cfRule>
    <cfRule type="containsBlanks" dxfId="206" priority="435">
      <formula>LEN(TRIM(J9))=0</formula>
    </cfRule>
  </conditionalFormatting>
  <conditionalFormatting sqref="V9:Y9">
    <cfRule type="expression" dxfId="205" priority="432">
      <formula>IF(AND(ISNUMBER(V$7),IF(MOD(V$7,4)=0,TRUE)),TRUE, FALSE)</formula>
    </cfRule>
    <cfRule type="containsBlanks" dxfId="204" priority="433">
      <formula>LEN(TRIM(V9))=0</formula>
    </cfRule>
  </conditionalFormatting>
  <conditionalFormatting sqref="Z9">
    <cfRule type="expression" dxfId="203" priority="430">
      <formula>IF(AND(ISNUMBER(Z$7),IF(MOD(Z$7,4)=0,TRUE)),TRUE, FALSE)</formula>
    </cfRule>
    <cfRule type="containsBlanks" dxfId="202" priority="431">
      <formula>LEN(TRIM(Z9))=0</formula>
    </cfRule>
  </conditionalFormatting>
  <conditionalFormatting sqref="AA9">
    <cfRule type="expression" dxfId="201" priority="428">
      <formula>IF(AND(ISNUMBER(AA$7),IF(MOD(AA$7,4)=0,TRUE)),TRUE, FALSE)</formula>
    </cfRule>
    <cfRule type="containsBlanks" dxfId="200" priority="429">
      <formula>LEN(TRIM(AA9))=0</formula>
    </cfRule>
  </conditionalFormatting>
  <conditionalFormatting sqref="AB9">
    <cfRule type="expression" dxfId="199" priority="426">
      <formula>IF(AND(ISNUMBER(AB$7),IF(MOD(AB$7,4)=0,TRUE)),TRUE, FALSE)</formula>
    </cfRule>
    <cfRule type="containsBlanks" dxfId="198" priority="427">
      <formula>LEN(TRIM(AB9))=0</formula>
    </cfRule>
  </conditionalFormatting>
  <conditionalFormatting sqref="AC9">
    <cfRule type="expression" dxfId="197" priority="424">
      <formula>IF(AND(ISNUMBER(AC$7),IF(MOD(AC$7,4)=0,TRUE)),TRUE, FALSE)</formula>
    </cfRule>
    <cfRule type="containsBlanks" dxfId="196" priority="425">
      <formula>LEN(TRIM(AC9))=0</formula>
    </cfRule>
  </conditionalFormatting>
  <conditionalFormatting sqref="F11">
    <cfRule type="cellIs" dxfId="195" priority="386" operator="equal">
      <formula>data_role_doesnt_exist_msg</formula>
    </cfRule>
    <cfRule type="expression" dxfId="194" priority="387">
      <formula>AND($E11&lt;&gt;data_blank_value, $F11=data_blank_value)</formula>
    </cfRule>
  </conditionalFormatting>
  <conditionalFormatting sqref="F24">
    <cfRule type="cellIs" dxfId="193" priority="384" operator="equal">
      <formula>data_role_doesnt_exist_msg</formula>
    </cfRule>
    <cfRule type="expression" dxfId="192" priority="385">
      <formula>AND($E24&lt;&gt;data_blank_value, $F24=data_blank_value)</formula>
    </cfRule>
  </conditionalFormatting>
  <conditionalFormatting sqref="F27">
    <cfRule type="cellIs" dxfId="191" priority="380" operator="equal">
      <formula>data_role_doesnt_exist_msg</formula>
    </cfRule>
    <cfRule type="expression" dxfId="190" priority="381">
      <formula>AND($E27&lt;&gt;data_blank_value, $F27=data_blank_value)</formula>
    </cfRule>
  </conditionalFormatting>
  <conditionalFormatting sqref="Q35 J35:O35">
    <cfRule type="expression" dxfId="189" priority="378">
      <formula>IF(AND(ISNUMBER(J$7),IF(MOD(J$7,4)=0,TRUE)),TRUE, FALSE)</formula>
    </cfRule>
    <cfRule type="containsBlanks" dxfId="188" priority="379">
      <formula>LEN(TRIM(J35))=0</formula>
    </cfRule>
  </conditionalFormatting>
  <conditionalFormatting sqref="L25">
    <cfRule type="expression" dxfId="187" priority="344">
      <formula>IF(AND(ISNUMBER(L$7),IF(MOD(L$7,4)=0,TRUE)),TRUE, FALSE)</formula>
    </cfRule>
    <cfRule type="containsBlanks" dxfId="186" priority="345">
      <formula>LEN(TRIM(L25))=0</formula>
    </cfRule>
  </conditionalFormatting>
  <conditionalFormatting sqref="O35">
    <cfRule type="expression" dxfId="185" priority="338">
      <formula>IF(AND(ISNUMBER(O$7),IF(MOD(O$7,4)=0,TRUE)),TRUE, FALSE)</formula>
    </cfRule>
    <cfRule type="containsBlanks" dxfId="184" priority="339">
      <formula>LEN(TRIM(O35))=0</formula>
    </cfRule>
  </conditionalFormatting>
  <conditionalFormatting sqref="AA36">
    <cfRule type="expression" dxfId="183" priority="299">
      <formula>IF(AND(ISNUMBER(AA$7),IF(MOD(AA$7,4)=0,TRUE)),TRUE, FALSE)</formula>
    </cfRule>
    <cfRule type="containsBlanks" dxfId="182" priority="300">
      <formula>LEN(TRIM(AA36))=0</formula>
    </cfRule>
  </conditionalFormatting>
  <conditionalFormatting sqref="J33:AD33">
    <cfRule type="expression" dxfId="181" priority="319">
      <formula>IF(AND(ISNUMBER(J$7),IF(MOD(J$7,4)=0,TRUE)),TRUE, FALSE)</formula>
    </cfRule>
    <cfRule type="containsBlanks" dxfId="180" priority="320">
      <formula>LEN(TRIM(J33))=0</formula>
    </cfRule>
  </conditionalFormatting>
  <conditionalFormatting sqref="AD33">
    <cfRule type="expression" dxfId="179" priority="318" stopIfTrue="1">
      <formula>IF(AND(ISNUMBER(AD$7),IF(MOD(AD$7,4)=0,TRUE)),TRUE, FALSE)</formula>
    </cfRule>
  </conditionalFormatting>
  <conditionalFormatting sqref="B33">
    <cfRule type="cellIs" dxfId="178" priority="315" operator="equal">
      <formula>"WE"</formula>
    </cfRule>
    <cfRule type="cellIs" dxfId="177" priority="316" operator="equal">
      <formula>"W"</formula>
    </cfRule>
    <cfRule type="cellIs" dxfId="176" priority="317" operator="equal">
      <formula>"E"</formula>
    </cfRule>
  </conditionalFormatting>
  <conditionalFormatting sqref="F33">
    <cfRule type="cellIs" dxfId="175" priority="313" operator="equal">
      <formula>data_role_doesnt_exist_msg</formula>
    </cfRule>
    <cfRule type="expression" dxfId="174" priority="314">
      <formula>AND($E33&lt;&gt;data_blank_value, $F33=data_blank_value)</formula>
    </cfRule>
  </conditionalFormatting>
  <conditionalFormatting sqref="F12">
    <cfRule type="cellIs" dxfId="173" priority="245" operator="equal">
      <formula>data_role_doesnt_exist_msg</formula>
    </cfRule>
    <cfRule type="expression" dxfId="172" priority="246">
      <formula>AND($E12&lt;&gt;data_blank_value, $F12=data_blank_value)</formula>
    </cfRule>
  </conditionalFormatting>
  <conditionalFormatting sqref="AD36 Q36:U36">
    <cfRule type="expression" dxfId="171" priority="309">
      <formula>IF(AND(ISNUMBER(Q$7),IF(MOD(Q$7,4)=0,TRUE)),TRUE, FALSE)</formula>
    </cfRule>
    <cfRule type="containsBlanks" dxfId="170" priority="310">
      <formula>LEN(TRIM(Q36))=0</formula>
    </cfRule>
  </conditionalFormatting>
  <conditionalFormatting sqref="AD36">
    <cfRule type="expression" dxfId="169" priority="308" stopIfTrue="1">
      <formula>IF(AND(ISNUMBER(AD$7),IF(MOD(AD$7,4)=0,TRUE)),TRUE, FALSE)</formula>
    </cfRule>
  </conditionalFormatting>
  <conditionalFormatting sqref="B36">
    <cfRule type="cellIs" dxfId="168" priority="305" operator="equal">
      <formula>"WE"</formula>
    </cfRule>
    <cfRule type="cellIs" dxfId="167" priority="306" operator="equal">
      <formula>"W"</formula>
    </cfRule>
    <cfRule type="cellIs" dxfId="166" priority="307" operator="equal">
      <formula>"E"</formula>
    </cfRule>
  </conditionalFormatting>
  <conditionalFormatting sqref="V36:Y36">
    <cfRule type="expression" dxfId="165" priority="303">
      <formula>IF(AND(ISNUMBER(V$7),IF(MOD(V$7,4)=0,TRUE)),TRUE, FALSE)</formula>
    </cfRule>
    <cfRule type="containsBlanks" dxfId="164" priority="304">
      <formula>LEN(TRIM(V36))=0</formula>
    </cfRule>
  </conditionalFormatting>
  <conditionalFormatting sqref="Z36">
    <cfRule type="expression" dxfId="163" priority="301">
      <formula>IF(AND(ISNUMBER(Z$7),IF(MOD(Z$7,4)=0,TRUE)),TRUE, FALSE)</formula>
    </cfRule>
    <cfRule type="containsBlanks" dxfId="162" priority="302">
      <formula>LEN(TRIM(Z36))=0</formula>
    </cfRule>
  </conditionalFormatting>
  <conditionalFormatting sqref="AB36">
    <cfRule type="expression" dxfId="161" priority="297">
      <formula>IF(AND(ISNUMBER(AB$7),IF(MOD(AB$7,4)=0,TRUE)),TRUE, FALSE)</formula>
    </cfRule>
    <cfRule type="containsBlanks" dxfId="160" priority="298">
      <formula>LEN(TRIM(AB36))=0</formula>
    </cfRule>
  </conditionalFormatting>
  <conditionalFormatting sqref="AC36">
    <cfRule type="expression" dxfId="159" priority="295">
      <formula>IF(AND(ISNUMBER(AC$7),IF(MOD(AC$7,4)=0,TRUE)),TRUE, FALSE)</formula>
    </cfRule>
    <cfRule type="containsBlanks" dxfId="158" priority="296">
      <formula>LEN(TRIM(AC36))=0</formula>
    </cfRule>
  </conditionalFormatting>
  <conditionalFormatting sqref="J36 Q36 N36:N45">
    <cfRule type="expression" dxfId="157" priority="293">
      <formula>IF(AND(ISNUMBER(J$7),IF(MOD(J$7,4)=0,TRUE)),TRUE, FALSE)</formula>
    </cfRule>
    <cfRule type="containsBlanks" dxfId="156" priority="294">
      <formula>LEN(TRIM(J36))=0</formula>
    </cfRule>
  </conditionalFormatting>
  <conditionalFormatting sqref="K36">
    <cfRule type="expression" dxfId="155" priority="287">
      <formula>IF(AND(ISNUMBER(K$7),IF(MOD(K$7,4)=0,TRUE)),TRUE, FALSE)</formula>
    </cfRule>
    <cfRule type="containsBlanks" dxfId="154" priority="288">
      <formula>LEN(TRIM(K36))=0</formula>
    </cfRule>
  </conditionalFormatting>
  <conditionalFormatting sqref="V50:Y50">
    <cfRule type="expression" dxfId="153" priority="215">
      <formula>IF(AND(ISNUMBER(V$7),IF(MOD(V$7,4)=0,TRUE)),TRUE, FALSE)</formula>
    </cfRule>
    <cfRule type="containsBlanks" dxfId="152" priority="216">
      <formula>LEN(TRIM(V50))=0</formula>
    </cfRule>
  </conditionalFormatting>
  <conditionalFormatting sqref="J26 M26:AD26">
    <cfRule type="expression" dxfId="151" priority="283">
      <formula>IF(AND(ISNUMBER(J$7),IF(MOD(J$7,4)=0,TRUE)),TRUE, FALSE)</formula>
    </cfRule>
    <cfRule type="containsBlanks" dxfId="150" priority="284">
      <formula>LEN(TRIM(J26))=0</formula>
    </cfRule>
  </conditionalFormatting>
  <conditionalFormatting sqref="AD26">
    <cfRule type="expression" dxfId="149" priority="282" stopIfTrue="1">
      <formula>IF(AND(ISNUMBER(AD$7),IF(MOD(AD$7,4)=0,TRUE)),TRUE, FALSE)</formula>
    </cfRule>
  </conditionalFormatting>
  <conditionalFormatting sqref="B26">
    <cfRule type="cellIs" dxfId="148" priority="279" operator="equal">
      <formula>"WE"</formula>
    </cfRule>
    <cfRule type="cellIs" dxfId="147" priority="280" operator="equal">
      <formula>"W"</formula>
    </cfRule>
    <cfRule type="cellIs" dxfId="146" priority="281" operator="equal">
      <formula>"E"</formula>
    </cfRule>
  </conditionalFormatting>
  <conditionalFormatting sqref="F26">
    <cfRule type="cellIs" dxfId="145" priority="277" operator="equal">
      <formula>data_role_doesnt_exist_msg</formula>
    </cfRule>
    <cfRule type="expression" dxfId="144" priority="278">
      <formula>AND($E26&lt;&gt;data_blank_value, $F26=data_blank_value)</formula>
    </cfRule>
  </conditionalFormatting>
  <conditionalFormatting sqref="K27:L27">
    <cfRule type="expression" dxfId="143" priority="253">
      <formula>IF(AND(ISNUMBER(K$7),IF(MOD(K$7,4)=0,TRUE)),TRUE, FALSE)</formula>
    </cfRule>
    <cfRule type="containsBlanks" dxfId="142" priority="254">
      <formula>LEN(TRIM(K27))=0</formula>
    </cfRule>
  </conditionalFormatting>
  <conditionalFormatting sqref="P35">
    <cfRule type="expression" dxfId="141" priority="265">
      <formula>IF(AND(ISNUMBER(P$7),IF(MOD(P$7,4)=0,TRUE)),TRUE, FALSE)</formula>
    </cfRule>
    <cfRule type="containsBlanks" dxfId="140" priority="266">
      <formula>LEN(TRIM(P35))=0</formula>
    </cfRule>
  </conditionalFormatting>
  <conditionalFormatting sqref="P35">
    <cfRule type="expression" dxfId="139" priority="263">
      <formula>IF(AND(ISNUMBER(P$7),IF(MOD(P$7,4)=0,TRUE)),TRUE, FALSE)</formula>
    </cfRule>
    <cfRule type="containsBlanks" dxfId="138" priority="264">
      <formula>LEN(TRIM(P35))=0</formula>
    </cfRule>
  </conditionalFormatting>
  <conditionalFormatting sqref="F16">
    <cfRule type="cellIs" dxfId="137" priority="259" operator="equal">
      <formula>data_role_doesnt_exist_msg</formula>
    </cfRule>
    <cfRule type="expression" dxfId="136" priority="260">
      <formula>AND($E16&lt;&gt;data_blank_value, $F16=data_blank_value)</formula>
    </cfRule>
  </conditionalFormatting>
  <conditionalFormatting sqref="F17">
    <cfRule type="cellIs" dxfId="135" priority="257" operator="equal">
      <formula>data_role_doesnt_exist_msg</formula>
    </cfRule>
    <cfRule type="expression" dxfId="134" priority="258">
      <formula>AND($E17&lt;&gt;data_blank_value, $F17=data_blank_value)</formula>
    </cfRule>
  </conditionalFormatting>
  <conditionalFormatting sqref="F25">
    <cfRule type="cellIs" dxfId="133" priority="255" operator="equal">
      <formula>data_role_doesnt_exist_msg</formula>
    </cfRule>
    <cfRule type="expression" dxfId="132" priority="256">
      <formula>AND($E25&lt;&gt;data_blank_value, $F25=data_blank_value)</formula>
    </cfRule>
  </conditionalFormatting>
  <conditionalFormatting sqref="F34">
    <cfRule type="cellIs" dxfId="131" priority="251" operator="equal">
      <formula>data_role_doesnt_exist_msg</formula>
    </cfRule>
    <cfRule type="expression" dxfId="130" priority="252">
      <formula>AND($E34&lt;&gt;data_blank_value, $F34=data_blank_value)</formula>
    </cfRule>
  </conditionalFormatting>
  <conditionalFormatting sqref="F35">
    <cfRule type="cellIs" dxfId="129" priority="249" operator="equal">
      <formula>data_role_doesnt_exist_msg</formula>
    </cfRule>
    <cfRule type="expression" dxfId="128" priority="250">
      <formula>AND($E35&lt;&gt;data_blank_value, $F35=data_blank_value)</formula>
    </cfRule>
  </conditionalFormatting>
  <conditionalFormatting sqref="F47:F48">
    <cfRule type="cellIs" dxfId="127" priority="227" operator="equal">
      <formula>data_role_doesnt_exist_msg</formula>
    </cfRule>
    <cfRule type="expression" dxfId="126" priority="228">
      <formula>AND($E47&lt;&gt;data_blank_value, $F47=data_blank_value)</formula>
    </cfRule>
  </conditionalFormatting>
  <conditionalFormatting sqref="F36:F40">
    <cfRule type="cellIs" dxfId="125" priority="243" operator="equal">
      <formula>data_role_doesnt_exist_msg</formula>
    </cfRule>
    <cfRule type="expression" dxfId="124" priority="244">
      <formula>AND($E36&lt;&gt;data_blank_value, $F36=data_blank_value)</formula>
    </cfRule>
  </conditionalFormatting>
  <conditionalFormatting sqref="M36:M40 M42">
    <cfRule type="expression" dxfId="123" priority="241">
      <formula>IF(AND(ISNUMBER(M$7),IF(MOD(M$7,4)=0,TRUE)),TRUE, FALSE)</formula>
    </cfRule>
    <cfRule type="containsBlanks" dxfId="122" priority="242">
      <formula>LEN(TRIM(M36))=0</formula>
    </cfRule>
  </conditionalFormatting>
  <conditionalFormatting sqref="L36:L37">
    <cfRule type="expression" dxfId="121" priority="239">
      <formula>IF(AND(ISNUMBER(L$7),IF(MOD(L$7,4)=0,TRUE)),TRUE, FALSE)</formula>
    </cfRule>
    <cfRule type="containsBlanks" dxfId="120" priority="240">
      <formula>LEN(TRIM(L36))=0</formula>
    </cfRule>
  </conditionalFormatting>
  <conditionalFormatting sqref="O36:O40">
    <cfRule type="expression" dxfId="119" priority="237">
      <formula>IF(AND(ISNUMBER(O$7),IF(MOD(O$7,4)=0,TRUE)),TRUE, FALSE)</formula>
    </cfRule>
    <cfRule type="containsBlanks" dxfId="118" priority="238">
      <formula>LEN(TRIM(O36))=0</formula>
    </cfRule>
  </conditionalFormatting>
  <conditionalFormatting sqref="P36:P40">
    <cfRule type="expression" dxfId="117" priority="235">
      <formula>IF(AND(ISNUMBER(P$7),IF(MOD(P$7,4)=0,TRUE)),TRUE, FALSE)</formula>
    </cfRule>
    <cfRule type="containsBlanks" dxfId="116" priority="236">
      <formula>LEN(TRIM(P36))=0</formula>
    </cfRule>
  </conditionalFormatting>
  <conditionalFormatting sqref="F43:F45">
    <cfRule type="cellIs" dxfId="115" priority="233" operator="equal">
      <formula>data_role_doesnt_exist_msg</formula>
    </cfRule>
    <cfRule type="expression" dxfId="114" priority="234">
      <formula>AND($E43&lt;&gt;data_blank_value, $F43=data_blank_value)</formula>
    </cfRule>
  </conditionalFormatting>
  <conditionalFormatting sqref="F41">
    <cfRule type="cellIs" dxfId="113" priority="231" operator="equal">
      <formula>data_role_doesnt_exist_msg</formula>
    </cfRule>
    <cfRule type="expression" dxfId="112" priority="232">
      <formula>AND($E41&lt;&gt;data_blank_value, $F41=data_blank_value)</formula>
    </cfRule>
  </conditionalFormatting>
  <conditionalFormatting sqref="F42">
    <cfRule type="cellIs" dxfId="111" priority="229" operator="equal">
      <formula>data_role_doesnt_exist_msg</formula>
    </cfRule>
    <cfRule type="expression" dxfId="110" priority="230">
      <formula>AND($E42&lt;&gt;data_blank_value, $F42=data_blank_value)</formula>
    </cfRule>
  </conditionalFormatting>
  <conditionalFormatting sqref="F13">
    <cfRule type="cellIs" dxfId="109" priority="223" operator="equal">
      <formula>data_role_doesnt_exist_msg</formula>
    </cfRule>
    <cfRule type="expression" dxfId="108" priority="224">
      <formula>AND($E13&lt;&gt;data_blank_value, $F13=data_blank_value)</formula>
    </cfRule>
  </conditionalFormatting>
  <conditionalFormatting sqref="F50">
    <cfRule type="cellIs" dxfId="107" priority="199" operator="equal">
      <formula>data_role_doesnt_exist_msg</formula>
    </cfRule>
    <cfRule type="expression" dxfId="106" priority="200">
      <formula>AND($E50&lt;&gt;data_blank_value, $F50=data_blank_value)</formula>
    </cfRule>
  </conditionalFormatting>
  <conditionalFormatting sqref="AD50 J50:U50">
    <cfRule type="expression" dxfId="105" priority="221">
      <formula>IF(AND(ISNUMBER(J$7),IF(MOD(J$7,4)=0,TRUE)),TRUE, FALSE)</formula>
    </cfRule>
    <cfRule type="containsBlanks" dxfId="104" priority="222">
      <formula>LEN(TRIM(J50))=0</formula>
    </cfRule>
  </conditionalFormatting>
  <conditionalFormatting sqref="AD50">
    <cfRule type="expression" dxfId="103" priority="220" stopIfTrue="1">
      <formula>IF(AND(ISNUMBER(AD$7),IF(MOD(AD$7,4)=0,TRUE)),TRUE, FALSE)</formula>
    </cfRule>
  </conditionalFormatting>
  <conditionalFormatting sqref="B50">
    <cfRule type="cellIs" dxfId="102" priority="217" operator="equal">
      <formula>"WE"</formula>
    </cfRule>
    <cfRule type="cellIs" dxfId="101" priority="218" operator="equal">
      <formula>"W"</formula>
    </cfRule>
    <cfRule type="cellIs" dxfId="100" priority="219" operator="equal">
      <formula>"E"</formula>
    </cfRule>
  </conditionalFormatting>
  <conditionalFormatting sqref="Z50">
    <cfRule type="expression" dxfId="99" priority="213">
      <formula>IF(AND(ISNUMBER(Z$7),IF(MOD(Z$7,4)=0,TRUE)),TRUE, FALSE)</formula>
    </cfRule>
    <cfRule type="containsBlanks" dxfId="98" priority="214">
      <formula>LEN(TRIM(Z50))=0</formula>
    </cfRule>
  </conditionalFormatting>
  <conditionalFormatting sqref="AA50">
    <cfRule type="expression" dxfId="97" priority="211">
      <formula>IF(AND(ISNUMBER(AA$7),IF(MOD(AA$7,4)=0,TRUE)),TRUE, FALSE)</formula>
    </cfRule>
    <cfRule type="containsBlanks" dxfId="96" priority="212">
      <formula>LEN(TRIM(AA50))=0</formula>
    </cfRule>
  </conditionalFormatting>
  <conditionalFormatting sqref="AB50">
    <cfRule type="expression" dxfId="95" priority="209">
      <formula>IF(AND(ISNUMBER(AB$7),IF(MOD(AB$7,4)=0,TRUE)),TRUE, FALSE)</formula>
    </cfRule>
    <cfRule type="containsBlanks" dxfId="94" priority="210">
      <formula>LEN(TRIM(AB50))=0</formula>
    </cfRule>
  </conditionalFormatting>
  <conditionalFormatting sqref="AC50">
    <cfRule type="expression" dxfId="93" priority="207">
      <formula>IF(AND(ISNUMBER(AC$7),IF(MOD(AC$7,4)=0,TRUE)),TRUE, FALSE)</formula>
    </cfRule>
    <cfRule type="containsBlanks" dxfId="92" priority="208">
      <formula>LEN(TRIM(AC50))=0</formula>
    </cfRule>
  </conditionalFormatting>
  <conditionalFormatting sqref="F51">
    <cfRule type="cellIs" dxfId="91" priority="203" operator="equal">
      <formula>data_role_doesnt_exist_msg</formula>
    </cfRule>
    <cfRule type="expression" dxfId="90" priority="204">
      <formula>AND($E51&lt;&gt;data_blank_value, $F51=data_blank_value)</formula>
    </cfRule>
  </conditionalFormatting>
  <conditionalFormatting sqref="F14">
    <cfRule type="cellIs" dxfId="89" priority="201" operator="equal">
      <formula>data_role_doesnt_exist_msg</formula>
    </cfRule>
    <cfRule type="expression" dxfId="88" priority="202">
      <formula>AND($E14&lt;&gt;data_blank_value, $F14=data_blank_value)</formula>
    </cfRule>
  </conditionalFormatting>
  <conditionalFormatting sqref="F15">
    <cfRule type="cellIs" dxfId="87" priority="197" operator="equal">
      <formula>data_role_doesnt_exist_msg</formula>
    </cfRule>
    <cfRule type="expression" dxfId="86" priority="198">
      <formula>AND($E15&lt;&gt;data_blank_value, $F15=data_blank_value)</formula>
    </cfRule>
  </conditionalFormatting>
  <conditionalFormatting sqref="O43:O45">
    <cfRule type="expression" dxfId="85" priority="195">
      <formula>IF(AND(ISNUMBER(O$7),IF(MOD(O$7,4)=0,TRUE)),TRUE, FALSE)</formula>
    </cfRule>
    <cfRule type="containsBlanks" dxfId="84" priority="196">
      <formula>LEN(TRIM(O43))=0</formula>
    </cfRule>
  </conditionalFormatting>
  <conditionalFormatting sqref="N43:N45">
    <cfRule type="expression" dxfId="83" priority="193">
      <formula>IF(AND(ISNUMBER(N$7),IF(MOD(N$7,4)=0,TRUE)),TRUE, FALSE)</formula>
    </cfRule>
    <cfRule type="containsBlanks" dxfId="82" priority="194">
      <formula>LEN(TRIM(N43))=0</formula>
    </cfRule>
  </conditionalFormatting>
  <conditionalFormatting sqref="M43:M45">
    <cfRule type="expression" dxfId="81" priority="191">
      <formula>IF(AND(ISNUMBER(M$7),IF(MOD(M$7,4)=0,TRUE)),TRUE, FALSE)</formula>
    </cfRule>
    <cfRule type="containsBlanks" dxfId="80" priority="192">
      <formula>LEN(TRIM(M43))=0</formula>
    </cfRule>
  </conditionalFormatting>
  <conditionalFormatting sqref="O41">
    <cfRule type="expression" dxfId="79" priority="189">
      <formula>IF(AND(ISNUMBER(O$7),IF(MOD(O$7,4)=0,TRUE)),TRUE, FALSE)</formula>
    </cfRule>
    <cfRule type="containsBlanks" dxfId="78" priority="190">
      <formula>LEN(TRIM(O41))=0</formula>
    </cfRule>
  </conditionalFormatting>
  <conditionalFormatting sqref="N41">
    <cfRule type="expression" dxfId="77" priority="187">
      <formula>IF(AND(ISNUMBER(N$7),IF(MOD(N$7,4)=0,TRUE)),TRUE, FALSE)</formula>
    </cfRule>
    <cfRule type="containsBlanks" dxfId="76" priority="188">
      <formula>LEN(TRIM(N41))=0</formula>
    </cfRule>
  </conditionalFormatting>
  <conditionalFormatting sqref="M41">
    <cfRule type="expression" dxfId="75" priority="185">
      <formula>IF(AND(ISNUMBER(M$7),IF(MOD(M$7,4)=0,TRUE)),TRUE, FALSE)</formula>
    </cfRule>
    <cfRule type="containsBlanks" dxfId="74" priority="186">
      <formula>LEN(TRIM(M41))=0</formula>
    </cfRule>
  </conditionalFormatting>
  <conditionalFormatting sqref="Q34">
    <cfRule type="expression" dxfId="73" priority="183">
      <formula>IF(AND(ISNUMBER(Q$7),IF(MOD(Q$7,4)=0,TRUE)),TRUE, FALSE)</formula>
    </cfRule>
    <cfRule type="containsBlanks" dxfId="72" priority="184">
      <formula>LEN(TRIM(Q34))=0</formula>
    </cfRule>
  </conditionalFormatting>
  <conditionalFormatting sqref="N34:P34">
    <cfRule type="expression" dxfId="71" priority="181">
      <formula>IF(AND(ISNUMBER(N$7),IF(MOD(N$7,4)=0,TRUE)),TRUE, FALSE)</formula>
    </cfRule>
    <cfRule type="containsBlanks" dxfId="70" priority="182">
      <formula>LEN(TRIM(N34))=0</formula>
    </cfRule>
  </conditionalFormatting>
  <conditionalFormatting sqref="K26">
    <cfRule type="expression" dxfId="69" priority="179">
      <formula>IF(AND(ISNUMBER(K$7),IF(MOD(K$7,4)=0,TRUE)),TRUE, FALSE)</formula>
    </cfRule>
    <cfRule type="containsBlanks" dxfId="68" priority="180">
      <formula>LEN(TRIM(K26))=0</formula>
    </cfRule>
  </conditionalFormatting>
  <conditionalFormatting sqref="L26">
    <cfRule type="expression" dxfId="67" priority="177">
      <formula>IF(AND(ISNUMBER(L$7),IF(MOD(L$7,4)=0,TRUE)),TRUE, FALSE)</formula>
    </cfRule>
    <cfRule type="containsBlanks" dxfId="66" priority="178">
      <formula>LEN(TRIM(L26))=0</formula>
    </cfRule>
  </conditionalFormatting>
  <conditionalFormatting sqref="J38:J47">
    <cfRule type="expression" dxfId="65" priority="175">
      <formula>IF(AND(ISNUMBER(J$7),IF(MOD(J$7,4)=0,TRUE)),TRUE, FALSE)</formula>
    </cfRule>
    <cfRule type="containsBlanks" dxfId="64" priority="176">
      <formula>LEN(TRIM(J38))=0</formula>
    </cfRule>
  </conditionalFormatting>
  <conditionalFormatting sqref="K38:K47">
    <cfRule type="expression" dxfId="63" priority="173">
      <formula>IF(AND(ISNUMBER(K$7),IF(MOD(K$7,4)=0,TRUE)),TRUE, FALSE)</formula>
    </cfRule>
    <cfRule type="containsBlanks" dxfId="62" priority="174">
      <formula>LEN(TRIM(K38))=0</formula>
    </cfRule>
  </conditionalFormatting>
  <conditionalFormatting sqref="L38:L47">
    <cfRule type="expression" dxfId="61" priority="171">
      <formula>IF(AND(ISNUMBER(L$7),IF(MOD(L$7,4)=0,TRUE)),TRUE, FALSE)</formula>
    </cfRule>
    <cfRule type="containsBlanks" dxfId="60" priority="172">
      <formula>LEN(TRIM(L38))=0</formula>
    </cfRule>
  </conditionalFormatting>
  <conditionalFormatting sqref="AC28:AC32">
    <cfRule type="expression" dxfId="59" priority="41">
      <formula>IF(AND(ISNUMBER(AC$7),IF(MOD(AC$7,4)=0,TRUE)),TRUE, FALSE)</formula>
    </cfRule>
    <cfRule type="containsBlanks" dxfId="58" priority="42">
      <formula>LEN(TRIM(AC28))=0</formula>
    </cfRule>
  </conditionalFormatting>
  <conditionalFormatting sqref="N28:N32">
    <cfRule type="expression" dxfId="57" priority="39">
      <formula>IF(AND(ISNUMBER(N$7),IF(MOD(N$7,4)=0,TRUE)),TRUE, FALSE)</formula>
    </cfRule>
    <cfRule type="containsBlanks" dxfId="56" priority="40">
      <formula>LEN(TRIM(N28))=0</formula>
    </cfRule>
  </conditionalFormatting>
  <conditionalFormatting sqref="N28">
    <cfRule type="expression" dxfId="55" priority="23">
      <formula>IF(AND(ISNUMBER(N$7),IF(MOD(N$7,4)=0,TRUE)),TRUE, FALSE)</formula>
    </cfRule>
    <cfRule type="containsBlanks" dxfId="54" priority="24">
      <formula>LEN(TRIM(N28))=0</formula>
    </cfRule>
  </conditionalFormatting>
  <conditionalFormatting sqref="V28:Y32">
    <cfRule type="expression" dxfId="53" priority="49">
      <formula>IF(AND(ISNUMBER(V$7),IF(MOD(V$7,4)=0,TRUE)),TRUE, FALSE)</formula>
    </cfRule>
    <cfRule type="containsBlanks" dxfId="52" priority="50">
      <formula>LEN(TRIM(V28))=0</formula>
    </cfRule>
  </conditionalFormatting>
  <conditionalFormatting sqref="AB28:AB32">
    <cfRule type="expression" dxfId="51" priority="43">
      <formula>IF(AND(ISNUMBER(AB$7),IF(MOD(AB$7,4)=0,TRUE)),TRUE, FALSE)</formula>
    </cfRule>
    <cfRule type="containsBlanks" dxfId="50" priority="44">
      <formula>LEN(TRIM(AB28))=0</formula>
    </cfRule>
  </conditionalFormatting>
  <conditionalFormatting sqref="N30:N32">
    <cfRule type="expression" dxfId="49" priority="29">
      <formula>IF(AND(ISNUMBER(N$7),IF(MOD(N$7,4)=0,TRUE)),TRUE, FALSE)</formula>
    </cfRule>
    <cfRule type="containsBlanks" dxfId="48" priority="30">
      <formula>LEN(TRIM(N30))=0</formula>
    </cfRule>
  </conditionalFormatting>
  <conditionalFormatting sqref="M30">
    <cfRule type="expression" dxfId="47" priority="27">
      <formula>IF(AND(ISNUMBER(M$7),IF(MOD(M$7,4)=0,TRUE)),TRUE, FALSE)</formula>
    </cfRule>
    <cfRule type="containsBlanks" dxfId="46" priority="28">
      <formula>LEN(TRIM(M30))=0</formula>
    </cfRule>
  </conditionalFormatting>
  <conditionalFormatting sqref="O28">
    <cfRule type="expression" dxfId="45" priority="25">
      <formula>IF(AND(ISNUMBER(O$7),IF(MOD(O$7,4)=0,TRUE)),TRUE, FALSE)</formula>
    </cfRule>
    <cfRule type="containsBlanks" dxfId="44" priority="26">
      <formula>LEN(TRIM(O28))=0</formula>
    </cfRule>
  </conditionalFormatting>
  <conditionalFormatting sqref="J28:J32">
    <cfRule type="expression" dxfId="43" priority="21">
      <formula>IF(AND(ISNUMBER(J$7),IF(MOD(J$7,4)=0,TRUE)),TRUE, FALSE)</formula>
    </cfRule>
    <cfRule type="containsBlanks" dxfId="42" priority="22">
      <formula>LEN(TRIM(J28))=0</formula>
    </cfRule>
  </conditionalFormatting>
  <conditionalFormatting sqref="L28:L30">
    <cfRule type="expression" dxfId="41" priority="17">
      <formula>IF(AND(ISNUMBER(L$7),IF(MOD(L$7,4)=0,TRUE)),TRUE, FALSE)</formula>
    </cfRule>
    <cfRule type="containsBlanks" dxfId="40" priority="18">
      <formula>LEN(TRIM(L28))=0</formula>
    </cfRule>
  </conditionalFormatting>
  <conditionalFormatting sqref="L31">
    <cfRule type="expression" dxfId="39" priority="11">
      <formula>IF(AND(ISNUMBER(L$7),IF(MOD(L$7,4)=0,TRUE)),TRUE, FALSE)</formula>
    </cfRule>
    <cfRule type="containsBlanks" dxfId="38" priority="12">
      <formula>LEN(TRIM(L31))=0</formula>
    </cfRule>
  </conditionalFormatting>
  <conditionalFormatting sqref="M32">
    <cfRule type="expression" dxfId="37" priority="9">
      <formula>IF(AND(ISNUMBER(M$7),IF(MOD(M$7,4)=0,TRUE)),TRUE, FALSE)</formula>
    </cfRule>
    <cfRule type="containsBlanks" dxfId="36" priority="10">
      <formula>LEN(TRIM(M32))=0</formula>
    </cfRule>
  </conditionalFormatting>
  <conditionalFormatting sqref="K32">
    <cfRule type="expression" dxfId="35" priority="7">
      <formula>IF(AND(ISNUMBER(K$7),IF(MOD(K$7,4)=0,TRUE)),TRUE, FALSE)</formula>
    </cfRule>
    <cfRule type="containsBlanks" dxfId="34" priority="8">
      <formula>LEN(TRIM(K32))=0</formula>
    </cfRule>
  </conditionalFormatting>
  <conditionalFormatting sqref="L32">
    <cfRule type="expression" dxfId="33" priority="5">
      <formula>IF(AND(ISNUMBER(L$7),IF(MOD(L$7,4)=0,TRUE)),TRUE, FALSE)</formula>
    </cfRule>
    <cfRule type="containsBlanks" dxfId="32" priority="6">
      <formula>LEN(TRIM(L32))=0</formula>
    </cfRule>
  </conditionalFormatting>
  <conditionalFormatting sqref="Z28:Z32">
    <cfRule type="expression" dxfId="31" priority="47">
      <formula>IF(AND(ISNUMBER(Z$7),IF(MOD(Z$7,4)=0,TRUE)),TRUE, FALSE)</formula>
    </cfRule>
    <cfRule type="containsBlanks" dxfId="30" priority="48">
      <formula>LEN(TRIM(Z28))=0</formula>
    </cfRule>
  </conditionalFormatting>
  <conditionalFormatting sqref="AA28:AA32">
    <cfRule type="expression" dxfId="29" priority="45">
      <formula>IF(AND(ISNUMBER(AA$7),IF(MOD(AA$7,4)=0,TRUE)),TRUE, FALSE)</formula>
    </cfRule>
    <cfRule type="containsBlanks" dxfId="28" priority="46">
      <formula>LEN(TRIM(AA28))=0</formula>
    </cfRule>
  </conditionalFormatting>
  <conditionalFormatting sqref="O30:O32">
    <cfRule type="expression" dxfId="27" priority="31">
      <formula>IF(AND(ISNUMBER(O$7),IF(MOD(O$7,4)=0,TRUE)),TRUE, FALSE)</formula>
    </cfRule>
    <cfRule type="containsBlanks" dxfId="26" priority="32">
      <formula>LEN(TRIM(O30))=0</formula>
    </cfRule>
  </conditionalFormatting>
  <conditionalFormatting sqref="AD28:AD32 O28:U32">
    <cfRule type="expression" dxfId="25" priority="55">
      <formula>IF(AND(ISNUMBER(O$7),IF(MOD(O$7,4)=0,TRUE)),TRUE, FALSE)</formula>
    </cfRule>
    <cfRule type="containsBlanks" dxfId="24" priority="56">
      <formula>LEN(TRIM(O28))=0</formula>
    </cfRule>
  </conditionalFormatting>
  <conditionalFormatting sqref="AD28:AD32">
    <cfRule type="expression" dxfId="23" priority="54" stopIfTrue="1">
      <formula>IF(AND(ISNUMBER(AD$7),IF(MOD(AD$7,4)=0,TRUE)),TRUE, FALSE)</formula>
    </cfRule>
  </conditionalFormatting>
  <conditionalFormatting sqref="B28:B32">
    <cfRule type="cellIs" dxfId="22" priority="51" operator="equal">
      <formula>"WE"</formula>
    </cfRule>
    <cfRule type="cellIs" dxfId="21" priority="52" operator="equal">
      <formula>"W"</formula>
    </cfRule>
    <cfRule type="cellIs" dxfId="20" priority="53" operator="equal">
      <formula>"E"</formula>
    </cfRule>
  </conditionalFormatting>
  <conditionalFormatting sqref="F30:F32">
    <cfRule type="cellIs" dxfId="19" priority="37" operator="equal">
      <formula>data_role_doesnt_exist_msg</formula>
    </cfRule>
    <cfRule type="expression" dxfId="18" priority="38">
      <formula>AND($E30&lt;&gt;data_blank_value, $F30=data_blank_value)</formula>
    </cfRule>
  </conditionalFormatting>
  <conditionalFormatting sqref="F28">
    <cfRule type="cellIs" dxfId="17" priority="35" operator="equal">
      <formula>data_role_doesnt_exist_msg</formula>
    </cfRule>
    <cfRule type="expression" dxfId="16" priority="36">
      <formula>AND($E28&lt;&gt;data_blank_value, $F28=data_blank_value)</formula>
    </cfRule>
  </conditionalFormatting>
  <conditionalFormatting sqref="F29">
    <cfRule type="cellIs" dxfId="15" priority="33" operator="equal">
      <formula>data_role_doesnt_exist_msg</formula>
    </cfRule>
    <cfRule type="expression" dxfId="14" priority="34">
      <formula>AND($E29&lt;&gt;data_blank_value, $F29=data_blank_value)</formula>
    </cfRule>
  </conditionalFormatting>
  <conditionalFormatting sqref="K28:K30">
    <cfRule type="expression" dxfId="13" priority="19">
      <formula>IF(AND(ISNUMBER(K$7),IF(MOD(K$7,4)=0,TRUE)),TRUE, FALSE)</formula>
    </cfRule>
    <cfRule type="containsBlanks" dxfId="12" priority="20">
      <formula>LEN(TRIM(K28))=0</formula>
    </cfRule>
  </conditionalFormatting>
  <conditionalFormatting sqref="M31">
    <cfRule type="expression" dxfId="11" priority="15">
      <formula>IF(AND(ISNUMBER(M$7),IF(MOD(M$7,4)=0,TRUE)),TRUE, FALSE)</formula>
    </cfRule>
    <cfRule type="containsBlanks" dxfId="10" priority="16">
      <formula>LEN(TRIM(M31))=0</formula>
    </cfRule>
  </conditionalFormatting>
  <conditionalFormatting sqref="K31">
    <cfRule type="expression" dxfId="9" priority="13">
      <formula>IF(AND(ISNUMBER(K$7),IF(MOD(K$7,4)=0,TRUE)),TRUE, FALSE)</formula>
    </cfRule>
    <cfRule type="containsBlanks" dxfId="8" priority="14">
      <formula>LEN(TRIM(K31))=0</formula>
    </cfRule>
  </conditionalFormatting>
  <conditionalFormatting sqref="M28:M29">
    <cfRule type="expression" dxfId="7" priority="3">
      <formula>IF(AND(ISNUMBER(M$7),IF(MOD(M$7,4)=0,TRUE)),TRUE, FALSE)</formula>
    </cfRule>
    <cfRule type="containsBlanks" dxfId="6" priority="4">
      <formula>LEN(TRIM(M28))=0</formula>
    </cfRule>
  </conditionalFormatting>
  <conditionalFormatting sqref="P41">
    <cfRule type="expression" dxfId="5" priority="1">
      <formula>IF(AND(ISNUMBER(P$7),IF(MOD(P$7,4)=0,TRUE)),TRUE, FALSE)</formula>
    </cfRule>
    <cfRule type="containsBlanks" dxfId="4" priority="2">
      <formula>LEN(TRIM(P41))=0</formula>
    </cfRule>
  </conditionalFormatting>
  <dataValidations count="9">
    <dataValidation type="list" allowBlank="1" showInputMessage="1" showErrorMessage="1" sqref="D9 D11:D21 D24:D52">
      <formula1>IF(C9="",list_offices,IF(C9="Local",list_offices_local,list_offices_india))</formula1>
    </dataValidation>
    <dataValidation type="list" allowBlank="1" showInputMessage="1" showErrorMessage="1" sqref="C11:C21 C9 C24:C52">
      <formula1>IF(ISNUMBER(MATCH(D9,list_offices_local,0)),list_bill_rate_local,IF(ISNUMBER(MATCH(D9,list_offices_india,0)),list_bill_rate_india,list_bill_rate_categories))</formula1>
    </dataValidation>
    <dataValidation type="date" operator="greaterThan" allowBlank="1" showInputMessage="1" showErrorMessage="1" errorTitle="End Date" error="Can't be less than Start Date." sqref="F3:G3">
      <formula1>F1</formula1>
    </dataValidation>
    <dataValidation type="list" allowBlank="1" showInputMessage="1" showErrorMessage="1" sqref="E11:E21 E9 E24:E52">
      <formula1>IF(project_delivery_select="Delivery",list_titles_delivery,list_titles_non_delivery)</formula1>
    </dataValidation>
    <dataValidation type="list" allowBlank="1" showInputMessage="1" showErrorMessage="1" sqref="H11:H21 H9 H24:H52">
      <formula1>list_project_tracks</formula1>
    </dataValidation>
    <dataValidation type="list" allowBlank="1" showInputMessage="1" showErrorMessage="1" sqref="F9 F11:F21 F24:F52">
      <formula1>OFFSET(data_rolename_title_location,MATCH($E9,list_title_for_mapping,0)-1,,COUNTIF(list_title_for_mapping,$E9))</formula1>
    </dataValidation>
    <dataValidation type="list" allowBlank="1" showInputMessage="1" showErrorMessage="1" sqref="G9 G11:G21 G24:G52">
      <formula1>list_Phase</formula1>
    </dataValidation>
    <dataValidation type="list" allowBlank="1" showInputMessage="1" showErrorMessage="1" sqref="I9 I11:I21 I24:I52">
      <formula1>list_Release</formula1>
    </dataValidation>
    <dataValidation type="decimal" allowBlank="1" showInputMessage="1" showErrorMessage="1" sqref="J9:AC9 J11:AC21 J24:AC52">
      <formula1>0.001</formula1>
      <formula2>100</formula2>
    </dataValidation>
  </dataValidations>
  <pageMargins left="0.39370078740157499" right="0.39370078740157499" top="0.59055118110236204" bottom="0.59055118110236204" header="0.196850393700787" footer="0.196850393700787"/>
  <pageSetup scale="34" orientation="portrait" r:id="rId1"/>
  <headerFooter>
    <oddFooter>&amp;L&amp;"Calibri,Regular"&amp;9&amp;D&amp;C&amp;"Calibri,Regular"&amp;9&amp;GSapient Confidential
   &amp;6        Estimation Tool V5.0.0&amp;R&amp;9Page &amp;P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75" r:id="rId5" name="Button 11">
              <controlPr defaultSize="0" print="0" autoFill="0" autoPict="0" macro="[0]!addNewWeekToStaffingPlan">
                <anchor moveWithCells="1" sizeWithCells="1">
                  <from>
                    <xdr:col>5</xdr:col>
                    <xdr:colOff>238125</xdr:colOff>
                    <xdr:row>0</xdr:row>
                    <xdr:rowOff>0</xdr:rowOff>
                  </from>
                  <to>
                    <xdr:col>7</xdr:col>
                    <xdr:colOff>19050</xdr:colOff>
                    <xdr:row>2</xdr:row>
                    <xdr:rowOff>238125</xdr:rowOff>
                  </to>
                </anchor>
              </controlPr>
            </control>
          </mc:Choice>
        </mc:AlternateContent>
        <mc:AlternateContent xmlns:mc="http://schemas.openxmlformats.org/markup-compatibility/2006">
          <mc:Choice Requires="x14">
            <control shapeId="11276" r:id="rId6" name="Button 12">
              <controlPr defaultSize="0" print="0" autoFill="0" autoPict="0" macro="[0]!exportStaffingPlanForDealTool">
                <anchor moveWithCells="1" sizeWithCells="1">
                  <from>
                    <xdr:col>5</xdr:col>
                    <xdr:colOff>247650</xdr:colOff>
                    <xdr:row>0</xdr:row>
                    <xdr:rowOff>0</xdr:rowOff>
                  </from>
                  <to>
                    <xdr:col>7</xdr:col>
                    <xdr:colOff>28575</xdr:colOff>
                    <xdr:row>0</xdr:row>
                    <xdr:rowOff>0</xdr:rowOff>
                  </to>
                </anchor>
              </controlPr>
            </control>
          </mc:Choice>
        </mc:AlternateContent>
        <mc:AlternateContent xmlns:mc="http://schemas.openxmlformats.org/markup-compatibility/2006">
          <mc:Choice Requires="x14">
            <control shapeId="11278" r:id="rId7" name="Button 14">
              <controlPr defaultSize="0" print="0" autoFill="0" autoPict="0" macro="[0]!startDate">
                <anchor moveWithCells="1" sizeWithCells="1">
                  <from>
                    <xdr:col>3</xdr:col>
                    <xdr:colOff>885825</xdr:colOff>
                    <xdr:row>0</xdr:row>
                    <xdr:rowOff>0</xdr:rowOff>
                  </from>
                  <to>
                    <xdr:col>3</xdr:col>
                    <xdr:colOff>1057275</xdr:colOff>
                    <xdr:row>0</xdr:row>
                    <xdr:rowOff>0</xdr:rowOff>
                  </to>
                </anchor>
              </controlPr>
            </control>
          </mc:Choice>
        </mc:AlternateContent>
        <mc:AlternateContent xmlns:mc="http://schemas.openxmlformats.org/markup-compatibility/2006">
          <mc:Choice Requires="x14">
            <control shapeId="11279" r:id="rId8" name="Button 15">
              <controlPr defaultSize="0" print="0" autoFill="0" autoPict="0" macro="[0]!endDate">
                <anchor moveWithCells="1" sizeWithCells="1">
                  <from>
                    <xdr:col>3</xdr:col>
                    <xdr:colOff>885825</xdr:colOff>
                    <xdr:row>0</xdr:row>
                    <xdr:rowOff>0</xdr:rowOff>
                  </from>
                  <to>
                    <xdr:col>3</xdr:col>
                    <xdr:colOff>1057275</xdr:colOff>
                    <xdr:row>2</xdr:row>
                    <xdr:rowOff>295275</xdr:rowOff>
                  </to>
                </anchor>
              </controlPr>
            </control>
          </mc:Choice>
        </mc:AlternateContent>
        <mc:AlternateContent xmlns:mc="http://schemas.openxmlformats.org/markup-compatibility/2006">
          <mc:Choice Requires="x14">
            <control shapeId="11281" r:id="rId9" name="Button 17">
              <controlPr defaultSize="0" print="0" autoFill="0" autoPict="0" macro="[0]!StaffingPlanAllocationConversion">
                <anchor moveWithCells="1" sizeWithCells="1">
                  <from>
                    <xdr:col>5</xdr:col>
                    <xdr:colOff>257175</xdr:colOff>
                    <xdr:row>3</xdr:row>
                    <xdr:rowOff>47625</xdr:rowOff>
                  </from>
                  <to>
                    <xdr:col>7</xdr:col>
                    <xdr:colOff>47625</xdr:colOff>
                    <xdr:row>4</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24"/>
  <sheetViews>
    <sheetView showGridLines="0" workbookViewId="0">
      <selection activeCell="H7" sqref="H7:H11"/>
    </sheetView>
  </sheetViews>
  <sheetFormatPr defaultColWidth="8.875" defaultRowHeight="15.75" x14ac:dyDescent="0.25"/>
  <cols>
    <col min="1" max="1" width="0.875" customWidth="1"/>
    <col min="2" max="2" width="12.5" customWidth="1"/>
    <col min="3" max="3" width="10.125" customWidth="1"/>
    <col min="4" max="4" width="9.875" customWidth="1"/>
    <col min="5" max="5" width="7.375" customWidth="1"/>
    <col min="6" max="6" width="8.125" customWidth="1"/>
    <col min="7" max="9" width="10.625" customWidth="1"/>
    <col min="10" max="10" width="6.125" bestFit="1" customWidth="1"/>
    <col min="11" max="11" width="12.375" bestFit="1" customWidth="1"/>
    <col min="12" max="12" width="14.5" customWidth="1"/>
    <col min="13" max="13" width="12.875" customWidth="1"/>
    <col min="14" max="14" width="2.125" customWidth="1"/>
    <col min="15" max="15" width="12" customWidth="1"/>
    <col min="16" max="16" width="40.25" customWidth="1"/>
    <col min="17" max="17" width="5.625" customWidth="1"/>
    <col min="18" max="18" width="4.375" customWidth="1"/>
    <col min="19" max="19" width="13.375" bestFit="1" customWidth="1"/>
    <col min="20" max="23" width="10.875" customWidth="1"/>
    <col min="24" max="24" width="10.875" bestFit="1" customWidth="1"/>
    <col min="25" max="25" width="8.75" customWidth="1"/>
    <col min="26" max="26" width="10.875" customWidth="1"/>
    <col min="27" max="27" width="8.75" customWidth="1"/>
  </cols>
  <sheetData>
    <row r="1" spans="1:25" ht="47.25" customHeight="1" x14ac:dyDescent="0.25">
      <c r="A1" s="4"/>
      <c r="B1" s="332" t="str">
        <f>track_loe_header_cell &amp;" LOE Summary"</f>
        <v>Track LOE Summary</v>
      </c>
      <c r="C1" s="332"/>
      <c r="D1" s="333" t="str">
        <f>project_headline</f>
        <v>Fidelity - Global CMS validation | Estimation</v>
      </c>
      <c r="E1" s="4"/>
    </row>
    <row r="2" spans="1:25" ht="18.75" customHeight="1" x14ac:dyDescent="0.25">
      <c r="B2" s="4" t="s">
        <v>1179</v>
      </c>
      <c r="O2" s="342"/>
      <c r="P2" s="5"/>
      <c r="Q2" s="5"/>
      <c r="R2" s="5"/>
      <c r="S2" s="342"/>
      <c r="U2" s="375"/>
    </row>
    <row r="3" spans="1:25" ht="15.75" customHeight="1" x14ac:dyDescent="0.25">
      <c r="B3" s="378" t="s">
        <v>1181</v>
      </c>
      <c r="C3" s="379" t="s">
        <v>28</v>
      </c>
      <c r="O3" s="342" t="s">
        <v>1258</v>
      </c>
      <c r="R3" s="5"/>
      <c r="S3" s="342" t="s">
        <v>1259</v>
      </c>
      <c r="U3" s="375"/>
    </row>
    <row r="4" spans="1:25" x14ac:dyDescent="0.25">
      <c r="B4" s="380"/>
      <c r="G4" s="5"/>
      <c r="H4" s="374"/>
      <c r="I4" s="5"/>
      <c r="M4" s="5"/>
      <c r="R4" s="5"/>
      <c r="S4" s="19"/>
      <c r="T4" s="19"/>
      <c r="U4" s="375"/>
    </row>
    <row r="5" spans="1:25" ht="25.5" x14ac:dyDescent="0.25">
      <c r="A5" s="6"/>
      <c r="B5" s="388" t="str">
        <f>C3</f>
        <v>Track</v>
      </c>
      <c r="C5" s="389" t="s">
        <v>75</v>
      </c>
      <c r="D5" s="390" t="s">
        <v>76</v>
      </c>
      <c r="E5" s="353" t="s">
        <v>77</v>
      </c>
      <c r="F5" s="353" t="s">
        <v>525</v>
      </c>
      <c r="G5" s="353" t="s">
        <v>78</v>
      </c>
      <c r="H5" s="353" t="s">
        <v>79</v>
      </c>
      <c r="I5" s="353" t="s">
        <v>1173</v>
      </c>
      <c r="J5" s="353" t="s">
        <v>1174</v>
      </c>
      <c r="K5" s="353" t="s">
        <v>1175</v>
      </c>
      <c r="L5" s="353" t="s">
        <v>1176</v>
      </c>
      <c r="M5" s="391" t="s">
        <v>33</v>
      </c>
      <c r="N5" s="352"/>
      <c r="O5" s="578" t="s">
        <v>28</v>
      </c>
      <c r="P5" s="377" t="s">
        <v>1257</v>
      </c>
      <c r="R5" s="5"/>
      <c r="S5" s="425" t="s">
        <v>540</v>
      </c>
      <c r="T5" s="426" t="s">
        <v>1257</v>
      </c>
    </row>
    <row r="6" spans="1:25" x14ac:dyDescent="0.25">
      <c r="A6" s="23"/>
      <c r="B6" s="418" t="s">
        <v>1644</v>
      </c>
      <c r="C6" s="393">
        <f t="shared" ref="C6:C14" si="0">IF(ISBLANK(B6),"",IF(track_loe_header_cell="Track",(SUMIF(stories_track_list_lookup,B6,stories_buffered_loe_lookup)),IF(track_loe_header_cell="Phase",(SUMIF(Stories_phase_list_lookup,B6,stories_buffered_loe_lookup)),(SUMIF(stories_release_list_lookup,B6,stories_buffered_loe_lookup)))))</f>
        <v>143.39999999999998</v>
      </c>
      <c r="D6" s="393">
        <f t="shared" ref="D6:D14" si="1">IF(ISBLANK(B6),"",IF(track_loe_header_cell="Track",(SUMIF(addins_track_list_lookup,B6,addins_impact_loe_lookup)),IF(track_loe_header_cell="Phase",(SUMIF(addins_phase_list_lookup,B6,addins_impact_loe_lookup)),(SUMIF(addins_release_list_lookup,B6,addins_impact_loe_lookup)))))</f>
        <v>10</v>
      </c>
      <c r="E6" s="393">
        <f t="shared" ref="E6:E14" si="2">IF(ISBLANK(B6),"",IF(track_loe_header_cell="Track",(SUMIF(risks_track_list_lookup,B6,risks_risk_buffer_lookup)),IF(track_loe_header_cell="Phase",(SUMIF(risks_phase_list_lookup,B6,risks_risk_buffer_lookup)),(SUMIF(risks_release_list_lookup,B6,risks_risk_buffer_lookup)))))</f>
        <v>19.5</v>
      </c>
      <c r="F6" s="394">
        <f t="shared" ref="F6:F14" si="3">IF(ISBLANK(B6),"",SUM(C6:E6))</f>
        <v>172.89999999999998</v>
      </c>
      <c r="G6" s="393">
        <f t="shared" ref="G6:G14" ca="1" si="4">IF(ISBLANK(B6),"",IF(track_loe_header_cell="Track",(SUMIF(staffing_track_list_lookup,B6,staffing_total_loe_lookup)),IF(track_loe_header_cell="Phase",(SUMIF(staffing_phase_list_lookup,B6,staffing_total_loe_lookup)),(SUMIF(staffing_release_list_lookup,B6,staffing_total_loe_lookup)))))</f>
        <v>172.5</v>
      </c>
      <c r="H6" s="395">
        <f ca="1">IF(ISBLANK(B6),"",G6-F6)</f>
        <v>-0.39999999999997726</v>
      </c>
      <c r="I6" s="396">
        <f>IF(ISBLANK(B6),"",IF(ISERROR(D6/C6),0,D6/C6))</f>
        <v>6.9735006973500713E-2</v>
      </c>
      <c r="J6" s="396">
        <f>IF(ISBLANK(B6),"",IF(ISERROR(E6/C6),0,E6/C6))</f>
        <v>0.13598326359832638</v>
      </c>
      <c r="K6" s="397">
        <f>IF(ISBLANK(B6),"",IF(ISERROR(E6+D6),0,E6+D6))</f>
        <v>29.5</v>
      </c>
      <c r="L6" s="396">
        <f>IF(ISBLANK(B6),"",IF(ISERROR(K6/C6),0,K6/C6))</f>
        <v>0.20571827057182709</v>
      </c>
      <c r="M6" s="407"/>
      <c r="N6" s="5"/>
      <c r="O6" s="578" t="s">
        <v>1169</v>
      </c>
      <c r="P6" s="377" t="s">
        <v>1257</v>
      </c>
      <c r="Q6" s="375"/>
      <c r="R6" s="5"/>
    </row>
    <row r="7" spans="1:25" x14ac:dyDescent="0.25">
      <c r="B7" s="486" t="s">
        <v>1658</v>
      </c>
      <c r="C7" s="399">
        <f t="shared" si="0"/>
        <v>33.5</v>
      </c>
      <c r="D7" s="399">
        <f t="shared" si="1"/>
        <v>0</v>
      </c>
      <c r="E7" s="399">
        <f t="shared" si="2"/>
        <v>3.5</v>
      </c>
      <c r="F7" s="400">
        <f t="shared" si="3"/>
        <v>37</v>
      </c>
      <c r="G7" s="399">
        <f t="shared" ca="1" si="4"/>
        <v>40</v>
      </c>
      <c r="H7" s="392">
        <f t="shared" ref="H7" ca="1" si="5">IF(ISBLANK(B7),"",G7-F7)</f>
        <v>3</v>
      </c>
      <c r="I7" s="401">
        <f t="shared" ref="I7" si="6">IF(ISBLANK(B7),"",IF(ISERROR(D7/C7),0,D7/C7))</f>
        <v>0</v>
      </c>
      <c r="J7" s="401">
        <f t="shared" ref="J7" si="7">IF(ISBLANK(B7),"",IF(ISERROR(E7/C7),0,E7/C7))</f>
        <v>0.1044776119402985</v>
      </c>
      <c r="K7" s="402">
        <f t="shared" ref="K7" si="8">IF(ISBLANK(B7),"",IF(ISERROR(E7+D7),0,E7+D7))</f>
        <v>3.5</v>
      </c>
      <c r="L7" s="401">
        <f t="shared" ref="L7" si="9">IF(ISBLANK(B7),"",IF(ISERROR(K7/C7),0,K7/C7))</f>
        <v>0.1044776119402985</v>
      </c>
      <c r="M7" s="408"/>
      <c r="N7" s="5"/>
      <c r="O7" s="434" t="s">
        <v>540</v>
      </c>
      <c r="P7" s="377" t="s">
        <v>1257</v>
      </c>
      <c r="Q7" s="375"/>
      <c r="R7" s="5"/>
      <c r="S7" s="381" t="s">
        <v>1178</v>
      </c>
      <c r="T7" s="581" t="s">
        <v>1169</v>
      </c>
      <c r="U7" s="492"/>
      <c r="V7" s="492"/>
      <c r="W7" s="492"/>
      <c r="X7" s="492"/>
      <c r="Y7" s="376"/>
    </row>
    <row r="8" spans="1:25" x14ac:dyDescent="0.25">
      <c r="B8" s="486" t="s">
        <v>1660</v>
      </c>
      <c r="C8" s="399">
        <f t="shared" si="0"/>
        <v>25.7</v>
      </c>
      <c r="D8" s="399">
        <f t="shared" si="1"/>
        <v>0</v>
      </c>
      <c r="E8" s="399">
        <f t="shared" si="2"/>
        <v>3.5</v>
      </c>
      <c r="F8" s="400">
        <f t="shared" si="3"/>
        <v>29.2</v>
      </c>
      <c r="G8" s="399">
        <f t="shared" ca="1" si="4"/>
        <v>30</v>
      </c>
      <c r="H8" s="392">
        <f t="shared" ref="H8" ca="1" si="10">IF(ISBLANK(B8),"",G8-F8)</f>
        <v>0.80000000000000071</v>
      </c>
      <c r="I8" s="401">
        <f t="shared" ref="I8" si="11">IF(ISBLANK(B8),"",IF(ISERROR(D8/C8),0,D8/C8))</f>
        <v>0</v>
      </c>
      <c r="J8" s="401">
        <f t="shared" ref="J8" si="12">IF(ISBLANK(B8),"",IF(ISERROR(E8/C8),0,E8/C8))</f>
        <v>0.13618677042801558</v>
      </c>
      <c r="K8" s="402">
        <f t="shared" ref="K8" si="13">IF(ISBLANK(B8),"",IF(ISERROR(E8+D8),0,E8+D8))</f>
        <v>3.5</v>
      </c>
      <c r="L8" s="401">
        <f t="shared" ref="L8" si="14">IF(ISBLANK(B8),"",IF(ISERROR(K8/C8),0,K8/C8))</f>
        <v>0.13618677042801558</v>
      </c>
      <c r="M8" s="408"/>
      <c r="N8" s="5"/>
      <c r="O8" s="19"/>
      <c r="P8" s="19"/>
      <c r="Q8" s="375"/>
      <c r="R8" s="5"/>
      <c r="S8" s="578" t="s">
        <v>28</v>
      </c>
      <c r="T8" s="493" t="s">
        <v>1183</v>
      </c>
      <c r="U8" s="382" t="s">
        <v>1645</v>
      </c>
      <c r="V8" s="382" t="s">
        <v>1646</v>
      </c>
      <c r="W8" s="382" t="s">
        <v>1647</v>
      </c>
      <c r="X8" s="377" t="s">
        <v>1650</v>
      </c>
      <c r="Y8" s="469" t="s">
        <v>1177</v>
      </c>
    </row>
    <row r="9" spans="1:25" x14ac:dyDescent="0.25">
      <c r="B9" s="486" t="s">
        <v>1672</v>
      </c>
      <c r="C9" s="399">
        <f t="shared" si="0"/>
        <v>30.2</v>
      </c>
      <c r="D9" s="399">
        <f t="shared" si="1"/>
        <v>0</v>
      </c>
      <c r="E9" s="399">
        <f t="shared" si="2"/>
        <v>1</v>
      </c>
      <c r="F9" s="400">
        <f t="shared" si="3"/>
        <v>31.2</v>
      </c>
      <c r="G9" s="399">
        <f t="shared" ca="1" si="4"/>
        <v>35</v>
      </c>
      <c r="H9" s="392">
        <f t="shared" ref="H9" ca="1" si="15">IF(ISBLANK(B9),"",G9-F9)</f>
        <v>3.8000000000000007</v>
      </c>
      <c r="I9" s="401">
        <f t="shared" ref="I9" si="16">IF(ISBLANK(B9),"",IF(ISERROR(D9/C9),0,D9/C9))</f>
        <v>0</v>
      </c>
      <c r="J9" s="401">
        <f t="shared" ref="J9" si="17">IF(ISBLANK(B9),"",IF(ISERROR(E9/C9),0,E9/C9))</f>
        <v>3.3112582781456956E-2</v>
      </c>
      <c r="K9" s="402">
        <f t="shared" ref="K9" si="18">IF(ISBLANK(B9),"",IF(ISERROR(E9+D9),0,E9+D9))</f>
        <v>1</v>
      </c>
      <c r="L9" s="401">
        <f t="shared" ref="L9" si="19">IF(ISBLANK(B9),"",IF(ISERROR(K9/C9),0,K9/C9))</f>
        <v>3.3112582781456956E-2</v>
      </c>
      <c r="M9" s="408"/>
      <c r="N9" s="5"/>
      <c r="O9" s="383" t="s">
        <v>1178</v>
      </c>
      <c r="P9" s="382"/>
      <c r="Q9" s="377"/>
      <c r="R9" s="5"/>
      <c r="S9" s="579" t="s">
        <v>1183</v>
      </c>
      <c r="T9" s="582">
        <v>0</v>
      </c>
      <c r="U9" s="582"/>
      <c r="V9" s="582"/>
      <c r="W9" s="582"/>
      <c r="X9" s="582"/>
      <c r="Y9" s="384">
        <v>0</v>
      </c>
    </row>
    <row r="10" spans="1:25" x14ac:dyDescent="0.25">
      <c r="B10" s="486" t="s">
        <v>1680</v>
      </c>
      <c r="C10" s="399">
        <f t="shared" si="0"/>
        <v>23.5</v>
      </c>
      <c r="D10" s="399">
        <f t="shared" si="1"/>
        <v>0</v>
      </c>
      <c r="E10" s="399">
        <f t="shared" si="2"/>
        <v>3.5</v>
      </c>
      <c r="F10" s="400">
        <f t="shared" si="3"/>
        <v>27</v>
      </c>
      <c r="G10" s="399">
        <f t="shared" ca="1" si="4"/>
        <v>30</v>
      </c>
      <c r="H10" s="392">
        <f t="shared" ref="H10" ca="1" si="20">IF(ISBLANK(B10),"",G10-F10)</f>
        <v>3</v>
      </c>
      <c r="I10" s="401">
        <f t="shared" ref="I10" si="21">IF(ISBLANK(B10),"",IF(ISERROR(D10/C10),0,D10/C10))</f>
        <v>0</v>
      </c>
      <c r="J10" s="401">
        <f t="shared" ref="J10" si="22">IF(ISBLANK(B10),"",IF(ISERROR(E10/C10),0,E10/C10))</f>
        <v>0.14893617021276595</v>
      </c>
      <c r="K10" s="402">
        <f t="shared" ref="K10" si="23">IF(ISBLANK(B10),"",IF(ISERROR(E10+D10),0,E10+D10))</f>
        <v>3.5</v>
      </c>
      <c r="L10" s="401">
        <f t="shared" ref="L10" si="24">IF(ISBLANK(B10),"",IF(ISERROR(K10/C10),0,K10/C10))</f>
        <v>0.14893617021276595</v>
      </c>
      <c r="M10" s="408"/>
      <c r="N10" s="5"/>
      <c r="O10" s="386" t="s">
        <v>27</v>
      </c>
      <c r="P10" s="387" t="s">
        <v>1172</v>
      </c>
      <c r="Q10" s="377" t="s">
        <v>1182</v>
      </c>
      <c r="R10" s="5"/>
      <c r="S10" s="579" t="s">
        <v>1644</v>
      </c>
      <c r="T10" s="582"/>
      <c r="U10" s="582">
        <v>17.7</v>
      </c>
      <c r="V10" s="582">
        <v>5</v>
      </c>
      <c r="W10" s="582">
        <v>93.2</v>
      </c>
      <c r="X10" s="582">
        <v>17.5</v>
      </c>
      <c r="Y10" s="384">
        <v>133.4</v>
      </c>
    </row>
    <row r="11" spans="1:25" x14ac:dyDescent="0.25">
      <c r="B11" s="486" t="s">
        <v>1681</v>
      </c>
      <c r="C11" s="399">
        <f t="shared" si="0"/>
        <v>23.5</v>
      </c>
      <c r="D11" s="399">
        <f t="shared" si="1"/>
        <v>0</v>
      </c>
      <c r="E11" s="399">
        <f t="shared" si="2"/>
        <v>4.5</v>
      </c>
      <c r="F11" s="400">
        <f t="shared" si="3"/>
        <v>28</v>
      </c>
      <c r="G11" s="399">
        <f t="shared" ca="1" si="4"/>
        <v>30</v>
      </c>
      <c r="H11" s="392">
        <f t="shared" ref="H11" ca="1" si="25">IF(ISBLANK(B11),"",G11-F11)</f>
        <v>2</v>
      </c>
      <c r="I11" s="401">
        <f t="shared" ref="I11" si="26">IF(ISBLANK(B11),"",IF(ISERROR(D11/C11),0,D11/C11))</f>
        <v>0</v>
      </c>
      <c r="J11" s="401">
        <f t="shared" ref="J11" si="27">IF(ISBLANK(B11),"",IF(ISERROR(E11/C11),0,E11/C11))</f>
        <v>0.19148936170212766</v>
      </c>
      <c r="K11" s="402">
        <f t="shared" ref="K11" si="28">IF(ISBLANK(B11),"",IF(ISERROR(E11+D11),0,E11+D11))</f>
        <v>4.5</v>
      </c>
      <c r="L11" s="401">
        <f t="shared" ref="L11" si="29">IF(ISBLANK(B11),"",IF(ISERROR(K11/C11),0,K11/C11))</f>
        <v>0.19148936170212766</v>
      </c>
      <c r="M11" s="408"/>
      <c r="N11" s="5"/>
      <c r="O11" s="493" t="s">
        <v>1183</v>
      </c>
      <c r="P11" s="382" t="s">
        <v>1183</v>
      </c>
      <c r="Q11" s="384">
        <v>262.90000000000003</v>
      </c>
      <c r="R11" s="5"/>
      <c r="S11" s="579" t="s">
        <v>1658</v>
      </c>
      <c r="T11" s="582"/>
      <c r="U11" s="582">
        <v>3.7</v>
      </c>
      <c r="V11" s="582"/>
      <c r="W11" s="582">
        <v>18</v>
      </c>
      <c r="X11" s="582">
        <v>1.8</v>
      </c>
      <c r="Y11" s="384">
        <v>23.5</v>
      </c>
    </row>
    <row r="12" spans="1:25" x14ac:dyDescent="0.25">
      <c r="B12" s="486" t="s">
        <v>1691</v>
      </c>
      <c r="C12" s="399">
        <f t="shared" si="0"/>
        <v>36.200000000000003</v>
      </c>
      <c r="D12" s="399">
        <f t="shared" si="1"/>
        <v>0</v>
      </c>
      <c r="E12" s="399">
        <f t="shared" si="2"/>
        <v>0</v>
      </c>
      <c r="F12" s="400">
        <f t="shared" si="3"/>
        <v>36.200000000000003</v>
      </c>
      <c r="G12" s="399">
        <f t="shared" ca="1" si="4"/>
        <v>35</v>
      </c>
      <c r="H12" s="392">
        <f t="shared" ref="H12" ca="1" si="30">IF(ISBLANK(B12),"",G12-F12)</f>
        <v>-1.2000000000000028</v>
      </c>
      <c r="I12" s="401">
        <f t="shared" ref="I12" si="31">IF(ISBLANK(B12),"",IF(ISERROR(D12/C12),0,D12/C12))</f>
        <v>0</v>
      </c>
      <c r="J12" s="401">
        <f t="shared" ref="J12" si="32">IF(ISBLANK(B12),"",IF(ISERROR(E12/C12),0,E12/C12))</f>
        <v>0</v>
      </c>
      <c r="K12" s="402">
        <f t="shared" ref="K12" si="33">IF(ISBLANK(B12),"",IF(ISERROR(E12+D12),0,E12+D12))</f>
        <v>0</v>
      </c>
      <c r="L12" s="401">
        <f t="shared" ref="L12" si="34">IF(ISBLANK(B12),"",IF(ISERROR(K12/C12),0,K12/C12))</f>
        <v>0</v>
      </c>
      <c r="M12" s="408"/>
      <c r="N12" s="5"/>
      <c r="O12" s="493"/>
      <c r="P12" s="382" t="s">
        <v>1712</v>
      </c>
      <c r="Q12" s="384"/>
      <c r="R12" s="5"/>
      <c r="S12" s="579" t="s">
        <v>1660</v>
      </c>
      <c r="T12" s="582"/>
      <c r="U12" s="582">
        <v>10.4</v>
      </c>
      <c r="V12" s="582"/>
      <c r="W12" s="582">
        <v>13.5</v>
      </c>
      <c r="X12" s="582">
        <v>1.8</v>
      </c>
      <c r="Y12" s="384">
        <v>25.7</v>
      </c>
    </row>
    <row r="13" spans="1:25" x14ac:dyDescent="0.25">
      <c r="B13" s="410"/>
      <c r="C13" s="399" t="str">
        <f t="shared" si="0"/>
        <v/>
      </c>
      <c r="D13" s="399" t="str">
        <f t="shared" si="1"/>
        <v/>
      </c>
      <c r="E13" s="399" t="str">
        <f t="shared" si="2"/>
        <v/>
      </c>
      <c r="F13" s="400" t="str">
        <f t="shared" si="3"/>
        <v/>
      </c>
      <c r="G13" s="399" t="str">
        <f t="shared" si="4"/>
        <v/>
      </c>
      <c r="H13" s="392" t="str">
        <f t="shared" ref="H13" si="35">IF(ISBLANK(B13),"",G13-F13)</f>
        <v/>
      </c>
      <c r="I13" s="401" t="str">
        <f t="shared" ref="I13" si="36">IF(ISBLANK(B13),"",IF(ISERROR(D13/C13),0,D13/C13))</f>
        <v/>
      </c>
      <c r="J13" s="401" t="str">
        <f t="shared" ref="J13" si="37">IF(ISBLANK(B13),"",IF(ISERROR(E13/C13),0,E13/C13))</f>
        <v/>
      </c>
      <c r="K13" s="402" t="str">
        <f t="shared" ref="K13" si="38">IF(ISBLANK(B13),"",IF(ISERROR(E13+D13),0,E13+D13))</f>
        <v/>
      </c>
      <c r="L13" s="401" t="str">
        <f t="shared" ref="L13" si="39">IF(ISBLANK(B13),"",IF(ISERROR(K13/C13),0,K13/C13))</f>
        <v/>
      </c>
      <c r="M13" s="408"/>
      <c r="N13" s="5"/>
      <c r="O13" s="493"/>
      <c r="P13" s="382" t="s">
        <v>1705</v>
      </c>
      <c r="Q13" s="384"/>
      <c r="R13" s="5"/>
      <c r="S13" s="579" t="s">
        <v>1672</v>
      </c>
      <c r="T13" s="582"/>
      <c r="U13" s="582">
        <v>10.4</v>
      </c>
      <c r="V13" s="582"/>
      <c r="W13" s="582">
        <v>17.5</v>
      </c>
      <c r="X13" s="582">
        <v>2.2999999999999998</v>
      </c>
      <c r="Y13" s="384">
        <v>30.2</v>
      </c>
    </row>
    <row r="14" spans="1:25" x14ac:dyDescent="0.25">
      <c r="B14" s="410"/>
      <c r="C14" s="399" t="str">
        <f t="shared" si="0"/>
        <v/>
      </c>
      <c r="D14" s="399" t="str">
        <f t="shared" si="1"/>
        <v/>
      </c>
      <c r="E14" s="399" t="str">
        <f t="shared" si="2"/>
        <v/>
      </c>
      <c r="F14" s="400" t="str">
        <f t="shared" si="3"/>
        <v/>
      </c>
      <c r="G14" s="399" t="str">
        <f t="shared" si="4"/>
        <v/>
      </c>
      <c r="H14" s="392" t="str">
        <f t="shared" ref="H14" si="40">IF(ISBLANK(B14),"",G14-F14)</f>
        <v/>
      </c>
      <c r="I14" s="401" t="str">
        <f t="shared" ref="I14" si="41">IF(ISBLANK(B14),"",IF(ISERROR(D14/C14),0,D14/C14))</f>
        <v/>
      </c>
      <c r="J14" s="401" t="str">
        <f t="shared" ref="J14" si="42">IF(ISBLANK(B14),"",IF(ISERROR(E14/C14),0,E14/C14))</f>
        <v/>
      </c>
      <c r="K14" s="402" t="str">
        <f t="shared" ref="K14" si="43">IF(ISBLANK(B14),"",IF(ISERROR(E14+D14),0,E14+D14))</f>
        <v/>
      </c>
      <c r="L14" s="401" t="str">
        <f t="shared" ref="L14" si="44">IF(ISBLANK(B14),"",IF(ISERROR(K14/C14),0,K14/C14))</f>
        <v/>
      </c>
      <c r="M14" s="408"/>
      <c r="O14" s="493"/>
      <c r="P14" s="382" t="s">
        <v>1706</v>
      </c>
      <c r="Q14" s="384"/>
      <c r="S14" s="579" t="s">
        <v>1680</v>
      </c>
      <c r="T14" s="582"/>
      <c r="U14" s="582">
        <v>10.4</v>
      </c>
      <c r="V14" s="582"/>
      <c r="W14" s="582">
        <v>11.3</v>
      </c>
      <c r="X14" s="582">
        <v>1.8</v>
      </c>
      <c r="Y14" s="384">
        <v>23.500000000000004</v>
      </c>
    </row>
    <row r="15" spans="1:25" x14ac:dyDescent="0.25">
      <c r="B15" s="410"/>
      <c r="C15" s="399" t="str">
        <f t="shared" ref="C15:C16" si="45">IF(ISBLANK(B15),"",IF(track_loe_header_cell="Track",(SUMIF(stories_track_list_lookup,B15,stories_buffered_loe_lookup)),IF(track_loe_header_cell="Phase",(SUMIF(Stories_phase_list_lookup,B15,stories_buffered_loe_lookup)),(SUMIF(stories_release_list_lookup,B15,stories_buffered_loe_lookup)))))</f>
        <v/>
      </c>
      <c r="D15" s="399" t="str">
        <f t="shared" ref="D15:D16" si="46">IF(ISBLANK(B15),"",IF(track_loe_header_cell="Track",(SUMIF(addins_track_list_lookup,B15,addins_impact_loe_lookup)),IF(track_loe_header_cell="Phase",(SUMIF(addins_phase_list_lookup,B15,addins_impact_loe_lookup)),(SUMIF(addins_release_list_lookup,B15,addins_impact_loe_lookup)))))</f>
        <v/>
      </c>
      <c r="E15" s="399" t="str">
        <f t="shared" ref="E15:E16" si="47">IF(ISBLANK(B15),"",IF(track_loe_header_cell="Track",(SUMIF(risks_track_list_lookup,B15,risks_risk_buffer_lookup)),IF(track_loe_header_cell="Phase",(SUMIF(risks_phase_list_lookup,B15,risks_risk_buffer_lookup)),(SUMIF(risks_release_list_lookup,B15,risks_risk_buffer_lookup)))))</f>
        <v/>
      </c>
      <c r="F15" s="400" t="str">
        <f t="shared" ref="F15:F16" si="48">IF(ISBLANK(B15),"",SUM(C15:E15))</f>
        <v/>
      </c>
      <c r="G15" s="399" t="str">
        <f t="shared" ref="G15:G16" si="49">IF(ISBLANK(B15),"",IF(track_loe_header_cell="Track",(SUMIF(staffing_track_list_lookup,B15,staffing_total_loe_lookup)),IF(track_loe_header_cell="Phase",(SUMIF(staffing_phase_list_lookup,B15,staffing_total_loe_lookup)),(SUMIF(staffing_release_list_lookup,B15,staffing_total_loe_lookup)))))</f>
        <v/>
      </c>
      <c r="H15" s="392" t="str">
        <f t="shared" ref="H15:H16" si="50">IF(ISBLANK(B15),"",G15-F15)</f>
        <v/>
      </c>
      <c r="I15" s="401" t="str">
        <f t="shared" ref="I15:I16" si="51">IF(ISBLANK(B15),"",IF(ISERROR(D15/C15),0,D15/C15))</f>
        <v/>
      </c>
      <c r="J15" s="401" t="str">
        <f t="shared" ref="J15:J16" si="52">IF(ISBLANK(B15),"",IF(ISERROR(E15/C15),0,E15/C15))</f>
        <v/>
      </c>
      <c r="K15" s="402" t="str">
        <f t="shared" ref="K15:K16" si="53">IF(ISBLANK(B15),"",IF(ISERROR(E15+D15),0,E15+D15))</f>
        <v/>
      </c>
      <c r="L15" s="401" t="str">
        <f t="shared" ref="L15:L16" si="54">IF(ISBLANK(B15),"",IF(ISERROR(K15/C15),0,K15/C15))</f>
        <v/>
      </c>
      <c r="M15" s="408"/>
      <c r="O15" s="493"/>
      <c r="P15" s="382" t="s">
        <v>1707</v>
      </c>
      <c r="Q15" s="384"/>
      <c r="S15" s="579" t="s">
        <v>1681</v>
      </c>
      <c r="T15" s="582"/>
      <c r="U15" s="582">
        <v>10.4</v>
      </c>
      <c r="V15" s="582"/>
      <c r="W15" s="582"/>
      <c r="X15" s="582"/>
      <c r="Y15" s="384">
        <v>10.4</v>
      </c>
    </row>
    <row r="16" spans="1:25" x14ac:dyDescent="0.25">
      <c r="B16" s="411"/>
      <c r="C16" s="403" t="str">
        <f t="shared" si="45"/>
        <v/>
      </c>
      <c r="D16" s="403" t="str">
        <f t="shared" si="46"/>
        <v/>
      </c>
      <c r="E16" s="403" t="str">
        <f t="shared" si="47"/>
        <v/>
      </c>
      <c r="F16" s="404" t="str">
        <f t="shared" si="48"/>
        <v/>
      </c>
      <c r="G16" s="403" t="str">
        <f t="shared" si="49"/>
        <v/>
      </c>
      <c r="H16" s="398" t="str">
        <f t="shared" si="50"/>
        <v/>
      </c>
      <c r="I16" s="405" t="str">
        <f t="shared" si="51"/>
        <v/>
      </c>
      <c r="J16" s="405" t="str">
        <f t="shared" si="52"/>
        <v/>
      </c>
      <c r="K16" s="406" t="str">
        <f t="shared" si="53"/>
        <v/>
      </c>
      <c r="L16" s="405" t="str">
        <f t="shared" si="54"/>
        <v/>
      </c>
      <c r="M16" s="409"/>
      <c r="O16" s="493"/>
      <c r="P16" s="382" t="s">
        <v>1708</v>
      </c>
      <c r="Q16" s="384"/>
      <c r="S16" s="579" t="s">
        <v>1691</v>
      </c>
      <c r="T16" s="582"/>
      <c r="U16" s="582">
        <v>11.2</v>
      </c>
      <c r="V16" s="582">
        <v>5</v>
      </c>
      <c r="W16" s="582"/>
      <c r="X16" s="582"/>
      <c r="Y16" s="384">
        <v>16.2</v>
      </c>
    </row>
    <row r="17" spans="15:25" x14ac:dyDescent="0.25">
      <c r="O17" s="493"/>
      <c r="P17" s="382" t="s">
        <v>1709</v>
      </c>
      <c r="Q17" s="384"/>
      <c r="S17" s="580" t="s">
        <v>1177</v>
      </c>
      <c r="T17" s="583">
        <v>0</v>
      </c>
      <c r="U17" s="583">
        <v>74.199999999999989</v>
      </c>
      <c r="V17" s="583">
        <v>10</v>
      </c>
      <c r="W17" s="583">
        <v>153.5</v>
      </c>
      <c r="X17" s="583">
        <v>25.200000000000003</v>
      </c>
      <c r="Y17" s="427">
        <v>262.89999999999998</v>
      </c>
    </row>
    <row r="18" spans="15:25" x14ac:dyDescent="0.25">
      <c r="O18" s="493"/>
      <c r="P18" s="382" t="s">
        <v>1710</v>
      </c>
      <c r="Q18" s="384"/>
    </row>
    <row r="19" spans="15:25" x14ac:dyDescent="0.25">
      <c r="O19" s="493"/>
      <c r="P19" s="382" t="s">
        <v>1711</v>
      </c>
      <c r="Q19" s="384"/>
    </row>
    <row r="20" spans="15:25" x14ac:dyDescent="0.25">
      <c r="O20" s="493"/>
      <c r="P20" s="382" t="s">
        <v>1713</v>
      </c>
      <c r="Q20" s="384"/>
    </row>
    <row r="21" spans="15:25" x14ac:dyDescent="0.25">
      <c r="O21" s="493"/>
      <c r="P21" s="382" t="s">
        <v>1714</v>
      </c>
      <c r="Q21" s="384"/>
    </row>
    <row r="22" spans="15:25" x14ac:dyDescent="0.25">
      <c r="O22" s="579"/>
      <c r="P22" s="382" t="s">
        <v>1715</v>
      </c>
      <c r="Q22" s="384"/>
    </row>
    <row r="23" spans="15:25" x14ac:dyDescent="0.25">
      <c r="O23" s="493" t="s">
        <v>1704</v>
      </c>
      <c r="P23" s="382" t="s">
        <v>1183</v>
      </c>
      <c r="Q23" s="384">
        <v>0</v>
      </c>
    </row>
    <row r="24" spans="15:25" x14ac:dyDescent="0.25">
      <c r="O24" s="385" t="s">
        <v>1177</v>
      </c>
      <c r="P24" s="580"/>
      <c r="Q24" s="384">
        <v>262.90000000000003</v>
      </c>
    </row>
  </sheetData>
  <dataConsolidate/>
  <conditionalFormatting sqref="I6 L6">
    <cfRule type="cellIs" dxfId="3" priority="704" stopIfTrue="1" operator="lessThan">
      <formula>0</formula>
    </cfRule>
  </conditionalFormatting>
  <conditionalFormatting sqref="I7:I16 L7:L16">
    <cfRule type="cellIs" dxfId="2" priority="1" stopIfTrue="1" operator="lessThan">
      <formula>0</formula>
    </cfRule>
  </conditionalFormatting>
  <dataValidations count="1">
    <dataValidation type="list" allowBlank="1" showInputMessage="1" showErrorMessage="1" sqref="C3:C4">
      <formula1>"Track,Phase,Release"</formula1>
    </dataValidation>
  </dataValidations>
  <pageMargins left="0.39370078740157499" right="0.39370078740157499" top="0.59055118110236204" bottom="0.59055118110236204" header="0.196850393700787" footer="0.196850393700787"/>
  <pageSetup scale="70" orientation="portrait"/>
  <headerFooter>
    <oddFooter>&amp;L&amp;9&amp;D&amp;C&amp;"Calibri,Regular"&amp;9&amp;GSapient Confidential
&amp;6           Estimation Tool V5.0.0&amp;R&amp;"Calibri,Regular"&amp;9Page &amp;P</oddFooter>
  </headerFooter>
  <drawing r:id="rId3"/>
  <legacyDrawing r:id="rId4"/>
  <legacyDrawingHF r:id="rId5"/>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26"/>
  <sheetViews>
    <sheetView showGridLines="0" workbookViewId="0">
      <selection activeCell="E5" sqref="E5:E9"/>
    </sheetView>
  </sheetViews>
  <sheetFormatPr defaultColWidth="8.875" defaultRowHeight="15.75" x14ac:dyDescent="0.25"/>
  <cols>
    <col min="1" max="1" width="1.875" customWidth="1"/>
    <col min="2" max="2" width="16.125" customWidth="1"/>
    <col min="3" max="3" width="10.375" customWidth="1"/>
    <col min="4" max="4" width="9.5" customWidth="1"/>
    <col min="5" max="5" width="9.375" customWidth="1"/>
    <col min="6" max="7" width="2.625" customWidth="1"/>
    <col min="8" max="8" width="2" customWidth="1"/>
    <col min="9" max="9" width="1.875" customWidth="1"/>
    <col min="10" max="10" width="2.625" customWidth="1"/>
    <col min="11" max="11" width="1.625" customWidth="1"/>
    <col min="12" max="12" width="30.5" customWidth="1"/>
    <col min="13" max="13" width="1.625" customWidth="1"/>
    <col min="14" max="14" width="1.5" customWidth="1"/>
    <col min="15" max="15" width="2.625" customWidth="1"/>
    <col min="16" max="16" width="2" customWidth="1"/>
  </cols>
  <sheetData>
    <row r="1" spans="1:16" ht="49.5" customHeight="1" x14ac:dyDescent="0.25">
      <c r="A1" s="4"/>
      <c r="B1" s="332" t="s">
        <v>530</v>
      </c>
      <c r="C1" s="332"/>
      <c r="D1" s="333" t="str">
        <f>project_headline</f>
        <v>Fidelity - Global CMS validation | Estimation</v>
      </c>
      <c r="E1" s="332"/>
    </row>
    <row r="2" spans="1:16" ht="9" customHeight="1" x14ac:dyDescent="0.25"/>
    <row r="3" spans="1:16" x14ac:dyDescent="0.25">
      <c r="B3" s="258" t="s">
        <v>531</v>
      </c>
      <c r="C3" s="637" t="s">
        <v>532</v>
      </c>
      <c r="D3" s="637"/>
      <c r="E3" s="638"/>
      <c r="H3" s="345"/>
      <c r="I3" s="302"/>
      <c r="J3" s="302"/>
      <c r="K3" s="302"/>
      <c r="L3" s="302"/>
      <c r="M3" s="302"/>
      <c r="N3" s="302"/>
      <c r="O3" s="302"/>
      <c r="P3" s="346"/>
    </row>
    <row r="4" spans="1:16" x14ac:dyDescent="0.25">
      <c r="B4" s="259"/>
      <c r="C4" s="261" t="s">
        <v>20</v>
      </c>
      <c r="D4" s="221" t="s">
        <v>21</v>
      </c>
      <c r="E4" s="262" t="s">
        <v>72</v>
      </c>
      <c r="F4" s="19"/>
      <c r="G4" s="19"/>
      <c r="H4" s="303"/>
      <c r="I4" s="639" t="str">
        <f ca="1">CONCATENATE("Total LOE: ", ROUND(total_loe,0), " days (100%)")</f>
        <v>Total LOE: 468 days (100%)</v>
      </c>
      <c r="J4" s="639"/>
      <c r="K4" s="639"/>
      <c r="L4" s="639"/>
      <c r="M4" s="639"/>
      <c r="N4" s="639"/>
      <c r="O4" s="639"/>
      <c r="P4" s="304"/>
    </row>
    <row r="5" spans="1:16" x14ac:dyDescent="0.25">
      <c r="B5" s="260" t="s">
        <v>75</v>
      </c>
      <c r="C5" s="266">
        <f>stories_total_loe_abp</f>
        <v>248.1</v>
      </c>
      <c r="D5" s="267">
        <f>stories_total_loe_hp</f>
        <v>380.9</v>
      </c>
      <c r="E5" s="268">
        <f>stories_total_loe_buffered</f>
        <v>316</v>
      </c>
      <c r="F5" s="19"/>
      <c r="G5" s="19"/>
      <c r="H5" s="303"/>
      <c r="I5" s="305"/>
      <c r="J5" s="305"/>
      <c r="K5" s="305"/>
      <c r="L5" s="305"/>
      <c r="M5" s="305"/>
      <c r="N5" s="305"/>
      <c r="O5" s="305"/>
      <c r="P5" s="304"/>
    </row>
    <row r="6" spans="1:16" ht="15.75" customHeight="1" x14ac:dyDescent="0.25">
      <c r="B6" s="19"/>
      <c r="C6" s="19"/>
      <c r="D6" s="19"/>
      <c r="E6" s="19"/>
      <c r="F6" s="19"/>
      <c r="G6" s="19"/>
      <c r="H6" s="303"/>
      <c r="I6" s="305"/>
      <c r="J6" s="305"/>
      <c r="K6" s="305"/>
      <c r="L6" s="348" t="str">
        <f ca="1">CONCATENATE("Oversight LOE: ",staffing_total_loe_oversight," days (",IF(total_loe=0,0,ROUND(100*staffing_total_loe_oversight/total_loe,0)),"%)")</f>
        <v>Oversight LOE: 96 days (21%)</v>
      </c>
      <c r="M6" s="305"/>
      <c r="N6" s="305"/>
      <c r="O6" s="305"/>
      <c r="P6" s="304"/>
    </row>
    <row r="7" spans="1:16" ht="15.75" customHeight="1" x14ac:dyDescent="0.25">
      <c r="B7" s="263" t="s">
        <v>26</v>
      </c>
      <c r="C7" s="284">
        <f>addins_total_loe</f>
        <v>20</v>
      </c>
      <c r="D7" s="283">
        <f>addins_total_loe</f>
        <v>20</v>
      </c>
      <c r="E7" s="269">
        <f>addins_total_loe</f>
        <v>20</v>
      </c>
      <c r="F7" s="19"/>
      <c r="G7" s="19"/>
      <c r="H7" s="303"/>
      <c r="I7" s="305"/>
      <c r="J7" s="305"/>
      <c r="K7" s="305"/>
      <c r="L7" s="344" t="s">
        <v>533</v>
      </c>
      <c r="M7" s="305"/>
      <c r="N7" s="305"/>
      <c r="O7" s="305"/>
      <c r="P7" s="304"/>
    </row>
    <row r="8" spans="1:16" ht="15.75" customHeight="1" x14ac:dyDescent="0.25">
      <c r="B8" s="19"/>
      <c r="C8" s="19"/>
      <c r="D8" s="19"/>
      <c r="E8" s="19"/>
      <c r="F8" s="19"/>
      <c r="G8" s="19"/>
      <c r="H8" s="303"/>
      <c r="I8" s="305"/>
      <c r="J8" s="305"/>
      <c r="K8" s="305"/>
      <c r="L8" s="348" t="str">
        <f ca="1">CONCATENATE("Obj. Risk LOE: ", risks_total_loe, " days (",  IF(total_loe=0,0,ROUND(100*risks_total_loe/total_loe,0)),"%)")</f>
        <v>Obj. Risk LOE: 35.5 days (8%)</v>
      </c>
      <c r="M8" s="305"/>
      <c r="N8" s="305"/>
      <c r="O8" s="305"/>
      <c r="P8" s="304"/>
    </row>
    <row r="9" spans="1:16" ht="15.75" customHeight="1" x14ac:dyDescent="0.25">
      <c r="B9" s="263" t="s">
        <v>520</v>
      </c>
      <c r="C9" s="280">
        <f>risks_total_loe</f>
        <v>35.5</v>
      </c>
      <c r="D9" s="281">
        <f>risks_total_loe</f>
        <v>35.5</v>
      </c>
      <c r="E9" s="270">
        <f>risks_total_loe</f>
        <v>35.5</v>
      </c>
      <c r="F9" s="19"/>
      <c r="G9" s="19"/>
      <c r="H9" s="303"/>
      <c r="I9" s="305"/>
      <c r="J9" s="305"/>
      <c r="K9" s="305"/>
      <c r="L9" s="344" t="s">
        <v>533</v>
      </c>
      <c r="M9" s="305"/>
      <c r="N9" s="305"/>
      <c r="O9" s="305"/>
      <c r="P9" s="304"/>
    </row>
    <row r="10" spans="1:16" ht="15.75" customHeight="1" x14ac:dyDescent="0.25">
      <c r="B10" s="19"/>
      <c r="C10" s="19"/>
      <c r="D10" s="19"/>
      <c r="E10" s="19"/>
      <c r="F10" s="19"/>
      <c r="G10" s="19"/>
      <c r="H10" s="303"/>
      <c r="I10" s="343"/>
      <c r="J10" s="343"/>
      <c r="K10" s="343"/>
      <c r="L10" s="343"/>
      <c r="M10" s="306"/>
      <c r="N10" s="306"/>
      <c r="O10" s="306"/>
      <c r="P10" s="304"/>
    </row>
    <row r="11" spans="1:16" ht="15.75" customHeight="1" x14ac:dyDescent="0.25">
      <c r="B11" s="246" t="s">
        <v>521</v>
      </c>
      <c r="C11" s="282">
        <f ca="1">staffing_total_loe_oversight</f>
        <v>96</v>
      </c>
      <c r="D11" s="282">
        <f ca="1">staffing_total_loe_oversight</f>
        <v>96</v>
      </c>
      <c r="E11" s="282">
        <f ca="1">staffing_total_loe_oversight</f>
        <v>96</v>
      </c>
      <c r="F11" s="19"/>
      <c r="G11" s="19"/>
      <c r="H11" s="303"/>
      <c r="I11" s="343"/>
      <c r="J11" s="343"/>
      <c r="K11" s="343"/>
      <c r="L11" s="348" t="str">
        <f ca="1">CONCATENATE("Add-ins LOE: ", addins_total_loe, " days (",  IF(total_loe=0,0,ROUND(100*addins_total_loe/total_loe,0)),"%)")</f>
        <v>Add-ins LOE: 20 days (4%)</v>
      </c>
      <c r="M11" s="306"/>
      <c r="N11" s="306"/>
      <c r="O11" s="306"/>
      <c r="P11" s="304"/>
    </row>
    <row r="12" spans="1:16" ht="15.75" customHeight="1" x14ac:dyDescent="0.25">
      <c r="B12" s="19"/>
      <c r="C12" s="19"/>
      <c r="D12" s="19"/>
      <c r="E12" s="19"/>
      <c r="F12" s="19"/>
      <c r="G12" s="19"/>
      <c r="H12" s="303"/>
      <c r="I12" s="343"/>
      <c r="J12" s="343"/>
      <c r="K12" s="343"/>
      <c r="L12" s="343" t="s">
        <v>533</v>
      </c>
      <c r="M12" s="306"/>
      <c r="N12" s="306"/>
      <c r="O12" s="306"/>
      <c r="P12" s="304"/>
    </row>
    <row r="13" spans="1:16" ht="15.75" customHeight="1" x14ac:dyDescent="0.25">
      <c r="B13" s="264" t="s">
        <v>73</v>
      </c>
      <c r="C13" s="271">
        <f ca="1">C5+C7+C9+C11</f>
        <v>399.6</v>
      </c>
      <c r="D13" s="276">
        <f ca="1">D5+D7+D9+D11</f>
        <v>532.4</v>
      </c>
      <c r="E13" s="277">
        <f ca="1">E5+E7+E9+E11</f>
        <v>467.5</v>
      </c>
      <c r="F13" s="19"/>
      <c r="G13" s="19"/>
      <c r="H13" s="303"/>
      <c r="I13" s="343"/>
      <c r="J13" s="343"/>
      <c r="K13" s="343"/>
      <c r="L13" s="348" t="str">
        <f ca="1">CONCATENATE("Story LOE: ", stories_total_loe_buffered, " days (",  IF(total_loe=0,0,ROUND(100*stories_total_loe_buffered/total_loe,0)),"%)")</f>
        <v>Story LOE: 316 days (68%)</v>
      </c>
      <c r="M13" s="306"/>
      <c r="N13" s="306"/>
      <c r="O13" s="306"/>
      <c r="P13" s="304"/>
    </row>
    <row r="14" spans="1:16" ht="15.75" customHeight="1" x14ac:dyDescent="0.25">
      <c r="B14" s="259" t="s">
        <v>522</v>
      </c>
      <c r="C14" s="272">
        <f ca="1">C13/5</f>
        <v>79.92</v>
      </c>
      <c r="D14" s="275">
        <f ca="1">D13/5</f>
        <v>106.47999999999999</v>
      </c>
      <c r="E14" s="279">
        <f ca="1">E13/5</f>
        <v>93.5</v>
      </c>
      <c r="F14" s="19"/>
      <c r="G14" s="19"/>
      <c r="H14" s="303"/>
      <c r="I14" s="343"/>
      <c r="J14" s="343"/>
      <c r="K14" s="343"/>
      <c r="L14" s="343"/>
      <c r="M14" s="306"/>
      <c r="N14" s="306"/>
      <c r="O14" s="306"/>
      <c r="P14" s="304"/>
    </row>
    <row r="15" spans="1:16" ht="15.75" customHeight="1" x14ac:dyDescent="0.25">
      <c r="B15" s="260" t="s">
        <v>523</v>
      </c>
      <c r="C15" s="273">
        <f ca="1">IF(ISERROR(C13/$E$13),0,C13/$E$13)</f>
        <v>0.85475935828877014</v>
      </c>
      <c r="D15" s="274">
        <f ca="1">IF(ISERROR(D13/$E$13),0,D13/$E$13)</f>
        <v>1.1388235294117646</v>
      </c>
      <c r="E15" s="278">
        <f ca="1">IF(ISERROR(E13/$E$13),0,E13/$E$13)</f>
        <v>1</v>
      </c>
      <c r="F15" s="19"/>
      <c r="G15" s="19"/>
      <c r="H15" s="307"/>
      <c r="I15" s="308"/>
      <c r="J15" s="308"/>
      <c r="K15" s="308"/>
      <c r="L15" s="308"/>
      <c r="M15" s="308"/>
      <c r="N15" s="308"/>
      <c r="O15" s="308"/>
      <c r="P15" s="309"/>
    </row>
    <row r="16" spans="1:16" ht="15.75" customHeight="1" x14ac:dyDescent="0.25">
      <c r="B16" s="19"/>
      <c r="C16" s="19"/>
      <c r="D16" s="19"/>
      <c r="E16" s="19"/>
      <c r="F16" s="19"/>
      <c r="G16" s="19"/>
      <c r="H16" s="347"/>
      <c r="I16" s="347"/>
      <c r="J16" s="347"/>
      <c r="K16" s="347"/>
      <c r="L16" s="347"/>
      <c r="M16" s="347"/>
      <c r="N16" s="347"/>
      <c r="O16" s="347"/>
      <c r="P16" s="347"/>
    </row>
    <row r="17" spans="2:16" ht="15.75" customHeight="1" x14ac:dyDescent="0.25">
      <c r="B17" s="19"/>
      <c r="C17" s="19"/>
      <c r="D17" s="19"/>
      <c r="E17" s="19"/>
      <c r="F17" s="19"/>
      <c r="G17" s="19"/>
      <c r="H17" s="347"/>
      <c r="I17" s="347"/>
      <c r="J17" s="347"/>
      <c r="K17" s="347"/>
      <c r="L17" s="347"/>
      <c r="M17" s="347"/>
      <c r="N17" s="347"/>
      <c r="O17" s="347"/>
      <c r="P17" s="347"/>
    </row>
    <row r="18" spans="2:16" ht="15.75" customHeight="1" x14ac:dyDescent="0.25">
      <c r="B18" s="258" t="s">
        <v>524</v>
      </c>
      <c r="C18" s="265" t="s">
        <v>94</v>
      </c>
      <c r="D18" s="19"/>
      <c r="E18" s="291">
        <v>0.2</v>
      </c>
      <c r="F18" s="300"/>
      <c r="G18" s="20" t="str">
        <f ca="1">IF(E18&lt;=C$24,"&lt;","")</f>
        <v/>
      </c>
      <c r="H18" s="347"/>
      <c r="I18" s="347"/>
      <c r="J18" s="347"/>
      <c r="K18" s="347"/>
      <c r="L18" s="347"/>
      <c r="M18" s="347"/>
      <c r="N18" s="347"/>
      <c r="O18" s="347"/>
      <c r="P18" s="347"/>
    </row>
    <row r="19" spans="2:16" ht="15.75" customHeight="1" x14ac:dyDescent="0.25">
      <c r="B19" s="259" t="s">
        <v>525</v>
      </c>
      <c r="C19" s="285">
        <f ca="1">ROUND(total_loe,0)</f>
        <v>468</v>
      </c>
      <c r="D19" s="19"/>
      <c r="E19" s="292">
        <v>0.1</v>
      </c>
      <c r="F19" s="301"/>
      <c r="G19" s="20" t="str">
        <f ca="1">IF(AND(E19&lt;=C$24,E18&gt;C$24),"&lt;","")</f>
        <v/>
      </c>
      <c r="H19" s="347"/>
      <c r="I19" s="347"/>
      <c r="J19" s="347"/>
      <c r="K19" s="347"/>
      <c r="L19" s="347"/>
      <c r="M19" s="347"/>
      <c r="N19" s="347"/>
      <c r="O19" s="347"/>
      <c r="P19" s="347"/>
    </row>
    <row r="20" spans="2:16" ht="15.75" customHeight="1" x14ac:dyDescent="0.25">
      <c r="B20" s="260" t="s">
        <v>526</v>
      </c>
      <c r="C20" s="286">
        <f ca="1">staffing_total_person_days</f>
        <v>468.5</v>
      </c>
      <c r="D20" s="19"/>
      <c r="E20" s="293">
        <v>0.05</v>
      </c>
      <c r="F20" s="299"/>
      <c r="G20" s="20" t="str">
        <f ca="1">IF(AND(E20&lt;=C$24,E19&gt;C$24),"&lt;","")</f>
        <v/>
      </c>
      <c r="H20" s="347"/>
      <c r="I20" s="347"/>
      <c r="J20" s="347"/>
      <c r="K20" s="347"/>
      <c r="L20" s="347"/>
      <c r="M20" s="347"/>
      <c r="N20" s="347"/>
      <c r="O20" s="347"/>
      <c r="P20" s="347"/>
    </row>
    <row r="21" spans="2:16" ht="15.75" customHeight="1" x14ac:dyDescent="0.25">
      <c r="B21" s="19"/>
      <c r="C21" s="19"/>
      <c r="D21" s="19"/>
      <c r="E21" s="289">
        <v>0</v>
      </c>
      <c r="F21" s="290"/>
      <c r="G21" s="20" t="str">
        <f ca="1">IF(AND(E22&lt;C$24,E20&gt;C$24),"&lt;","")</f>
        <v>&lt;</v>
      </c>
      <c r="H21" s="347"/>
      <c r="I21" s="347"/>
      <c r="J21" s="347"/>
      <c r="K21" s="347"/>
      <c r="L21" s="347"/>
      <c r="M21" s="347"/>
      <c r="N21" s="347"/>
      <c r="O21" s="347"/>
      <c r="P21" s="347"/>
    </row>
    <row r="22" spans="2:16" ht="15.75" customHeight="1" x14ac:dyDescent="0.25">
      <c r="B22" s="19"/>
      <c r="C22" s="19"/>
      <c r="D22" s="19"/>
      <c r="E22" s="289">
        <v>-0.05</v>
      </c>
      <c r="F22" s="296"/>
      <c r="G22" s="20" t="str">
        <f ca="1">IF(AND(E22&gt;=C$24,E23&lt;C$24),"&lt;","")</f>
        <v/>
      </c>
      <c r="H22" s="347"/>
      <c r="I22" s="347"/>
      <c r="J22" s="347"/>
      <c r="K22" s="347"/>
      <c r="L22" s="347"/>
      <c r="M22" s="347"/>
      <c r="N22" s="347"/>
      <c r="O22" s="347"/>
      <c r="P22" s="347"/>
    </row>
    <row r="23" spans="2:16" x14ac:dyDescent="0.25">
      <c r="B23" s="264" t="s">
        <v>528</v>
      </c>
      <c r="C23" s="288">
        <f ca="1">C20-C19</f>
        <v>0.5</v>
      </c>
      <c r="D23" s="19"/>
      <c r="E23" s="294">
        <v>-0.1</v>
      </c>
      <c r="F23" s="297"/>
      <c r="G23" s="20" t="str">
        <f ca="1">IF(AND(E23&gt;=C$24,E24&lt;C$24),"&lt;","")</f>
        <v/>
      </c>
      <c r="H23" s="347"/>
      <c r="I23" s="347"/>
      <c r="J23" s="347"/>
      <c r="K23" s="347"/>
      <c r="L23" s="347"/>
      <c r="M23" s="347"/>
      <c r="N23" s="347"/>
      <c r="O23" s="347"/>
      <c r="P23" s="347"/>
    </row>
    <row r="24" spans="2:16" x14ac:dyDescent="0.25">
      <c r="B24" s="260" t="s">
        <v>529</v>
      </c>
      <c r="C24" s="287">
        <f ca="1">ROUND(IF(C20=0,-10,C23/C19),2)</f>
        <v>0</v>
      </c>
      <c r="D24" s="19"/>
      <c r="E24" s="295">
        <v>-0.2</v>
      </c>
      <c r="F24" s="298"/>
      <c r="G24" s="20" t="str">
        <f ca="1">IF(E24&gt;=C$24,"&lt;","")</f>
        <v/>
      </c>
      <c r="H24" s="347"/>
      <c r="I24" s="347"/>
      <c r="J24" s="347"/>
      <c r="K24" s="347"/>
      <c r="L24" s="347"/>
      <c r="M24" s="347"/>
      <c r="N24" s="347"/>
      <c r="O24" s="347"/>
      <c r="P24" s="347"/>
    </row>
    <row r="25" spans="2:16" x14ac:dyDescent="0.25">
      <c r="H25" s="347"/>
      <c r="I25" s="347"/>
      <c r="J25" s="347"/>
      <c r="K25" s="347"/>
      <c r="L25" s="347"/>
      <c r="M25" s="347"/>
      <c r="N25" s="347"/>
      <c r="O25" s="347"/>
      <c r="P25" s="347"/>
    </row>
    <row r="26" spans="2:16" x14ac:dyDescent="0.25">
      <c r="H26" s="19"/>
      <c r="I26" s="19"/>
    </row>
  </sheetData>
  <dataConsolidate/>
  <mergeCells count="2">
    <mergeCell ref="C3:E3"/>
    <mergeCell ref="I4:O4"/>
  </mergeCells>
  <conditionalFormatting sqref="G18:G24">
    <cfRule type="cellIs" dxfId="1" priority="1" stopIfTrue="1" operator="notEqual">
      <formula>"&lt;"</formula>
    </cfRule>
    <cfRule type="cellIs" dxfId="0" priority="2" stopIfTrue="1" operator="equal">
      <formula>"&lt;"</formula>
    </cfRule>
  </conditionalFormatting>
  <pageMargins left="0.7" right="0.7" top="0.75" bottom="0.75" header="0.3" footer="0.3"/>
  <pageSetup orientation="portrait"/>
  <headerFooter>
    <oddFooter>&amp;L&amp;"Calibri,Regular"&amp;9&amp;D&amp;C&amp;"Calibri,Regular"&amp;9&amp;GSapient Confidential
&amp;6           Estimation Tool V5.0.0&amp;R&amp;9Page &amp;P</oddFooter>
  </headerFooter>
  <drawing r:id="rId1"/>
  <legacyDrawing r:id="rId2"/>
  <legacyDrawingHF r:id="rId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3"/>
  <sheetViews>
    <sheetView workbookViewId="0"/>
  </sheetViews>
  <sheetFormatPr defaultColWidth="8.875" defaultRowHeight="15.75" x14ac:dyDescent="0.25"/>
  <cols>
    <col min="1" max="1" width="9.875" bestFit="1" customWidth="1"/>
    <col min="2" max="2" width="7.625" bestFit="1" customWidth="1"/>
    <col min="3" max="3" width="10.125" bestFit="1" customWidth="1"/>
    <col min="4" max="4" width="8.125" bestFit="1" customWidth="1"/>
    <col min="5" max="5" width="13.5" bestFit="1" customWidth="1"/>
    <col min="6" max="6" width="8.625" bestFit="1" customWidth="1"/>
    <col min="7" max="7" width="14.625" bestFit="1" customWidth="1"/>
    <col min="8" max="8" width="11.875" bestFit="1" customWidth="1"/>
    <col min="9" max="9" width="16.375" bestFit="1" customWidth="1"/>
    <col min="10" max="10" width="7.375" bestFit="1" customWidth="1"/>
    <col min="11" max="11" width="4.625" bestFit="1" customWidth="1"/>
    <col min="12" max="12" width="3.625" bestFit="1" customWidth="1"/>
    <col min="13" max="13" width="18.25" bestFit="1" customWidth="1"/>
    <col min="14" max="14" width="9.875" bestFit="1" customWidth="1"/>
    <col min="15" max="15" width="27.375" bestFit="1" customWidth="1"/>
    <col min="16" max="16" width="9.625" bestFit="1" customWidth="1"/>
    <col min="17" max="17" width="17.75" bestFit="1" customWidth="1"/>
  </cols>
  <sheetData>
    <row r="1" spans="1:17" x14ac:dyDescent="0.25">
      <c r="A1" t="s">
        <v>1361</v>
      </c>
      <c r="B1" t="s">
        <v>1270</v>
      </c>
      <c r="C1" t="s">
        <v>1271</v>
      </c>
      <c r="D1" t="s">
        <v>1362</v>
      </c>
      <c r="E1" t="s">
        <v>1363</v>
      </c>
      <c r="F1" t="s">
        <v>1373</v>
      </c>
      <c r="G1" t="s">
        <v>1364</v>
      </c>
      <c r="H1" t="s">
        <v>1365</v>
      </c>
      <c r="I1" t="s">
        <v>1366</v>
      </c>
      <c r="J1" t="s">
        <v>1367</v>
      </c>
      <c r="K1" t="s">
        <v>1118</v>
      </c>
      <c r="L1" t="s">
        <v>1119</v>
      </c>
      <c r="M1" t="s">
        <v>1368</v>
      </c>
      <c r="N1" t="s">
        <v>1369</v>
      </c>
      <c r="O1" t="s">
        <v>1370</v>
      </c>
      <c r="P1" t="s">
        <v>1371</v>
      </c>
      <c r="Q1" t="s">
        <v>1372</v>
      </c>
    </row>
    <row r="2" spans="1:17" x14ac:dyDescent="0.25">
      <c r="A2" t="s">
        <v>1121</v>
      </c>
      <c r="B2">
        <v>1</v>
      </c>
      <c r="D2" t="s">
        <v>27</v>
      </c>
      <c r="F2" t="s">
        <v>1375</v>
      </c>
      <c r="G2" t="s">
        <v>65</v>
      </c>
      <c r="H2" t="s">
        <v>69</v>
      </c>
      <c r="J2" t="s">
        <v>1376</v>
      </c>
      <c r="K2">
        <v>2</v>
      </c>
      <c r="L2">
        <v>3</v>
      </c>
      <c r="M2">
        <v>2.5</v>
      </c>
      <c r="O2" t="s">
        <v>1378</v>
      </c>
      <c r="Q2">
        <v>72000</v>
      </c>
    </row>
    <row r="3" spans="1:17" x14ac:dyDescent="0.25">
      <c r="A3" t="s">
        <v>1350</v>
      </c>
      <c r="C3">
        <v>1</v>
      </c>
      <c r="D3" t="s">
        <v>27</v>
      </c>
      <c r="F3" t="s">
        <v>1375</v>
      </c>
      <c r="G3" t="s">
        <v>1377</v>
      </c>
      <c r="J3" t="s">
        <v>1376</v>
      </c>
      <c r="K3">
        <v>2</v>
      </c>
      <c r="L3">
        <v>3</v>
      </c>
      <c r="M3">
        <v>2.5</v>
      </c>
      <c r="O3" t="s">
        <v>1378</v>
      </c>
      <c r="Q3">
        <v>72000</v>
      </c>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25"/>
  <sheetViews>
    <sheetView workbookViewId="0">
      <selection activeCell="G22" sqref="G22"/>
    </sheetView>
  </sheetViews>
  <sheetFormatPr defaultColWidth="8.875" defaultRowHeight="15.75" x14ac:dyDescent="0.25"/>
  <cols>
    <col min="1" max="1" width="13.25" bestFit="1" customWidth="1"/>
    <col min="2" max="2" width="9.125" bestFit="1" customWidth="1"/>
    <col min="3" max="3" width="15.625" bestFit="1" customWidth="1"/>
    <col min="4" max="4" width="33.875" bestFit="1" customWidth="1"/>
    <col min="5" max="5" width="39.5" bestFit="1" customWidth="1"/>
    <col min="6" max="7" width="9.375" bestFit="1" customWidth="1"/>
    <col min="8" max="8" width="5.25" bestFit="1" customWidth="1"/>
    <col min="9" max="9" width="1.875" bestFit="1" customWidth="1"/>
  </cols>
  <sheetData>
    <row r="1" spans="1:8" x14ac:dyDescent="0.25">
      <c r="A1" t="s">
        <v>92</v>
      </c>
      <c r="B1" t="s">
        <v>117</v>
      </c>
      <c r="D1" t="s">
        <v>295</v>
      </c>
      <c r="E1" t="s">
        <v>177</v>
      </c>
      <c r="F1" s="539">
        <v>42737</v>
      </c>
      <c r="G1" s="539">
        <v>42755</v>
      </c>
      <c r="H1" s="540">
        <v>1</v>
      </c>
    </row>
    <row r="2" spans="1:8" x14ac:dyDescent="0.25">
      <c r="A2" t="s">
        <v>92</v>
      </c>
      <c r="B2" t="s">
        <v>117</v>
      </c>
      <c r="D2" t="s">
        <v>295</v>
      </c>
      <c r="E2" t="s">
        <v>177</v>
      </c>
      <c r="F2" s="539">
        <v>42758</v>
      </c>
      <c r="G2" s="539">
        <v>42790</v>
      </c>
      <c r="H2" s="540">
        <v>0.5</v>
      </c>
    </row>
    <row r="3" spans="1:8" x14ac:dyDescent="0.25">
      <c r="A3" t="s">
        <v>85</v>
      </c>
      <c r="B3" t="s">
        <v>133</v>
      </c>
      <c r="D3" t="s">
        <v>306</v>
      </c>
      <c r="E3" t="s">
        <v>729</v>
      </c>
      <c r="F3" s="539">
        <v>42737</v>
      </c>
      <c r="G3" s="539">
        <v>42741</v>
      </c>
      <c r="H3" s="540">
        <v>1</v>
      </c>
    </row>
    <row r="4" spans="1:8" x14ac:dyDescent="0.25">
      <c r="A4" t="s">
        <v>85</v>
      </c>
      <c r="B4" t="s">
        <v>133</v>
      </c>
      <c r="D4" t="s">
        <v>306</v>
      </c>
      <c r="E4" t="s">
        <v>729</v>
      </c>
      <c r="F4" s="539">
        <v>42758</v>
      </c>
      <c r="G4" s="539">
        <v>42790</v>
      </c>
      <c r="H4" s="540">
        <v>1</v>
      </c>
    </row>
    <row r="5" spans="1:8" x14ac:dyDescent="0.25">
      <c r="A5" t="s">
        <v>85</v>
      </c>
      <c r="B5" t="s">
        <v>133</v>
      </c>
      <c r="D5" t="s">
        <v>252</v>
      </c>
      <c r="E5" t="s">
        <v>642</v>
      </c>
      <c r="F5" s="539">
        <v>42737</v>
      </c>
      <c r="G5" s="539">
        <v>42790</v>
      </c>
      <c r="H5" s="540">
        <v>1</v>
      </c>
    </row>
    <row r="6" spans="1:8" x14ac:dyDescent="0.25">
      <c r="A6" t="s">
        <v>85</v>
      </c>
      <c r="B6" t="s">
        <v>133</v>
      </c>
      <c r="D6" t="s">
        <v>231</v>
      </c>
      <c r="E6" t="s">
        <v>1086</v>
      </c>
      <c r="F6" s="539">
        <v>42744</v>
      </c>
      <c r="G6" s="539">
        <v>42790</v>
      </c>
      <c r="H6" s="540">
        <v>0.1</v>
      </c>
    </row>
    <row r="7" spans="1:8" x14ac:dyDescent="0.25">
      <c r="A7" t="s">
        <v>93</v>
      </c>
      <c r="B7" t="s">
        <v>133</v>
      </c>
      <c r="D7" t="s">
        <v>306</v>
      </c>
      <c r="E7" t="s">
        <v>729</v>
      </c>
      <c r="F7" s="539">
        <v>42744</v>
      </c>
      <c r="G7" s="539">
        <v>42755</v>
      </c>
      <c r="H7" s="540">
        <v>1</v>
      </c>
    </row>
    <row r="8" spans="1:8" x14ac:dyDescent="0.25">
      <c r="A8" t="s">
        <v>93</v>
      </c>
      <c r="B8" t="s">
        <v>133</v>
      </c>
      <c r="D8" t="s">
        <v>255</v>
      </c>
      <c r="E8" t="s">
        <v>1003</v>
      </c>
      <c r="F8" s="539">
        <v>42744</v>
      </c>
      <c r="G8" s="539">
        <v>42755</v>
      </c>
      <c r="H8" s="540">
        <v>1</v>
      </c>
    </row>
    <row r="9" spans="1:8" x14ac:dyDescent="0.25">
      <c r="A9" t="s">
        <v>92</v>
      </c>
      <c r="B9" t="s">
        <v>117</v>
      </c>
      <c r="D9" t="s">
        <v>290</v>
      </c>
      <c r="E9" t="s">
        <v>1059</v>
      </c>
      <c r="F9" s="539">
        <v>42744</v>
      </c>
      <c r="G9" s="539">
        <v>42755</v>
      </c>
      <c r="H9" s="540">
        <v>1</v>
      </c>
    </row>
    <row r="10" spans="1:8" x14ac:dyDescent="0.25">
      <c r="A10" t="s">
        <v>85</v>
      </c>
      <c r="B10" t="s">
        <v>133</v>
      </c>
      <c r="D10" t="s">
        <v>255</v>
      </c>
      <c r="E10" t="s">
        <v>1003</v>
      </c>
      <c r="F10" s="539">
        <v>42758</v>
      </c>
      <c r="G10" s="539">
        <v>42762</v>
      </c>
      <c r="H10" s="540">
        <v>1</v>
      </c>
    </row>
    <row r="11" spans="1:8" x14ac:dyDescent="0.25">
      <c r="A11" t="s">
        <v>92</v>
      </c>
      <c r="B11" t="s">
        <v>117</v>
      </c>
      <c r="D11" t="s">
        <v>290</v>
      </c>
      <c r="E11" t="s">
        <v>1059</v>
      </c>
      <c r="F11" s="539">
        <v>42758</v>
      </c>
      <c r="G11" s="539">
        <v>42762</v>
      </c>
      <c r="H11" s="540">
        <v>1</v>
      </c>
    </row>
    <row r="12" spans="1:8" x14ac:dyDescent="0.25">
      <c r="A12" t="s">
        <v>85</v>
      </c>
      <c r="B12" t="s">
        <v>133</v>
      </c>
      <c r="D12" t="s">
        <v>271</v>
      </c>
      <c r="E12" t="s">
        <v>707</v>
      </c>
      <c r="F12" s="539">
        <v>42751</v>
      </c>
      <c r="G12" s="539">
        <v>42776</v>
      </c>
      <c r="H12" s="540">
        <v>1</v>
      </c>
    </row>
    <row r="13" spans="1:8" x14ac:dyDescent="0.25">
      <c r="A13" t="s">
        <v>85</v>
      </c>
      <c r="B13" t="s">
        <v>133</v>
      </c>
      <c r="D13" t="s">
        <v>271</v>
      </c>
      <c r="E13" t="s">
        <v>707</v>
      </c>
      <c r="F13" s="539">
        <v>42751</v>
      </c>
      <c r="G13" s="539">
        <v>42776</v>
      </c>
      <c r="H13" s="540">
        <v>1</v>
      </c>
    </row>
    <row r="14" spans="1:8" x14ac:dyDescent="0.25">
      <c r="A14" t="s">
        <v>85</v>
      </c>
      <c r="B14" t="s">
        <v>133</v>
      </c>
      <c r="D14" t="s">
        <v>271</v>
      </c>
      <c r="E14" t="s">
        <v>707</v>
      </c>
      <c r="F14" s="539">
        <v>42751</v>
      </c>
      <c r="G14" s="539">
        <v>42783</v>
      </c>
      <c r="H14" s="540">
        <v>1</v>
      </c>
    </row>
    <row r="15" spans="1:8" x14ac:dyDescent="0.25">
      <c r="A15" t="s">
        <v>85</v>
      </c>
      <c r="B15" t="s">
        <v>133</v>
      </c>
      <c r="D15" t="s">
        <v>271</v>
      </c>
      <c r="E15" t="s">
        <v>707</v>
      </c>
      <c r="F15" s="539">
        <v>42751</v>
      </c>
      <c r="G15" s="539">
        <v>42783</v>
      </c>
      <c r="H15" s="540">
        <v>1</v>
      </c>
    </row>
    <row r="16" spans="1:8" x14ac:dyDescent="0.25">
      <c r="A16" t="s">
        <v>85</v>
      </c>
      <c r="B16" t="s">
        <v>133</v>
      </c>
      <c r="D16" t="s">
        <v>271</v>
      </c>
      <c r="E16" t="s">
        <v>707</v>
      </c>
      <c r="F16" s="539">
        <v>42751</v>
      </c>
      <c r="G16" s="539">
        <v>42783</v>
      </c>
      <c r="H16" s="540">
        <v>1</v>
      </c>
    </row>
    <row r="17" spans="1:8" x14ac:dyDescent="0.25">
      <c r="A17" t="s">
        <v>85</v>
      </c>
      <c r="B17" t="s">
        <v>133</v>
      </c>
      <c r="D17" t="s">
        <v>309</v>
      </c>
      <c r="E17" t="s">
        <v>186</v>
      </c>
      <c r="F17" s="539">
        <v>42758</v>
      </c>
      <c r="G17" s="539">
        <v>42769</v>
      </c>
      <c r="H17" s="540">
        <v>1</v>
      </c>
    </row>
    <row r="18" spans="1:8" x14ac:dyDescent="0.25">
      <c r="A18" t="s">
        <v>85</v>
      </c>
      <c r="B18" t="s">
        <v>133</v>
      </c>
      <c r="D18" t="s">
        <v>370</v>
      </c>
      <c r="E18" t="s">
        <v>1413</v>
      </c>
      <c r="F18" s="539">
        <v>42751</v>
      </c>
      <c r="G18" s="539">
        <v>42783</v>
      </c>
      <c r="H18" s="540">
        <v>1</v>
      </c>
    </row>
    <row r="19" spans="1:8" x14ac:dyDescent="0.25">
      <c r="A19" t="s">
        <v>85</v>
      </c>
      <c r="B19" t="s">
        <v>133</v>
      </c>
      <c r="D19" t="s">
        <v>253</v>
      </c>
      <c r="E19" t="s">
        <v>1483</v>
      </c>
      <c r="F19" s="539">
        <v>42758</v>
      </c>
      <c r="G19" s="539">
        <v>42769</v>
      </c>
      <c r="H19" s="540">
        <v>1</v>
      </c>
    </row>
    <row r="20" spans="1:8" x14ac:dyDescent="0.25">
      <c r="A20" t="s">
        <v>85</v>
      </c>
      <c r="B20" t="s">
        <v>133</v>
      </c>
      <c r="D20" t="s">
        <v>181</v>
      </c>
      <c r="E20" t="s">
        <v>181</v>
      </c>
      <c r="F20" s="539">
        <v>42758</v>
      </c>
      <c r="G20" s="539">
        <v>42769</v>
      </c>
      <c r="H20" s="540">
        <v>1</v>
      </c>
    </row>
    <row r="21" spans="1:8" x14ac:dyDescent="0.25">
      <c r="A21" t="s">
        <v>85</v>
      </c>
      <c r="B21" t="s">
        <v>133</v>
      </c>
      <c r="D21" t="s">
        <v>372</v>
      </c>
      <c r="E21" t="s">
        <v>926</v>
      </c>
      <c r="F21" s="539">
        <v>42758</v>
      </c>
      <c r="G21" s="539">
        <v>42769</v>
      </c>
      <c r="H21" s="540">
        <v>1</v>
      </c>
    </row>
    <row r="22" spans="1:8" x14ac:dyDescent="0.25">
      <c r="A22" t="s">
        <v>85</v>
      </c>
      <c r="B22" t="s">
        <v>133</v>
      </c>
      <c r="D22" t="s">
        <v>271</v>
      </c>
      <c r="E22" t="s">
        <v>707</v>
      </c>
      <c r="F22" s="539">
        <v>42779</v>
      </c>
      <c r="G22" s="539">
        <v>42790</v>
      </c>
      <c r="H22" s="540">
        <v>1</v>
      </c>
    </row>
    <row r="23" spans="1:8" x14ac:dyDescent="0.25">
      <c r="A23" t="s">
        <v>85</v>
      </c>
      <c r="B23" t="s">
        <v>133</v>
      </c>
      <c r="D23" t="s">
        <v>271</v>
      </c>
      <c r="E23" t="s">
        <v>707</v>
      </c>
      <c r="F23" s="539">
        <v>42779</v>
      </c>
      <c r="G23" s="539">
        <v>42790</v>
      </c>
      <c r="H23" s="540">
        <v>1</v>
      </c>
    </row>
    <row r="24" spans="1:8" x14ac:dyDescent="0.25">
      <c r="A24" t="s">
        <v>85</v>
      </c>
      <c r="B24" t="s">
        <v>133</v>
      </c>
      <c r="D24" t="s">
        <v>309</v>
      </c>
      <c r="E24" t="s">
        <v>186</v>
      </c>
      <c r="F24" s="539">
        <v>42744</v>
      </c>
      <c r="G24" s="539">
        <v>42755</v>
      </c>
      <c r="H24" s="540">
        <v>1</v>
      </c>
    </row>
    <row r="25" spans="1:8" x14ac:dyDescent="0.25">
      <c r="A25" t="s">
        <v>92</v>
      </c>
      <c r="B25" t="s">
        <v>117</v>
      </c>
      <c r="D25" t="s">
        <v>290</v>
      </c>
      <c r="E25" t="s">
        <v>1059</v>
      </c>
      <c r="F25" s="539">
        <v>42765</v>
      </c>
      <c r="G25" s="539">
        <v>42790</v>
      </c>
      <c r="H25" s="540">
        <v>1</v>
      </c>
    </row>
  </sheetData>
  <dataConsolidate/>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63"/>
  <sheetViews>
    <sheetView workbookViewId="0">
      <selection activeCell="I7" sqref="I7"/>
    </sheetView>
  </sheetViews>
  <sheetFormatPr defaultColWidth="8.875" defaultRowHeight="15.75" x14ac:dyDescent="0.25"/>
  <cols>
    <col min="1" max="1" width="30" bestFit="1" customWidth="1"/>
    <col min="2" max="2" width="10.375" style="15" bestFit="1" customWidth="1"/>
    <col min="3" max="3" width="0.625" style="13" customWidth="1"/>
    <col min="4" max="4" width="17.125" customWidth="1"/>
    <col min="5" max="5" width="27.625" bestFit="1" customWidth="1"/>
    <col min="6" max="6" width="15.875" customWidth="1"/>
    <col min="7" max="7" width="14.125" customWidth="1"/>
    <col min="8" max="8" width="23" customWidth="1"/>
    <col min="9" max="9" width="14.875" bestFit="1" customWidth="1"/>
    <col min="10" max="10" width="20.5" bestFit="1" customWidth="1"/>
    <col min="11" max="11" width="15.375" bestFit="1" customWidth="1"/>
    <col min="12" max="12" width="21.625" bestFit="1" customWidth="1"/>
    <col min="13" max="13" width="16.625" bestFit="1" customWidth="1"/>
    <col min="14" max="14" width="40.625" hidden="1" customWidth="1"/>
    <col min="15" max="15" width="44.125" bestFit="1" customWidth="1"/>
    <col min="16" max="16" width="34.375" customWidth="1"/>
    <col min="17" max="17" width="31.625" customWidth="1"/>
  </cols>
  <sheetData>
    <row r="1" spans="1:17" x14ac:dyDescent="0.25">
      <c r="A1" s="2" t="s">
        <v>15</v>
      </c>
      <c r="B1" s="14" t="s">
        <v>1524</v>
      </c>
      <c r="D1" s="2" t="s">
        <v>14</v>
      </c>
      <c r="E1" s="2" t="s">
        <v>16</v>
      </c>
      <c r="F1" s="2" t="s">
        <v>135</v>
      </c>
      <c r="G1" s="2" t="s">
        <v>1171</v>
      </c>
      <c r="H1" s="2" t="s">
        <v>1170</v>
      </c>
      <c r="I1" s="2" t="s">
        <v>24</v>
      </c>
      <c r="J1" s="2" t="s">
        <v>62</v>
      </c>
      <c r="K1" s="2" t="s">
        <v>555</v>
      </c>
      <c r="L1" s="2" t="s">
        <v>91</v>
      </c>
      <c r="M1" s="2" t="s">
        <v>136</v>
      </c>
      <c r="N1" s="2" t="s">
        <v>139</v>
      </c>
      <c r="O1" s="2" t="s">
        <v>198</v>
      </c>
      <c r="P1" s="2" t="s">
        <v>831</v>
      </c>
      <c r="Q1" s="2" t="s">
        <v>832</v>
      </c>
    </row>
    <row r="2" spans="1:17" s="375" customFormat="1" ht="12.75" x14ac:dyDescent="0.2">
      <c r="A2" s="472" t="s">
        <v>527</v>
      </c>
      <c r="B2" s="473">
        <f ca="1">stories_total_loe_buffered+addins_total_loe+risks_total_loe+staffing_total_loe_oversight</f>
        <v>467.5</v>
      </c>
      <c r="C2" s="474"/>
      <c r="D2" s="375" t="s">
        <v>12</v>
      </c>
      <c r="E2" s="375" t="s">
        <v>100</v>
      </c>
      <c r="F2" s="375" t="s">
        <v>17</v>
      </c>
      <c r="G2" s="375" t="s">
        <v>17</v>
      </c>
      <c r="H2" s="375" t="s">
        <v>17</v>
      </c>
      <c r="I2" s="375" t="s">
        <v>17</v>
      </c>
      <c r="J2" s="475" t="s">
        <v>55</v>
      </c>
      <c r="K2" s="375" t="s">
        <v>67</v>
      </c>
      <c r="L2" s="375" t="s">
        <v>92</v>
      </c>
      <c r="M2" s="375" t="s">
        <v>138</v>
      </c>
      <c r="N2" s="375" t="s">
        <v>572</v>
      </c>
      <c r="O2" s="375" t="s">
        <v>519</v>
      </c>
      <c r="P2" s="476" t="s">
        <v>329</v>
      </c>
      <c r="Q2" s="477" t="s">
        <v>573</v>
      </c>
    </row>
    <row r="3" spans="1:17" s="375" customFormat="1" ht="12.75" x14ac:dyDescent="0.2">
      <c r="A3" s="472" t="s">
        <v>556</v>
      </c>
      <c r="B3" s="478" t="str">
        <f>TEXT("22/07/2016","DD/MM/YYYY")</f>
        <v>22/07/2016</v>
      </c>
      <c r="C3" s="474"/>
      <c r="D3" s="375" t="s">
        <v>13</v>
      </c>
      <c r="E3" s="375" t="s">
        <v>101</v>
      </c>
      <c r="F3" s="375" t="s">
        <v>1644</v>
      </c>
      <c r="G3" s="375" t="s">
        <v>1645</v>
      </c>
      <c r="I3" s="375" t="s">
        <v>1738</v>
      </c>
      <c r="J3" s="375" t="s">
        <v>56</v>
      </c>
      <c r="K3" s="375" t="s">
        <v>68</v>
      </c>
      <c r="L3" s="375" t="s">
        <v>85</v>
      </c>
      <c r="M3" s="375" t="s">
        <v>133</v>
      </c>
      <c r="N3" s="375" t="s">
        <v>140</v>
      </c>
      <c r="O3" s="375" t="s">
        <v>329</v>
      </c>
      <c r="P3" s="476" t="e">
        <v>#N/A</v>
      </c>
      <c r="Q3" s="477" t="s">
        <v>140</v>
      </c>
    </row>
    <row r="4" spans="1:17" s="375" customFormat="1" ht="12.75" x14ac:dyDescent="0.2">
      <c r="A4" s="472" t="s">
        <v>557</v>
      </c>
      <c r="B4" s="479" t="s">
        <v>559</v>
      </c>
      <c r="C4" s="474"/>
      <c r="E4" s="375" t="s">
        <v>102</v>
      </c>
      <c r="F4" s="375" t="s">
        <v>1658</v>
      </c>
      <c r="G4" s="375" t="s">
        <v>1646</v>
      </c>
      <c r="I4" s="375" t="s">
        <v>1739</v>
      </c>
      <c r="J4" s="375" t="s">
        <v>57</v>
      </c>
      <c r="L4" s="375" t="s">
        <v>93</v>
      </c>
      <c r="M4" s="375" t="s">
        <v>131</v>
      </c>
      <c r="N4" s="375" t="s">
        <v>141</v>
      </c>
      <c r="O4" s="375" t="s">
        <v>141</v>
      </c>
      <c r="P4" s="476" t="s">
        <v>141</v>
      </c>
      <c r="Q4" s="477" t="s">
        <v>141</v>
      </c>
    </row>
    <row r="5" spans="1:17" s="375" customFormat="1" ht="12.75" x14ac:dyDescent="0.2">
      <c r="A5" s="472" t="s">
        <v>558</v>
      </c>
      <c r="B5" s="479"/>
      <c r="C5" s="474"/>
      <c r="F5" s="375" t="s">
        <v>1660</v>
      </c>
      <c r="G5" s="375" t="s">
        <v>1647</v>
      </c>
      <c r="I5" s="375" t="s">
        <v>1718</v>
      </c>
      <c r="J5" s="375" t="s">
        <v>58</v>
      </c>
      <c r="M5" s="375" t="s">
        <v>132</v>
      </c>
      <c r="N5" s="375" t="s">
        <v>142</v>
      </c>
      <c r="O5" s="375" t="s">
        <v>142</v>
      </c>
      <c r="P5" s="476" t="s">
        <v>142</v>
      </c>
      <c r="Q5" s="477" t="s">
        <v>141</v>
      </c>
    </row>
    <row r="6" spans="1:17" s="375" customFormat="1" ht="12.75" x14ac:dyDescent="0.2">
      <c r="A6" s="472" t="s">
        <v>1048</v>
      </c>
      <c r="B6" s="479"/>
      <c r="C6" s="474"/>
      <c r="F6" s="375" t="s">
        <v>1672</v>
      </c>
      <c r="G6" s="375" t="s">
        <v>1650</v>
      </c>
      <c r="I6" s="375" t="s">
        <v>1724</v>
      </c>
      <c r="J6" s="375" t="s">
        <v>59</v>
      </c>
      <c r="M6" s="375" t="s">
        <v>1263</v>
      </c>
      <c r="N6" s="375" t="s">
        <v>573</v>
      </c>
      <c r="O6" s="375" t="s">
        <v>330</v>
      </c>
      <c r="P6" s="476" t="s">
        <v>142</v>
      </c>
      <c r="Q6" s="477" t="s">
        <v>142</v>
      </c>
    </row>
    <row r="7" spans="1:17" s="375" customFormat="1" ht="12.75" x14ac:dyDescent="0.2">
      <c r="A7" s="472" t="s">
        <v>1050</v>
      </c>
      <c r="B7" s="479" t="s">
        <v>1049</v>
      </c>
      <c r="C7" s="474"/>
      <c r="F7" s="375" t="s">
        <v>1680</v>
      </c>
      <c r="G7" s="375" t="s">
        <v>1653</v>
      </c>
      <c r="I7" s="375" t="s">
        <v>1653</v>
      </c>
      <c r="J7" s="375" t="s">
        <v>60</v>
      </c>
      <c r="M7" s="375" t="s">
        <v>134</v>
      </c>
      <c r="N7" s="375" t="s">
        <v>574</v>
      </c>
      <c r="O7" s="375" t="s">
        <v>1128</v>
      </c>
      <c r="P7" s="476" t="s">
        <v>330</v>
      </c>
      <c r="Q7" s="477" t="s">
        <v>330</v>
      </c>
    </row>
    <row r="8" spans="1:17" s="375" customFormat="1" ht="12.75" x14ac:dyDescent="0.2">
      <c r="A8" s="472" t="s">
        <v>1358</v>
      </c>
      <c r="B8" s="479">
        <v>2</v>
      </c>
      <c r="C8" s="474"/>
      <c r="F8" s="375" t="s">
        <v>1681</v>
      </c>
      <c r="G8" s="375" t="s">
        <v>1702</v>
      </c>
      <c r="J8" s="375" t="s">
        <v>61</v>
      </c>
      <c r="M8" s="375" t="s">
        <v>1357</v>
      </c>
      <c r="N8" s="375" t="s">
        <v>575</v>
      </c>
      <c r="O8" s="375" t="s">
        <v>199</v>
      </c>
      <c r="P8" s="476" t="s">
        <v>1128</v>
      </c>
      <c r="Q8" s="477" t="s">
        <v>142</v>
      </c>
    </row>
    <row r="9" spans="1:17" s="375" customFormat="1" ht="12.75" x14ac:dyDescent="0.2">
      <c r="B9" s="479"/>
      <c r="C9" s="474"/>
      <c r="F9" s="375" t="s">
        <v>1691</v>
      </c>
      <c r="G9" s="375" t="s">
        <v>1749</v>
      </c>
      <c r="M9" s="375" t="s">
        <v>137</v>
      </c>
      <c r="N9" s="375" t="s">
        <v>576</v>
      </c>
      <c r="O9" s="375" t="s">
        <v>331</v>
      </c>
      <c r="P9" s="476" t="s">
        <v>331</v>
      </c>
      <c r="Q9" s="477" t="s">
        <v>143</v>
      </c>
    </row>
    <row r="10" spans="1:17" s="375" customFormat="1" ht="12.75" x14ac:dyDescent="0.2">
      <c r="B10" s="479"/>
      <c r="C10" s="474"/>
      <c r="F10" s="480"/>
      <c r="G10" s="480"/>
      <c r="H10" s="480"/>
      <c r="M10" s="375" t="s">
        <v>103</v>
      </c>
      <c r="N10" s="375" t="s">
        <v>577</v>
      </c>
      <c r="O10" s="375" t="s">
        <v>332</v>
      </c>
      <c r="P10" s="476" t="s">
        <v>331</v>
      </c>
      <c r="Q10" s="477" t="s">
        <v>833</v>
      </c>
    </row>
    <row r="11" spans="1:17" s="375" customFormat="1" ht="12.75" x14ac:dyDescent="0.2">
      <c r="B11" s="479"/>
      <c r="C11" s="474"/>
      <c r="F11" s="480"/>
      <c r="G11" s="480"/>
      <c r="H11" s="480"/>
      <c r="M11" s="375" t="s">
        <v>104</v>
      </c>
      <c r="N11" s="375" t="s">
        <v>578</v>
      </c>
      <c r="O11" s="375" t="s">
        <v>335</v>
      </c>
      <c r="P11" s="476" t="s">
        <v>331</v>
      </c>
      <c r="Q11" s="477" t="s">
        <v>834</v>
      </c>
    </row>
    <row r="12" spans="1:17" s="375" customFormat="1" ht="12.75" x14ac:dyDescent="0.2">
      <c r="B12" s="479"/>
      <c r="C12" s="474"/>
      <c r="F12" s="480"/>
      <c r="G12" s="480"/>
      <c r="M12" s="375" t="s">
        <v>105</v>
      </c>
      <c r="N12" s="375" t="s">
        <v>579</v>
      </c>
      <c r="O12" s="375" t="s">
        <v>333</v>
      </c>
      <c r="P12" s="476" t="s">
        <v>332</v>
      </c>
      <c r="Q12" s="477" t="s">
        <v>833</v>
      </c>
    </row>
    <row r="13" spans="1:17" s="375" customFormat="1" ht="12.75" x14ac:dyDescent="0.2">
      <c r="B13" s="479"/>
      <c r="C13" s="474"/>
      <c r="G13" s="480"/>
      <c r="H13" s="480"/>
      <c r="M13" s="375" t="s">
        <v>1264</v>
      </c>
      <c r="N13" s="375" t="s">
        <v>580</v>
      </c>
      <c r="O13" s="375" t="s">
        <v>334</v>
      </c>
      <c r="P13" s="476" t="s">
        <v>332</v>
      </c>
      <c r="Q13" s="477" t="s">
        <v>834</v>
      </c>
    </row>
    <row r="14" spans="1:17" s="375" customFormat="1" ht="12.75" x14ac:dyDescent="0.2">
      <c r="B14" s="479"/>
      <c r="C14" s="474"/>
      <c r="G14" s="480"/>
      <c r="M14" s="375" t="s">
        <v>106</v>
      </c>
      <c r="N14" s="375" t="s">
        <v>581</v>
      </c>
      <c r="O14" s="375" t="s">
        <v>200</v>
      </c>
      <c r="P14" s="476" t="s">
        <v>819</v>
      </c>
      <c r="Q14" s="477" t="s">
        <v>1051</v>
      </c>
    </row>
    <row r="15" spans="1:17" s="375" customFormat="1" ht="12.75" x14ac:dyDescent="0.2">
      <c r="B15" s="479"/>
      <c r="C15" s="474"/>
      <c r="G15" s="480"/>
      <c r="M15" s="375" t="s">
        <v>107</v>
      </c>
      <c r="N15" s="375" t="s">
        <v>582</v>
      </c>
      <c r="O15" s="375" t="s">
        <v>201</v>
      </c>
      <c r="P15" s="476" t="s">
        <v>1129</v>
      </c>
      <c r="Q15" s="477" t="s">
        <v>140</v>
      </c>
    </row>
    <row r="16" spans="1:17" s="375" customFormat="1" ht="12.75" x14ac:dyDescent="0.2">
      <c r="B16" s="479"/>
      <c r="C16" s="474"/>
      <c r="G16" s="480"/>
      <c r="M16" s="375" t="s">
        <v>1273</v>
      </c>
      <c r="N16" s="375" t="s">
        <v>143</v>
      </c>
      <c r="O16" s="375" t="s">
        <v>400</v>
      </c>
      <c r="P16" s="476" t="s">
        <v>1129</v>
      </c>
      <c r="Q16" s="477" t="s">
        <v>166</v>
      </c>
    </row>
    <row r="17" spans="2:17" s="375" customFormat="1" ht="12.75" x14ac:dyDescent="0.2">
      <c r="B17" s="479"/>
      <c r="C17" s="474"/>
      <c r="G17" s="480"/>
      <c r="M17" s="375" t="s">
        <v>108</v>
      </c>
      <c r="N17" s="375" t="s">
        <v>583</v>
      </c>
      <c r="O17" s="375" t="s">
        <v>1351</v>
      </c>
      <c r="P17" s="476" t="s">
        <v>148</v>
      </c>
      <c r="Q17" s="477" t="s">
        <v>835</v>
      </c>
    </row>
    <row r="18" spans="2:17" s="375" customFormat="1" ht="12.75" x14ac:dyDescent="0.2">
      <c r="B18" s="479"/>
      <c r="C18" s="474"/>
      <c r="F18" s="480"/>
      <c r="M18" s="375" t="s">
        <v>571</v>
      </c>
      <c r="N18" s="375" t="s">
        <v>144</v>
      </c>
      <c r="O18" s="375" t="s">
        <v>1352</v>
      </c>
      <c r="P18" s="476" t="s">
        <v>148</v>
      </c>
      <c r="Q18" s="477" t="s">
        <v>148</v>
      </c>
    </row>
    <row r="19" spans="2:17" s="375" customFormat="1" ht="12.75" x14ac:dyDescent="0.2">
      <c r="B19" s="479"/>
      <c r="C19" s="474"/>
      <c r="F19" s="480"/>
      <c r="M19" s="375" t="s">
        <v>109</v>
      </c>
      <c r="N19" s="375" t="s">
        <v>145</v>
      </c>
      <c r="O19" s="375" t="s">
        <v>336</v>
      </c>
      <c r="P19" s="476" t="s">
        <v>149</v>
      </c>
      <c r="Q19" s="477" t="s">
        <v>836</v>
      </c>
    </row>
    <row r="20" spans="2:17" s="375" customFormat="1" ht="12.75" x14ac:dyDescent="0.2">
      <c r="B20" s="479"/>
      <c r="C20" s="474"/>
      <c r="F20" s="480"/>
      <c r="M20" s="375" t="s">
        <v>110</v>
      </c>
      <c r="N20" s="375" t="s">
        <v>146</v>
      </c>
      <c r="O20" s="375" t="s">
        <v>337</v>
      </c>
      <c r="P20" s="476" t="s">
        <v>149</v>
      </c>
      <c r="Q20" s="477" t="s">
        <v>837</v>
      </c>
    </row>
    <row r="21" spans="2:17" s="375" customFormat="1" ht="12.75" x14ac:dyDescent="0.2">
      <c r="B21" s="479"/>
      <c r="C21" s="474"/>
      <c r="F21" s="480"/>
      <c r="M21" s="375" t="s">
        <v>111</v>
      </c>
      <c r="N21" s="375" t="s">
        <v>584</v>
      </c>
      <c r="O21" s="375" t="s">
        <v>202</v>
      </c>
      <c r="P21" s="476" t="s">
        <v>149</v>
      </c>
      <c r="Q21" s="477" t="s">
        <v>838</v>
      </c>
    </row>
    <row r="22" spans="2:17" s="375" customFormat="1" ht="12.75" x14ac:dyDescent="0.2">
      <c r="B22" s="479"/>
      <c r="C22" s="474"/>
      <c r="F22" s="480"/>
      <c r="M22" s="375" t="s">
        <v>112</v>
      </c>
      <c r="N22" s="375" t="s">
        <v>585</v>
      </c>
      <c r="O22" s="375" t="s">
        <v>338</v>
      </c>
      <c r="P22" s="476" t="s">
        <v>347</v>
      </c>
      <c r="Q22" s="477" t="s">
        <v>587</v>
      </c>
    </row>
    <row r="23" spans="2:17" s="375" customFormat="1" ht="12.75" x14ac:dyDescent="0.2">
      <c r="B23" s="479"/>
      <c r="C23" s="474"/>
      <c r="F23" s="480"/>
      <c r="M23" s="375" t="s">
        <v>113</v>
      </c>
      <c r="N23" s="375" t="s">
        <v>147</v>
      </c>
      <c r="O23" s="375" t="s">
        <v>203</v>
      </c>
      <c r="P23" s="476" t="s">
        <v>347</v>
      </c>
      <c r="Q23" s="477" t="s">
        <v>588</v>
      </c>
    </row>
    <row r="24" spans="2:17" s="375" customFormat="1" ht="12.75" x14ac:dyDescent="0.2">
      <c r="B24" s="479"/>
      <c r="C24" s="474"/>
      <c r="F24" s="480"/>
      <c r="M24" s="375" t="s">
        <v>114</v>
      </c>
      <c r="N24" s="375" t="s">
        <v>148</v>
      </c>
      <c r="O24" s="375" t="s">
        <v>204</v>
      </c>
      <c r="P24" s="476" t="s">
        <v>347</v>
      </c>
      <c r="Q24" s="477" t="s">
        <v>589</v>
      </c>
    </row>
    <row r="25" spans="2:17" s="375" customFormat="1" ht="12.75" x14ac:dyDescent="0.2">
      <c r="B25" s="479"/>
      <c r="C25" s="474"/>
      <c r="F25" s="480"/>
      <c r="M25" s="375" t="s">
        <v>115</v>
      </c>
      <c r="N25" s="375" t="s">
        <v>149</v>
      </c>
      <c r="O25" s="375" t="s">
        <v>205</v>
      </c>
      <c r="P25" s="476" t="s">
        <v>348</v>
      </c>
      <c r="Q25" s="477" t="s">
        <v>154</v>
      </c>
    </row>
    <row r="26" spans="2:17" s="375" customFormat="1" ht="12.75" x14ac:dyDescent="0.2">
      <c r="B26" s="479"/>
      <c r="C26" s="474"/>
      <c r="F26" s="480"/>
      <c r="M26" s="375" t="s">
        <v>116</v>
      </c>
      <c r="N26" s="375" t="s">
        <v>586</v>
      </c>
      <c r="O26" s="375" t="s">
        <v>206</v>
      </c>
      <c r="P26" s="476" t="s">
        <v>348</v>
      </c>
      <c r="Q26" s="477" t="s">
        <v>839</v>
      </c>
    </row>
    <row r="27" spans="2:17" s="375" customFormat="1" ht="12.75" x14ac:dyDescent="0.2">
      <c r="B27" s="479"/>
      <c r="C27" s="474"/>
      <c r="F27" s="480"/>
      <c r="M27" s="375" t="s">
        <v>1280</v>
      </c>
      <c r="N27" s="375" t="s">
        <v>587</v>
      </c>
      <c r="O27" s="375" t="s">
        <v>339</v>
      </c>
      <c r="P27" s="476" t="s">
        <v>349</v>
      </c>
      <c r="Q27" s="477" t="s">
        <v>154</v>
      </c>
    </row>
    <row r="28" spans="2:17" s="375" customFormat="1" ht="12.75" x14ac:dyDescent="0.2">
      <c r="B28" s="479"/>
      <c r="C28" s="474"/>
      <c r="F28" s="480"/>
      <c r="M28" s="375" t="s">
        <v>117</v>
      </c>
      <c r="N28" s="375" t="s">
        <v>588</v>
      </c>
      <c r="O28" s="375" t="s">
        <v>340</v>
      </c>
      <c r="P28" s="476" t="s">
        <v>349</v>
      </c>
      <c r="Q28" s="477" t="s">
        <v>839</v>
      </c>
    </row>
    <row r="29" spans="2:17" s="375" customFormat="1" ht="12.75" x14ac:dyDescent="0.2">
      <c r="B29" s="479"/>
      <c r="C29" s="474"/>
      <c r="F29" s="480"/>
      <c r="M29" s="375" t="s">
        <v>118</v>
      </c>
      <c r="N29" s="375" t="s">
        <v>589</v>
      </c>
      <c r="O29" s="375" t="s">
        <v>341</v>
      </c>
      <c r="P29" s="476" t="s">
        <v>1130</v>
      </c>
      <c r="Q29" s="477" t="s">
        <v>168</v>
      </c>
    </row>
    <row r="30" spans="2:17" s="375" customFormat="1" ht="12.75" x14ac:dyDescent="0.2">
      <c r="B30" s="479"/>
      <c r="C30" s="474"/>
      <c r="F30" s="480"/>
      <c r="M30" s="375" t="s">
        <v>1265</v>
      </c>
      <c r="N30" s="375" t="s">
        <v>590</v>
      </c>
      <c r="O30" s="375" t="s">
        <v>144</v>
      </c>
      <c r="P30" s="476" t="s">
        <v>1131</v>
      </c>
      <c r="Q30" s="477" t="s">
        <v>168</v>
      </c>
    </row>
    <row r="31" spans="2:17" s="375" customFormat="1" ht="12.75" x14ac:dyDescent="0.2">
      <c r="B31" s="479"/>
      <c r="C31" s="474"/>
      <c r="M31" s="375" t="s">
        <v>119</v>
      </c>
      <c r="N31" s="375" t="s">
        <v>150</v>
      </c>
      <c r="O31" s="375" t="s">
        <v>207</v>
      </c>
      <c r="P31" s="476" t="s">
        <v>1276</v>
      </c>
      <c r="Q31" s="477" t="s">
        <v>1051</v>
      </c>
    </row>
    <row r="32" spans="2:17" s="375" customFormat="1" ht="12.75" x14ac:dyDescent="0.2">
      <c r="B32" s="479"/>
      <c r="C32" s="474"/>
      <c r="M32" s="375" t="s">
        <v>1266</v>
      </c>
      <c r="N32" s="375" t="s">
        <v>151</v>
      </c>
      <c r="O32" s="375" t="s">
        <v>208</v>
      </c>
      <c r="P32" s="476" t="s">
        <v>353</v>
      </c>
      <c r="Q32" s="477" t="s">
        <v>168</v>
      </c>
    </row>
    <row r="33" spans="2:17" s="375" customFormat="1" ht="12.75" x14ac:dyDescent="0.2">
      <c r="B33" s="479"/>
      <c r="C33" s="474"/>
      <c r="M33" s="375" t="s">
        <v>120</v>
      </c>
      <c r="N33" s="375" t="s">
        <v>152</v>
      </c>
      <c r="O33" s="375" t="s">
        <v>342</v>
      </c>
      <c r="P33" s="476" t="s">
        <v>353</v>
      </c>
      <c r="Q33" s="477" t="s">
        <v>840</v>
      </c>
    </row>
    <row r="34" spans="2:17" s="375" customFormat="1" ht="12.75" x14ac:dyDescent="0.2">
      <c r="B34" s="479"/>
      <c r="C34" s="474"/>
      <c r="M34" s="375" t="s">
        <v>121</v>
      </c>
      <c r="N34" s="375" t="s">
        <v>591</v>
      </c>
      <c r="O34" s="375" t="s">
        <v>343</v>
      </c>
      <c r="P34" s="476" t="s">
        <v>354</v>
      </c>
      <c r="Q34" s="477" t="s">
        <v>168</v>
      </c>
    </row>
    <row r="35" spans="2:17" s="375" customFormat="1" ht="12.75" x14ac:dyDescent="0.2">
      <c r="B35" s="479"/>
      <c r="C35" s="474"/>
      <c r="M35" s="375" t="s">
        <v>122</v>
      </c>
      <c r="N35" s="375" t="s">
        <v>153</v>
      </c>
      <c r="O35" s="375" t="s">
        <v>344</v>
      </c>
      <c r="P35" s="476" t="s">
        <v>354</v>
      </c>
      <c r="Q35" s="477" t="s">
        <v>840</v>
      </c>
    </row>
    <row r="36" spans="2:17" s="375" customFormat="1" ht="12.75" x14ac:dyDescent="0.2">
      <c r="B36" s="479"/>
      <c r="C36" s="474"/>
      <c r="M36" s="375" t="s">
        <v>1274</v>
      </c>
      <c r="N36" s="375" t="s">
        <v>154</v>
      </c>
      <c r="O36" s="375" t="s">
        <v>209</v>
      </c>
      <c r="P36" s="476" t="s">
        <v>841</v>
      </c>
      <c r="Q36" s="477" t="s">
        <v>154</v>
      </c>
    </row>
    <row r="37" spans="2:17" s="375" customFormat="1" ht="12.75" x14ac:dyDescent="0.2">
      <c r="B37" s="479"/>
      <c r="C37" s="474"/>
      <c r="M37" s="375" t="s">
        <v>123</v>
      </c>
      <c r="N37" s="375" t="s">
        <v>592</v>
      </c>
      <c r="O37" s="375" t="s">
        <v>210</v>
      </c>
      <c r="P37" s="476" t="s">
        <v>841</v>
      </c>
      <c r="Q37" s="477" t="s">
        <v>839</v>
      </c>
    </row>
    <row r="38" spans="2:17" s="375" customFormat="1" ht="12.75" x14ac:dyDescent="0.2">
      <c r="B38" s="479"/>
      <c r="C38" s="474"/>
      <c r="M38" s="375" t="s">
        <v>124</v>
      </c>
      <c r="N38" s="375" t="s">
        <v>155</v>
      </c>
      <c r="O38" s="375" t="s">
        <v>211</v>
      </c>
      <c r="P38" s="476" t="s">
        <v>842</v>
      </c>
      <c r="Q38" s="477" t="s">
        <v>154</v>
      </c>
    </row>
    <row r="39" spans="2:17" s="375" customFormat="1" ht="12.75" x14ac:dyDescent="0.2">
      <c r="B39" s="479"/>
      <c r="C39" s="474"/>
      <c r="M39" s="375" t="s">
        <v>125</v>
      </c>
      <c r="N39" s="375" t="s">
        <v>593</v>
      </c>
      <c r="O39" s="375" t="s">
        <v>345</v>
      </c>
      <c r="P39" s="476" t="s">
        <v>842</v>
      </c>
      <c r="Q39" s="477" t="s">
        <v>839</v>
      </c>
    </row>
    <row r="40" spans="2:17" s="375" customFormat="1" ht="12.75" x14ac:dyDescent="0.2">
      <c r="B40" s="479"/>
      <c r="C40" s="474"/>
      <c r="M40" s="375" t="s">
        <v>1267</v>
      </c>
      <c r="N40" s="375" t="s">
        <v>156</v>
      </c>
      <c r="O40" s="375" t="s">
        <v>214</v>
      </c>
      <c r="P40" s="476" t="s">
        <v>355</v>
      </c>
      <c r="Q40" s="477" t="s">
        <v>843</v>
      </c>
    </row>
    <row r="41" spans="2:17" s="375" customFormat="1" ht="12.75" x14ac:dyDescent="0.2">
      <c r="B41" s="479"/>
      <c r="C41" s="474"/>
      <c r="M41" s="375" t="s">
        <v>126</v>
      </c>
      <c r="N41" s="375" t="s">
        <v>157</v>
      </c>
      <c r="O41" s="375" t="s">
        <v>215</v>
      </c>
      <c r="P41" s="476" t="s">
        <v>355</v>
      </c>
      <c r="Q41" s="477" t="s">
        <v>844</v>
      </c>
    </row>
    <row r="42" spans="2:17" s="375" customFormat="1" ht="12.75" x14ac:dyDescent="0.2">
      <c r="B42" s="479"/>
      <c r="C42" s="474"/>
      <c r="M42" s="375" t="s">
        <v>127</v>
      </c>
      <c r="N42" s="375" t="s">
        <v>594</v>
      </c>
      <c r="O42" s="375" t="s">
        <v>216</v>
      </c>
      <c r="P42" s="476" t="s">
        <v>355</v>
      </c>
      <c r="Q42" s="477" t="s">
        <v>1392</v>
      </c>
    </row>
    <row r="43" spans="2:17" s="375" customFormat="1" ht="12.75" x14ac:dyDescent="0.2">
      <c r="B43" s="479"/>
      <c r="C43" s="474"/>
      <c r="M43" s="375" t="s">
        <v>1268</v>
      </c>
      <c r="N43" s="375" t="s">
        <v>595</v>
      </c>
      <c r="O43" s="375" t="s">
        <v>217</v>
      </c>
      <c r="P43" s="476" t="s">
        <v>355</v>
      </c>
      <c r="Q43" s="477" t="s">
        <v>1393</v>
      </c>
    </row>
    <row r="44" spans="2:17" s="375" customFormat="1" ht="12.75" x14ac:dyDescent="0.2">
      <c r="B44" s="479"/>
      <c r="C44" s="474"/>
      <c r="M44" s="375" t="s">
        <v>128</v>
      </c>
      <c r="N44" s="375" t="s">
        <v>158</v>
      </c>
      <c r="O44" s="375" t="s">
        <v>218</v>
      </c>
      <c r="P44" s="476" t="s">
        <v>355</v>
      </c>
      <c r="Q44" s="477" t="s">
        <v>845</v>
      </c>
    </row>
    <row r="45" spans="2:17" s="375" customFormat="1" ht="12.75" x14ac:dyDescent="0.2">
      <c r="B45" s="479"/>
      <c r="C45" s="474"/>
      <c r="M45" s="375" t="s">
        <v>129</v>
      </c>
      <c r="N45" s="375" t="s">
        <v>596</v>
      </c>
      <c r="O45" s="375" t="s">
        <v>212</v>
      </c>
      <c r="P45" s="476" t="s">
        <v>355</v>
      </c>
      <c r="Q45" s="477" t="s">
        <v>846</v>
      </c>
    </row>
    <row r="46" spans="2:17" s="375" customFormat="1" ht="12.75" x14ac:dyDescent="0.2">
      <c r="B46" s="479"/>
      <c r="C46" s="474"/>
      <c r="M46" s="375" t="s">
        <v>130</v>
      </c>
      <c r="N46" s="375" t="s">
        <v>159</v>
      </c>
      <c r="O46" s="375" t="s">
        <v>213</v>
      </c>
      <c r="P46" s="476" t="s">
        <v>355</v>
      </c>
      <c r="Q46" s="477" t="s">
        <v>847</v>
      </c>
    </row>
    <row r="47" spans="2:17" s="375" customFormat="1" ht="12.75" x14ac:dyDescent="0.2">
      <c r="B47" s="479"/>
      <c r="C47" s="474"/>
      <c r="N47" s="375" t="s">
        <v>597</v>
      </c>
      <c r="O47" s="375" t="s">
        <v>219</v>
      </c>
      <c r="P47" s="476" t="s">
        <v>355</v>
      </c>
      <c r="Q47" s="477" t="s">
        <v>848</v>
      </c>
    </row>
    <row r="48" spans="2:17" s="375" customFormat="1" ht="12.75" x14ac:dyDescent="0.2">
      <c r="B48" s="479"/>
      <c r="C48" s="474"/>
      <c r="N48" s="375" t="s">
        <v>598</v>
      </c>
      <c r="O48" s="375" t="s">
        <v>1129</v>
      </c>
      <c r="P48" s="476" t="s">
        <v>355</v>
      </c>
      <c r="Q48" s="477" t="s">
        <v>1394</v>
      </c>
    </row>
    <row r="49" spans="2:17" s="375" customFormat="1" ht="12.75" x14ac:dyDescent="0.2">
      <c r="B49" s="479"/>
      <c r="C49" s="474"/>
      <c r="N49" s="375" t="s">
        <v>160</v>
      </c>
      <c r="O49" s="375" t="s">
        <v>425</v>
      </c>
      <c r="P49" s="476" t="s">
        <v>355</v>
      </c>
      <c r="Q49" s="477" t="s">
        <v>849</v>
      </c>
    </row>
    <row r="50" spans="2:17" s="375" customFormat="1" ht="12.75" x14ac:dyDescent="0.2">
      <c r="B50" s="479"/>
      <c r="C50" s="474"/>
      <c r="N50" s="375" t="s">
        <v>161</v>
      </c>
      <c r="O50" s="375" t="s">
        <v>220</v>
      </c>
      <c r="P50" s="476" t="s">
        <v>355</v>
      </c>
      <c r="Q50" s="477" t="s">
        <v>1395</v>
      </c>
    </row>
    <row r="51" spans="2:17" s="375" customFormat="1" ht="12.75" x14ac:dyDescent="0.2">
      <c r="B51" s="479"/>
      <c r="C51" s="474"/>
      <c r="N51" s="375" t="s">
        <v>599</v>
      </c>
      <c r="O51" s="375" t="s">
        <v>426</v>
      </c>
      <c r="P51" s="476" t="s">
        <v>355</v>
      </c>
      <c r="Q51" s="477" t="s">
        <v>1459</v>
      </c>
    </row>
    <row r="52" spans="2:17" s="375" customFormat="1" ht="12.75" x14ac:dyDescent="0.2">
      <c r="B52" s="479"/>
      <c r="C52" s="474"/>
      <c r="N52" s="375" t="s">
        <v>162</v>
      </c>
      <c r="O52" s="375" t="s">
        <v>427</v>
      </c>
      <c r="P52" s="476" t="s">
        <v>355</v>
      </c>
      <c r="Q52" s="477" t="s">
        <v>1460</v>
      </c>
    </row>
    <row r="53" spans="2:17" s="375" customFormat="1" ht="12.75" x14ac:dyDescent="0.2">
      <c r="B53" s="479"/>
      <c r="C53" s="474"/>
      <c r="N53" s="375" t="s">
        <v>600</v>
      </c>
      <c r="O53" s="375" t="s">
        <v>221</v>
      </c>
      <c r="P53" s="476" t="s">
        <v>355</v>
      </c>
      <c r="Q53" s="477" t="s">
        <v>1461</v>
      </c>
    </row>
    <row r="54" spans="2:17" s="375" customFormat="1" ht="12.75" x14ac:dyDescent="0.2">
      <c r="B54" s="479"/>
      <c r="C54" s="474"/>
      <c r="N54" s="375" t="s">
        <v>163</v>
      </c>
      <c r="O54" s="375" t="s">
        <v>222</v>
      </c>
      <c r="P54" s="476" t="s">
        <v>356</v>
      </c>
      <c r="Q54" s="477" t="s">
        <v>843</v>
      </c>
    </row>
    <row r="55" spans="2:17" s="375" customFormat="1" ht="12.75" x14ac:dyDescent="0.2">
      <c r="B55" s="479"/>
      <c r="C55" s="474"/>
      <c r="N55" s="375" t="s">
        <v>601</v>
      </c>
      <c r="O55" s="375" t="s">
        <v>148</v>
      </c>
      <c r="P55" s="476" t="s">
        <v>356</v>
      </c>
      <c r="Q55" s="477" t="s">
        <v>844</v>
      </c>
    </row>
    <row r="56" spans="2:17" s="375" customFormat="1" ht="12.75" x14ac:dyDescent="0.2">
      <c r="B56" s="479"/>
      <c r="C56" s="474"/>
      <c r="N56" s="375" t="s">
        <v>602</v>
      </c>
      <c r="O56" s="375" t="s">
        <v>223</v>
      </c>
      <c r="P56" s="476" t="s">
        <v>356</v>
      </c>
      <c r="Q56" s="477" t="s">
        <v>1392</v>
      </c>
    </row>
    <row r="57" spans="2:17" s="375" customFormat="1" ht="12.75" x14ac:dyDescent="0.2">
      <c r="B57" s="479"/>
      <c r="C57" s="474"/>
      <c r="N57" s="375" t="s">
        <v>603</v>
      </c>
      <c r="O57" s="375" t="s">
        <v>346</v>
      </c>
      <c r="P57" s="476" t="s">
        <v>356</v>
      </c>
      <c r="Q57" s="477" t="s">
        <v>1393</v>
      </c>
    </row>
    <row r="58" spans="2:17" s="375" customFormat="1" ht="12.75" x14ac:dyDescent="0.2">
      <c r="B58" s="479"/>
      <c r="C58" s="474"/>
      <c r="N58" s="375" t="s">
        <v>604</v>
      </c>
      <c r="O58" s="375" t="s">
        <v>347</v>
      </c>
      <c r="P58" s="476" t="s">
        <v>356</v>
      </c>
      <c r="Q58" s="477" t="s">
        <v>845</v>
      </c>
    </row>
    <row r="59" spans="2:17" s="375" customFormat="1" ht="12.75" x14ac:dyDescent="0.2">
      <c r="B59" s="479"/>
      <c r="C59" s="474"/>
      <c r="N59" s="375" t="s">
        <v>605</v>
      </c>
      <c r="O59" s="375" t="s">
        <v>224</v>
      </c>
      <c r="P59" s="476" t="s">
        <v>356</v>
      </c>
      <c r="Q59" s="477" t="s">
        <v>846</v>
      </c>
    </row>
    <row r="60" spans="2:17" s="375" customFormat="1" ht="12.75" x14ac:dyDescent="0.2">
      <c r="B60" s="479"/>
      <c r="C60" s="474"/>
      <c r="N60" s="375" t="s">
        <v>606</v>
      </c>
      <c r="O60" s="375" t="s">
        <v>348</v>
      </c>
      <c r="P60" s="476" t="s">
        <v>356</v>
      </c>
      <c r="Q60" s="477" t="s">
        <v>847</v>
      </c>
    </row>
    <row r="61" spans="2:17" s="375" customFormat="1" ht="12.75" x14ac:dyDescent="0.2">
      <c r="B61" s="479"/>
      <c r="C61" s="474"/>
      <c r="N61" s="375" t="s">
        <v>164</v>
      </c>
      <c r="O61" s="375" t="s">
        <v>349</v>
      </c>
      <c r="P61" s="476" t="s">
        <v>356</v>
      </c>
      <c r="Q61" s="477" t="s">
        <v>848</v>
      </c>
    </row>
    <row r="62" spans="2:17" s="375" customFormat="1" ht="12.75" x14ac:dyDescent="0.2">
      <c r="B62" s="479"/>
      <c r="C62" s="474"/>
      <c r="N62" s="375" t="s">
        <v>165</v>
      </c>
      <c r="O62" s="375" t="s">
        <v>561</v>
      </c>
      <c r="P62" s="476" t="s">
        <v>356</v>
      </c>
      <c r="Q62" s="477" t="s">
        <v>1394</v>
      </c>
    </row>
    <row r="63" spans="2:17" s="375" customFormat="1" ht="12.75" x14ac:dyDescent="0.2">
      <c r="B63" s="479"/>
      <c r="C63" s="474"/>
      <c r="N63" s="375" t="s">
        <v>166</v>
      </c>
      <c r="O63" s="375" t="s">
        <v>562</v>
      </c>
      <c r="P63" s="476" t="s">
        <v>356</v>
      </c>
      <c r="Q63" s="477" t="s">
        <v>849</v>
      </c>
    </row>
    <row r="64" spans="2:17" s="375" customFormat="1" ht="12.75" x14ac:dyDescent="0.2">
      <c r="B64" s="479"/>
      <c r="C64" s="474"/>
      <c r="N64" s="375" t="s">
        <v>167</v>
      </c>
      <c r="O64" s="375" t="s">
        <v>1261</v>
      </c>
      <c r="P64" s="476" t="s">
        <v>356</v>
      </c>
      <c r="Q64" s="477" t="s">
        <v>1395</v>
      </c>
    </row>
    <row r="65" spans="2:17" s="375" customFormat="1" ht="12.75" x14ac:dyDescent="0.2">
      <c r="B65" s="479"/>
      <c r="C65" s="474"/>
      <c r="N65" s="375" t="s">
        <v>168</v>
      </c>
      <c r="O65" s="375" t="s">
        <v>225</v>
      </c>
      <c r="P65" s="476" t="s">
        <v>172</v>
      </c>
      <c r="Q65" s="477" t="s">
        <v>172</v>
      </c>
    </row>
    <row r="66" spans="2:17" s="375" customFormat="1" ht="12.75" x14ac:dyDescent="0.2">
      <c r="B66" s="479"/>
      <c r="C66" s="474"/>
      <c r="N66" s="375" t="s">
        <v>169</v>
      </c>
      <c r="O66" s="375" t="s">
        <v>226</v>
      </c>
      <c r="P66" s="476" t="s">
        <v>173</v>
      </c>
      <c r="Q66" s="477" t="s">
        <v>173</v>
      </c>
    </row>
    <row r="67" spans="2:17" s="375" customFormat="1" ht="12.75" x14ac:dyDescent="0.2">
      <c r="B67" s="479"/>
      <c r="C67" s="474"/>
      <c r="N67" s="375" t="s">
        <v>607</v>
      </c>
      <c r="O67" s="375" t="s">
        <v>429</v>
      </c>
      <c r="P67" s="476" t="s">
        <v>375</v>
      </c>
      <c r="Q67" s="477" t="s">
        <v>618</v>
      </c>
    </row>
    <row r="68" spans="2:17" s="375" customFormat="1" ht="12.75" x14ac:dyDescent="0.2">
      <c r="B68" s="479"/>
      <c r="C68" s="474"/>
      <c r="N68" s="375" t="s">
        <v>608</v>
      </c>
      <c r="O68" s="375" t="s">
        <v>227</v>
      </c>
      <c r="P68" s="476" t="s">
        <v>375</v>
      </c>
      <c r="Q68" s="477" t="s">
        <v>619</v>
      </c>
    </row>
    <row r="69" spans="2:17" s="375" customFormat="1" ht="12.75" x14ac:dyDescent="0.2">
      <c r="B69" s="479"/>
      <c r="C69" s="474"/>
      <c r="N69" s="375" t="s">
        <v>609</v>
      </c>
      <c r="O69" s="375" t="s">
        <v>228</v>
      </c>
      <c r="P69" s="476" t="s">
        <v>1275</v>
      </c>
      <c r="Q69" s="477" t="s">
        <v>1083</v>
      </c>
    </row>
    <row r="70" spans="2:17" s="375" customFormat="1" ht="12.75" x14ac:dyDescent="0.2">
      <c r="B70" s="479"/>
      <c r="C70" s="474"/>
      <c r="N70" s="375" t="s">
        <v>610</v>
      </c>
      <c r="O70" s="375" t="s">
        <v>350</v>
      </c>
      <c r="P70" s="476" t="s">
        <v>1042</v>
      </c>
      <c r="Q70" s="477" t="s">
        <v>1052</v>
      </c>
    </row>
    <row r="71" spans="2:17" s="375" customFormat="1" ht="12.75" x14ac:dyDescent="0.2">
      <c r="B71" s="479"/>
      <c r="C71" s="474"/>
      <c r="N71" s="375" t="s">
        <v>611</v>
      </c>
      <c r="O71" s="375" t="s">
        <v>229</v>
      </c>
      <c r="P71" s="476" t="s">
        <v>1043</v>
      </c>
      <c r="Q71" s="477" t="s">
        <v>1052</v>
      </c>
    </row>
    <row r="72" spans="2:17" s="375" customFormat="1" ht="12.75" x14ac:dyDescent="0.2">
      <c r="B72" s="479"/>
      <c r="C72" s="474"/>
      <c r="N72" s="375" t="s">
        <v>612</v>
      </c>
      <c r="O72" s="375" t="s">
        <v>230</v>
      </c>
      <c r="P72" s="476" t="s">
        <v>1044</v>
      </c>
      <c r="Q72" s="477" t="s">
        <v>1052</v>
      </c>
    </row>
    <row r="73" spans="2:17" s="375" customFormat="1" ht="12.75" x14ac:dyDescent="0.2">
      <c r="B73" s="479"/>
      <c r="C73" s="474"/>
      <c r="N73" s="375" t="s">
        <v>613</v>
      </c>
      <c r="O73" s="375" t="s">
        <v>162</v>
      </c>
      <c r="P73" s="476" t="s">
        <v>1045</v>
      </c>
      <c r="Q73" s="477" t="s">
        <v>1052</v>
      </c>
    </row>
    <row r="74" spans="2:17" s="375" customFormat="1" ht="12.75" x14ac:dyDescent="0.2">
      <c r="B74" s="479"/>
      <c r="C74" s="474"/>
      <c r="N74" s="375" t="s">
        <v>614</v>
      </c>
      <c r="O74" s="375" t="s">
        <v>817</v>
      </c>
      <c r="P74" s="476" t="s">
        <v>1046</v>
      </c>
      <c r="Q74" s="477" t="s">
        <v>1052</v>
      </c>
    </row>
    <row r="75" spans="2:17" s="375" customFormat="1" ht="12.75" x14ac:dyDescent="0.2">
      <c r="B75" s="479"/>
      <c r="C75" s="474"/>
      <c r="N75" s="375" t="s">
        <v>615</v>
      </c>
      <c r="O75" s="375" t="s">
        <v>351</v>
      </c>
      <c r="P75" s="476" t="s">
        <v>1047</v>
      </c>
      <c r="Q75" s="477" t="s">
        <v>1052</v>
      </c>
    </row>
    <row r="76" spans="2:17" s="375" customFormat="1" ht="12.75" x14ac:dyDescent="0.2">
      <c r="B76" s="479"/>
      <c r="C76" s="474"/>
      <c r="N76" s="375" t="s">
        <v>616</v>
      </c>
      <c r="O76" s="375" t="s">
        <v>789</v>
      </c>
      <c r="P76" s="476" t="s">
        <v>179</v>
      </c>
      <c r="Q76" s="477" t="s">
        <v>179</v>
      </c>
    </row>
    <row r="77" spans="2:17" s="375" customFormat="1" ht="12.75" x14ac:dyDescent="0.2">
      <c r="B77" s="479"/>
      <c r="C77" s="474"/>
      <c r="N77" s="375" t="s">
        <v>170</v>
      </c>
      <c r="O77" s="375" t="s">
        <v>352</v>
      </c>
      <c r="P77" s="476" t="s">
        <v>179</v>
      </c>
      <c r="Q77" s="477" t="s">
        <v>850</v>
      </c>
    </row>
    <row r="78" spans="2:17" s="375" customFormat="1" ht="12.75" x14ac:dyDescent="0.2">
      <c r="B78" s="479"/>
      <c r="C78" s="474"/>
      <c r="N78" s="375" t="s">
        <v>171</v>
      </c>
      <c r="O78" s="375" t="s">
        <v>231</v>
      </c>
      <c r="P78" s="476" t="s">
        <v>180</v>
      </c>
      <c r="Q78" s="477" t="s">
        <v>180</v>
      </c>
    </row>
    <row r="79" spans="2:17" s="375" customFormat="1" ht="12.75" x14ac:dyDescent="0.2">
      <c r="B79" s="479"/>
      <c r="C79" s="474"/>
      <c r="N79" s="375" t="s">
        <v>617</v>
      </c>
      <c r="O79" s="375" t="s">
        <v>232</v>
      </c>
      <c r="P79" s="476" t="s">
        <v>181</v>
      </c>
      <c r="Q79" s="477" t="s">
        <v>181</v>
      </c>
    </row>
    <row r="80" spans="2:17" s="375" customFormat="1" ht="12.75" x14ac:dyDescent="0.2">
      <c r="B80" s="479"/>
      <c r="C80" s="474"/>
      <c r="N80" s="375" t="s">
        <v>172</v>
      </c>
      <c r="O80" s="375" t="s">
        <v>233</v>
      </c>
      <c r="P80" s="476" t="s">
        <v>376</v>
      </c>
      <c r="Q80" s="477" t="s">
        <v>376</v>
      </c>
    </row>
    <row r="81" spans="2:17" s="375" customFormat="1" ht="12.75" x14ac:dyDescent="0.2">
      <c r="B81" s="479"/>
      <c r="C81" s="474"/>
      <c r="N81" s="375" t="s">
        <v>173</v>
      </c>
      <c r="O81" s="375" t="s">
        <v>235</v>
      </c>
      <c r="P81" s="476" t="s">
        <v>335</v>
      </c>
      <c r="Q81" s="477" t="s">
        <v>173</v>
      </c>
    </row>
    <row r="82" spans="2:17" s="375" customFormat="1" ht="12.75" x14ac:dyDescent="0.2">
      <c r="B82" s="479"/>
      <c r="C82" s="474"/>
      <c r="N82" s="375" t="s">
        <v>618</v>
      </c>
      <c r="O82" s="375" t="s">
        <v>236</v>
      </c>
      <c r="P82" s="476" t="s">
        <v>202</v>
      </c>
      <c r="Q82" s="477" t="s">
        <v>851</v>
      </c>
    </row>
    <row r="83" spans="2:17" s="375" customFormat="1" ht="12.75" x14ac:dyDescent="0.2">
      <c r="B83" s="479"/>
      <c r="C83" s="474"/>
      <c r="N83" s="375" t="s">
        <v>619</v>
      </c>
      <c r="O83" s="375" t="s">
        <v>234</v>
      </c>
      <c r="P83" s="476" t="s">
        <v>411</v>
      </c>
      <c r="Q83" s="477" t="s">
        <v>1053</v>
      </c>
    </row>
    <row r="84" spans="2:17" s="375" customFormat="1" ht="12.75" x14ac:dyDescent="0.2">
      <c r="B84" s="479"/>
      <c r="C84" s="474"/>
      <c r="N84" s="375" t="s">
        <v>620</v>
      </c>
      <c r="O84" s="375" t="s">
        <v>237</v>
      </c>
      <c r="P84" s="476" t="s">
        <v>412</v>
      </c>
      <c r="Q84" s="477" t="s">
        <v>1053</v>
      </c>
    </row>
    <row r="85" spans="2:17" s="375" customFormat="1" ht="12.75" x14ac:dyDescent="0.2">
      <c r="B85" s="479"/>
      <c r="C85" s="474"/>
      <c r="N85" s="375" t="s">
        <v>621</v>
      </c>
      <c r="O85" s="375" t="s">
        <v>238</v>
      </c>
      <c r="P85" s="476" t="s">
        <v>413</v>
      </c>
      <c r="Q85" s="477" t="s">
        <v>1053</v>
      </c>
    </row>
    <row r="86" spans="2:17" s="375" customFormat="1" ht="12.75" x14ac:dyDescent="0.2">
      <c r="B86" s="479"/>
      <c r="C86" s="474"/>
      <c r="N86" s="375" t="s">
        <v>622</v>
      </c>
      <c r="O86" s="375" t="s">
        <v>441</v>
      </c>
      <c r="P86" s="476" t="s">
        <v>414</v>
      </c>
      <c r="Q86" s="477" t="s">
        <v>1053</v>
      </c>
    </row>
    <row r="87" spans="2:17" s="375" customFormat="1" ht="12.75" x14ac:dyDescent="0.2">
      <c r="B87" s="479"/>
      <c r="C87" s="474"/>
      <c r="N87" s="375" t="s">
        <v>623</v>
      </c>
      <c r="O87" s="375" t="s">
        <v>1130</v>
      </c>
      <c r="P87" s="476" t="s">
        <v>399</v>
      </c>
      <c r="Q87" s="477" t="s">
        <v>1054</v>
      </c>
    </row>
    <row r="88" spans="2:17" s="375" customFormat="1" ht="12.75" x14ac:dyDescent="0.2">
      <c r="B88" s="479"/>
      <c r="C88" s="474"/>
      <c r="N88" s="375" t="s">
        <v>624</v>
      </c>
      <c r="O88" s="375" t="s">
        <v>1131</v>
      </c>
      <c r="P88" s="476" t="s">
        <v>333</v>
      </c>
      <c r="Q88" s="477" t="s">
        <v>833</v>
      </c>
    </row>
    <row r="89" spans="2:17" s="375" customFormat="1" ht="12.75" x14ac:dyDescent="0.2">
      <c r="B89" s="479"/>
      <c r="C89" s="474"/>
      <c r="N89" s="375" t="s">
        <v>625</v>
      </c>
      <c r="O89" s="375" t="s">
        <v>239</v>
      </c>
      <c r="P89" s="476" t="s">
        <v>333</v>
      </c>
      <c r="Q89" s="477" t="s">
        <v>834</v>
      </c>
    </row>
    <row r="90" spans="2:17" s="375" customFormat="1" ht="12.75" x14ac:dyDescent="0.2">
      <c r="B90" s="479"/>
      <c r="C90" s="474"/>
      <c r="N90" s="375" t="s">
        <v>626</v>
      </c>
      <c r="O90" s="375" t="s">
        <v>784</v>
      </c>
      <c r="P90" s="476" t="s">
        <v>334</v>
      </c>
      <c r="Q90" s="477" t="s">
        <v>833</v>
      </c>
    </row>
    <row r="91" spans="2:17" s="375" customFormat="1" ht="12.75" x14ac:dyDescent="0.2">
      <c r="B91" s="479"/>
      <c r="C91" s="474"/>
      <c r="N91" s="375" t="s">
        <v>627</v>
      </c>
      <c r="O91" s="375" t="s">
        <v>240</v>
      </c>
      <c r="P91" s="476" t="s">
        <v>334</v>
      </c>
      <c r="Q91" s="477" t="s">
        <v>834</v>
      </c>
    </row>
    <row r="92" spans="2:17" s="375" customFormat="1" ht="12.75" x14ac:dyDescent="0.2">
      <c r="B92" s="479"/>
      <c r="C92" s="474"/>
      <c r="N92" s="375" t="s">
        <v>628</v>
      </c>
      <c r="O92" s="375" t="s">
        <v>241</v>
      </c>
      <c r="P92" s="476" t="s">
        <v>201</v>
      </c>
      <c r="Q92" s="477" t="s">
        <v>585</v>
      </c>
    </row>
    <row r="93" spans="2:17" s="375" customFormat="1" ht="12.75" x14ac:dyDescent="0.2">
      <c r="B93" s="479"/>
      <c r="C93" s="474"/>
      <c r="N93" s="375" t="s">
        <v>629</v>
      </c>
      <c r="O93" s="375" t="s">
        <v>242</v>
      </c>
      <c r="P93" s="476" t="s">
        <v>201</v>
      </c>
      <c r="Q93" s="477" t="s">
        <v>656</v>
      </c>
    </row>
    <row r="94" spans="2:17" s="375" customFormat="1" ht="12.75" x14ac:dyDescent="0.2">
      <c r="B94" s="479"/>
      <c r="C94" s="474"/>
      <c r="N94" s="375" t="s">
        <v>630</v>
      </c>
      <c r="O94" s="375" t="s">
        <v>166</v>
      </c>
      <c r="P94" s="476" t="s">
        <v>201</v>
      </c>
      <c r="Q94" s="477" t="s">
        <v>762</v>
      </c>
    </row>
    <row r="95" spans="2:17" s="375" customFormat="1" ht="12.75" x14ac:dyDescent="0.2">
      <c r="B95" s="479"/>
      <c r="C95" s="474"/>
      <c r="N95" s="375" t="s">
        <v>631</v>
      </c>
      <c r="O95" s="375" t="s">
        <v>243</v>
      </c>
      <c r="P95" s="476" t="s">
        <v>201</v>
      </c>
      <c r="Q95" s="477" t="s">
        <v>763</v>
      </c>
    </row>
    <row r="96" spans="2:17" s="375" customFormat="1" ht="12.75" x14ac:dyDescent="0.2">
      <c r="B96" s="479"/>
      <c r="C96" s="474"/>
      <c r="N96" s="375" t="s">
        <v>632</v>
      </c>
      <c r="O96" s="375" t="s">
        <v>353</v>
      </c>
      <c r="P96" s="476" t="s">
        <v>200</v>
      </c>
      <c r="Q96" s="477" t="s">
        <v>1055</v>
      </c>
    </row>
    <row r="97" spans="2:17" s="375" customFormat="1" ht="12.75" x14ac:dyDescent="0.2">
      <c r="B97" s="479"/>
      <c r="C97" s="474"/>
      <c r="N97" s="375" t="s">
        <v>633</v>
      </c>
      <c r="O97" s="375" t="s">
        <v>354</v>
      </c>
      <c r="P97" s="476" t="s">
        <v>200</v>
      </c>
      <c r="Q97" s="477" t="s">
        <v>852</v>
      </c>
    </row>
    <row r="98" spans="2:17" s="375" customFormat="1" ht="12.75" x14ac:dyDescent="0.2">
      <c r="B98" s="479"/>
      <c r="C98" s="474"/>
      <c r="N98" s="375" t="s">
        <v>634</v>
      </c>
      <c r="O98" s="375" t="s">
        <v>841</v>
      </c>
      <c r="P98" s="476" t="s">
        <v>200</v>
      </c>
      <c r="Q98" s="477" t="s">
        <v>1056</v>
      </c>
    </row>
    <row r="99" spans="2:17" s="375" customFormat="1" ht="12.75" x14ac:dyDescent="0.2">
      <c r="B99" s="479"/>
      <c r="C99" s="474"/>
      <c r="N99" s="375" t="s">
        <v>635</v>
      </c>
      <c r="O99" s="375" t="s">
        <v>842</v>
      </c>
      <c r="P99" s="476" t="s">
        <v>200</v>
      </c>
      <c r="Q99" s="477" t="s">
        <v>1057</v>
      </c>
    </row>
    <row r="100" spans="2:17" s="375" customFormat="1" ht="12.75" x14ac:dyDescent="0.2">
      <c r="B100" s="479"/>
      <c r="C100" s="474"/>
      <c r="N100" s="375" t="s">
        <v>636</v>
      </c>
      <c r="O100" s="375" t="s">
        <v>355</v>
      </c>
      <c r="P100" s="476" t="s">
        <v>200</v>
      </c>
      <c r="Q100" s="477" t="s">
        <v>853</v>
      </c>
    </row>
    <row r="101" spans="2:17" s="375" customFormat="1" ht="12.75" x14ac:dyDescent="0.2">
      <c r="B101" s="479"/>
      <c r="C101" s="474"/>
      <c r="N101" s="375" t="s">
        <v>637</v>
      </c>
      <c r="O101" s="375" t="s">
        <v>356</v>
      </c>
      <c r="P101" s="476" t="s">
        <v>200</v>
      </c>
      <c r="Q101" s="477" t="s">
        <v>854</v>
      </c>
    </row>
    <row r="102" spans="2:17" s="375" customFormat="1" ht="12.75" x14ac:dyDescent="0.2">
      <c r="B102" s="479"/>
      <c r="C102" s="474"/>
      <c r="N102" s="375" t="s">
        <v>638</v>
      </c>
      <c r="O102" s="375" t="s">
        <v>1379</v>
      </c>
      <c r="P102" s="476" t="s">
        <v>200</v>
      </c>
      <c r="Q102" s="477" t="s">
        <v>1058</v>
      </c>
    </row>
    <row r="103" spans="2:17" s="375" customFormat="1" ht="12.75" x14ac:dyDescent="0.2">
      <c r="B103" s="479"/>
      <c r="C103" s="474"/>
      <c r="N103" s="375" t="s">
        <v>639</v>
      </c>
      <c r="O103" s="375" t="s">
        <v>357</v>
      </c>
      <c r="P103" s="476" t="s">
        <v>200</v>
      </c>
      <c r="Q103" s="477" t="s">
        <v>1059</v>
      </c>
    </row>
    <row r="104" spans="2:17" s="375" customFormat="1" ht="12.75" x14ac:dyDescent="0.2">
      <c r="B104" s="479"/>
      <c r="C104" s="474"/>
      <c r="N104" s="375" t="s">
        <v>640</v>
      </c>
      <c r="O104" s="375" t="s">
        <v>358</v>
      </c>
      <c r="P104" s="476" t="s">
        <v>200</v>
      </c>
      <c r="Q104" s="477" t="s">
        <v>1060</v>
      </c>
    </row>
    <row r="105" spans="2:17" s="375" customFormat="1" ht="12.75" x14ac:dyDescent="0.2">
      <c r="B105" s="479"/>
      <c r="C105" s="474"/>
      <c r="N105" s="375" t="s">
        <v>641</v>
      </c>
      <c r="O105" s="375" t="s">
        <v>359</v>
      </c>
      <c r="P105" s="476" t="s">
        <v>200</v>
      </c>
      <c r="Q105" s="477" t="s">
        <v>1061</v>
      </c>
    </row>
    <row r="106" spans="2:17" s="375" customFormat="1" ht="12.75" x14ac:dyDescent="0.2">
      <c r="B106" s="479"/>
      <c r="C106" s="474"/>
      <c r="N106" s="375" t="s">
        <v>642</v>
      </c>
      <c r="O106" s="375" t="s">
        <v>360</v>
      </c>
      <c r="P106" s="476" t="s">
        <v>200</v>
      </c>
      <c r="Q106" s="477" t="s">
        <v>855</v>
      </c>
    </row>
    <row r="107" spans="2:17" s="375" customFormat="1" ht="12.75" x14ac:dyDescent="0.2">
      <c r="B107" s="479"/>
      <c r="C107" s="474"/>
      <c r="N107" s="375" t="s">
        <v>174</v>
      </c>
      <c r="O107" s="375" t="s">
        <v>361</v>
      </c>
      <c r="P107" s="476" t="s">
        <v>200</v>
      </c>
      <c r="Q107" s="477" t="s">
        <v>1062</v>
      </c>
    </row>
    <row r="108" spans="2:17" s="375" customFormat="1" ht="12.75" x14ac:dyDescent="0.2">
      <c r="B108" s="479"/>
      <c r="C108" s="474"/>
      <c r="N108" s="375" t="s">
        <v>175</v>
      </c>
      <c r="O108" s="375" t="s">
        <v>362</v>
      </c>
      <c r="P108" s="476" t="s">
        <v>200</v>
      </c>
      <c r="Q108" s="477" t="s">
        <v>856</v>
      </c>
    </row>
    <row r="109" spans="2:17" s="375" customFormat="1" ht="12.75" x14ac:dyDescent="0.2">
      <c r="B109" s="479"/>
      <c r="C109" s="474"/>
      <c r="N109" s="375" t="s">
        <v>643</v>
      </c>
      <c r="O109" s="375" t="s">
        <v>1380</v>
      </c>
      <c r="P109" s="476" t="s">
        <v>200</v>
      </c>
      <c r="Q109" s="477" t="s">
        <v>857</v>
      </c>
    </row>
    <row r="110" spans="2:17" s="375" customFormat="1" ht="12.75" x14ac:dyDescent="0.2">
      <c r="B110" s="479"/>
      <c r="C110" s="474"/>
      <c r="N110" s="375" t="s">
        <v>176</v>
      </c>
      <c r="O110" s="375" t="s">
        <v>1132</v>
      </c>
      <c r="P110" s="476" t="s">
        <v>200</v>
      </c>
      <c r="Q110" s="477" t="s">
        <v>1063</v>
      </c>
    </row>
    <row r="111" spans="2:17" s="375" customFormat="1" ht="12.75" x14ac:dyDescent="0.2">
      <c r="B111" s="479"/>
      <c r="C111" s="474"/>
      <c r="N111" s="375" t="s">
        <v>644</v>
      </c>
      <c r="O111" s="375" t="s">
        <v>363</v>
      </c>
      <c r="P111" s="476" t="s">
        <v>200</v>
      </c>
      <c r="Q111" s="477" t="s">
        <v>1064</v>
      </c>
    </row>
    <row r="112" spans="2:17" s="375" customFormat="1" ht="12.75" x14ac:dyDescent="0.2">
      <c r="B112" s="479"/>
      <c r="C112" s="474"/>
      <c r="N112" s="375" t="s">
        <v>645</v>
      </c>
      <c r="O112" s="375" t="s">
        <v>364</v>
      </c>
      <c r="P112" s="476" t="s">
        <v>200</v>
      </c>
      <c r="Q112" s="477" t="s">
        <v>858</v>
      </c>
    </row>
    <row r="113" spans="2:17" s="375" customFormat="1" ht="12.75" x14ac:dyDescent="0.2">
      <c r="B113" s="479"/>
      <c r="C113" s="474"/>
      <c r="N113" s="375" t="s">
        <v>646</v>
      </c>
      <c r="O113" s="375" t="s">
        <v>365</v>
      </c>
      <c r="P113" s="476" t="s">
        <v>200</v>
      </c>
      <c r="Q113" s="477" t="s">
        <v>1065</v>
      </c>
    </row>
    <row r="114" spans="2:17" s="375" customFormat="1" ht="12.75" x14ac:dyDescent="0.2">
      <c r="B114" s="479"/>
      <c r="C114" s="474"/>
      <c r="N114" s="375" t="s">
        <v>647</v>
      </c>
      <c r="O114" s="375" t="s">
        <v>244</v>
      </c>
      <c r="P114" s="476" t="s">
        <v>200</v>
      </c>
      <c r="Q114" s="477" t="s">
        <v>1066</v>
      </c>
    </row>
    <row r="115" spans="2:17" s="375" customFormat="1" ht="12.75" x14ac:dyDescent="0.2">
      <c r="B115" s="479"/>
      <c r="C115" s="474"/>
      <c r="N115" s="375" t="s">
        <v>648</v>
      </c>
      <c r="O115" s="375" t="s">
        <v>245</v>
      </c>
      <c r="P115" s="476" t="s">
        <v>200</v>
      </c>
      <c r="Q115" s="477" t="s">
        <v>1067</v>
      </c>
    </row>
    <row r="116" spans="2:17" s="375" customFormat="1" ht="12.75" x14ac:dyDescent="0.2">
      <c r="B116" s="479"/>
      <c r="C116" s="474"/>
      <c r="N116" s="375" t="s">
        <v>177</v>
      </c>
      <c r="O116" s="375" t="s">
        <v>1381</v>
      </c>
      <c r="P116" s="476" t="s">
        <v>200</v>
      </c>
      <c r="Q116" s="477" t="s">
        <v>1068</v>
      </c>
    </row>
    <row r="117" spans="2:17" s="375" customFormat="1" ht="12.75" x14ac:dyDescent="0.2">
      <c r="B117" s="479"/>
      <c r="C117" s="474"/>
      <c r="N117" s="375" t="s">
        <v>649</v>
      </c>
      <c r="O117" s="375" t="s">
        <v>246</v>
      </c>
      <c r="P117" s="476" t="s">
        <v>200</v>
      </c>
      <c r="Q117" s="477" t="s">
        <v>1069</v>
      </c>
    </row>
    <row r="118" spans="2:17" s="375" customFormat="1" ht="12.75" x14ac:dyDescent="0.2">
      <c r="B118" s="479"/>
      <c r="C118" s="474"/>
      <c r="N118" s="375" t="s">
        <v>650</v>
      </c>
      <c r="O118" s="375" t="s">
        <v>563</v>
      </c>
      <c r="P118" s="476" t="s">
        <v>200</v>
      </c>
      <c r="Q118" s="477" t="s">
        <v>859</v>
      </c>
    </row>
    <row r="119" spans="2:17" s="375" customFormat="1" ht="12.75" x14ac:dyDescent="0.2">
      <c r="B119" s="479"/>
      <c r="C119" s="474"/>
      <c r="N119" s="375" t="s">
        <v>651</v>
      </c>
      <c r="O119" s="375" t="s">
        <v>1133</v>
      </c>
      <c r="P119" s="476" t="s">
        <v>200</v>
      </c>
      <c r="Q119" s="477" t="s">
        <v>1070</v>
      </c>
    </row>
    <row r="120" spans="2:17" s="375" customFormat="1" ht="12.75" x14ac:dyDescent="0.2">
      <c r="B120" s="479"/>
      <c r="C120" s="474"/>
      <c r="N120" s="375" t="s">
        <v>652</v>
      </c>
      <c r="O120" s="375" t="s">
        <v>912</v>
      </c>
      <c r="P120" s="476" t="s">
        <v>200</v>
      </c>
      <c r="Q120" s="477" t="s">
        <v>1071</v>
      </c>
    </row>
    <row r="121" spans="2:17" s="375" customFormat="1" ht="12.75" x14ac:dyDescent="0.2">
      <c r="B121" s="479"/>
      <c r="C121" s="474"/>
      <c r="N121" s="375" t="s">
        <v>653</v>
      </c>
      <c r="O121" s="375" t="s">
        <v>366</v>
      </c>
      <c r="P121" s="476" t="s">
        <v>200</v>
      </c>
      <c r="Q121" s="477" t="s">
        <v>860</v>
      </c>
    </row>
    <row r="122" spans="2:17" s="375" customFormat="1" ht="12.75" x14ac:dyDescent="0.2">
      <c r="B122" s="479"/>
      <c r="C122" s="474"/>
      <c r="N122" s="375" t="s">
        <v>654</v>
      </c>
      <c r="O122" s="375" t="s">
        <v>247</v>
      </c>
      <c r="P122" s="476" t="s">
        <v>200</v>
      </c>
      <c r="Q122" s="477" t="s">
        <v>1072</v>
      </c>
    </row>
    <row r="123" spans="2:17" s="375" customFormat="1" ht="12.75" x14ac:dyDescent="0.2">
      <c r="B123" s="479"/>
      <c r="C123" s="474"/>
      <c r="N123" s="375" t="s">
        <v>178</v>
      </c>
      <c r="O123" s="375" t="s">
        <v>248</v>
      </c>
      <c r="P123" s="476" t="s">
        <v>200</v>
      </c>
      <c r="Q123" s="477" t="s">
        <v>1525</v>
      </c>
    </row>
    <row r="124" spans="2:17" s="375" customFormat="1" ht="12.75" x14ac:dyDescent="0.2">
      <c r="B124" s="479"/>
      <c r="C124" s="474"/>
      <c r="N124" s="375" t="s">
        <v>655</v>
      </c>
      <c r="O124" s="375" t="s">
        <v>249</v>
      </c>
      <c r="P124" s="476" t="s">
        <v>400</v>
      </c>
      <c r="Q124" s="477" t="s">
        <v>621</v>
      </c>
    </row>
    <row r="125" spans="2:17" s="375" customFormat="1" ht="12.75" x14ac:dyDescent="0.2">
      <c r="B125" s="479"/>
      <c r="C125" s="474"/>
      <c r="N125" s="375" t="s">
        <v>656</v>
      </c>
      <c r="O125" s="375" t="s">
        <v>444</v>
      </c>
      <c r="P125" s="476" t="s">
        <v>336</v>
      </c>
      <c r="Q125" s="477" t="s">
        <v>836</v>
      </c>
    </row>
    <row r="126" spans="2:17" s="375" customFormat="1" ht="12.75" x14ac:dyDescent="0.2">
      <c r="B126" s="479"/>
      <c r="C126" s="474"/>
      <c r="N126" s="375" t="s">
        <v>657</v>
      </c>
      <c r="O126" s="375" t="s">
        <v>367</v>
      </c>
      <c r="P126" s="476" t="s">
        <v>336</v>
      </c>
      <c r="Q126" s="477" t="s">
        <v>837</v>
      </c>
    </row>
    <row r="127" spans="2:17" s="375" customFormat="1" ht="12.75" x14ac:dyDescent="0.2">
      <c r="B127" s="479"/>
      <c r="C127" s="474"/>
      <c r="N127" s="375" t="s">
        <v>658</v>
      </c>
      <c r="O127" s="375" t="s">
        <v>368</v>
      </c>
      <c r="P127" s="476" t="s">
        <v>336</v>
      </c>
      <c r="Q127" s="477" t="s">
        <v>838</v>
      </c>
    </row>
    <row r="128" spans="2:17" s="375" customFormat="1" ht="12.75" x14ac:dyDescent="0.2">
      <c r="B128" s="479"/>
      <c r="C128" s="474"/>
      <c r="N128" s="375" t="s">
        <v>659</v>
      </c>
      <c r="O128" s="375" t="s">
        <v>250</v>
      </c>
      <c r="P128" s="476" t="s">
        <v>337</v>
      </c>
      <c r="Q128" s="477" t="s">
        <v>861</v>
      </c>
    </row>
    <row r="129" spans="2:17" s="375" customFormat="1" ht="12.75" x14ac:dyDescent="0.2">
      <c r="B129" s="479"/>
      <c r="C129" s="474"/>
      <c r="N129" s="375" t="s">
        <v>660</v>
      </c>
      <c r="O129" s="375" t="s">
        <v>1134</v>
      </c>
      <c r="P129" s="476" t="s">
        <v>337</v>
      </c>
      <c r="Q129" s="477" t="s">
        <v>862</v>
      </c>
    </row>
    <row r="130" spans="2:17" s="375" customFormat="1" ht="12.75" x14ac:dyDescent="0.2">
      <c r="B130" s="479"/>
      <c r="C130" s="474"/>
      <c r="N130" s="375" t="s">
        <v>661</v>
      </c>
      <c r="O130" s="375" t="s">
        <v>369</v>
      </c>
      <c r="P130" s="476" t="s">
        <v>337</v>
      </c>
      <c r="Q130" s="477" t="s">
        <v>863</v>
      </c>
    </row>
    <row r="131" spans="2:17" s="375" customFormat="1" ht="12.75" x14ac:dyDescent="0.2">
      <c r="B131" s="479"/>
      <c r="C131" s="474"/>
      <c r="N131" s="375" t="s">
        <v>662</v>
      </c>
      <c r="O131" s="375" t="s">
        <v>915</v>
      </c>
      <c r="P131" s="476" t="s">
        <v>338</v>
      </c>
      <c r="Q131" s="477" t="s">
        <v>645</v>
      </c>
    </row>
    <row r="132" spans="2:17" s="375" customFormat="1" ht="12.75" x14ac:dyDescent="0.2">
      <c r="B132" s="479"/>
      <c r="C132" s="474"/>
      <c r="N132" s="375" t="s">
        <v>663</v>
      </c>
      <c r="O132" s="375" t="s">
        <v>370</v>
      </c>
      <c r="P132" s="476" t="s">
        <v>338</v>
      </c>
      <c r="Q132" s="477" t="s">
        <v>654</v>
      </c>
    </row>
    <row r="133" spans="2:17" s="375" customFormat="1" ht="12.75" x14ac:dyDescent="0.2">
      <c r="B133" s="479"/>
      <c r="C133" s="474"/>
      <c r="N133" s="375" t="s">
        <v>664</v>
      </c>
      <c r="O133" s="375" t="s">
        <v>371</v>
      </c>
      <c r="P133" s="476" t="s">
        <v>338</v>
      </c>
      <c r="Q133" s="477" t="s">
        <v>738</v>
      </c>
    </row>
    <row r="134" spans="2:17" s="375" customFormat="1" ht="12.75" x14ac:dyDescent="0.2">
      <c r="B134" s="479"/>
      <c r="C134" s="474"/>
      <c r="N134" s="375" t="s">
        <v>665</v>
      </c>
      <c r="O134" s="375" t="s">
        <v>372</v>
      </c>
      <c r="P134" s="476" t="s">
        <v>203</v>
      </c>
      <c r="Q134" s="477" t="s">
        <v>864</v>
      </c>
    </row>
    <row r="135" spans="2:17" s="375" customFormat="1" ht="12.75" x14ac:dyDescent="0.2">
      <c r="B135" s="479"/>
      <c r="C135" s="474"/>
      <c r="N135" s="375" t="s">
        <v>666</v>
      </c>
      <c r="O135" s="375" t="s">
        <v>564</v>
      </c>
      <c r="P135" s="476" t="s">
        <v>203</v>
      </c>
      <c r="Q135" s="477" t="s">
        <v>590</v>
      </c>
    </row>
    <row r="136" spans="2:17" s="375" customFormat="1" ht="12.75" x14ac:dyDescent="0.2">
      <c r="B136" s="479"/>
      <c r="C136" s="474"/>
      <c r="N136" s="375" t="s">
        <v>667</v>
      </c>
      <c r="O136" s="375" t="s">
        <v>251</v>
      </c>
      <c r="P136" s="476" t="s">
        <v>203</v>
      </c>
      <c r="Q136" s="477" t="s">
        <v>150</v>
      </c>
    </row>
    <row r="137" spans="2:17" s="375" customFormat="1" ht="12.75" x14ac:dyDescent="0.2">
      <c r="B137" s="479"/>
      <c r="C137" s="474"/>
      <c r="N137" s="375" t="s">
        <v>668</v>
      </c>
      <c r="O137" s="375" t="s">
        <v>792</v>
      </c>
      <c r="P137" s="476" t="s">
        <v>203</v>
      </c>
      <c r="Q137" s="477" t="s">
        <v>151</v>
      </c>
    </row>
    <row r="138" spans="2:17" s="375" customFormat="1" ht="12.75" x14ac:dyDescent="0.2">
      <c r="B138" s="479"/>
      <c r="C138" s="474"/>
      <c r="N138" s="375" t="s">
        <v>669</v>
      </c>
      <c r="O138" s="375" t="s">
        <v>373</v>
      </c>
      <c r="P138" s="476" t="s">
        <v>203</v>
      </c>
      <c r="Q138" s="477" t="s">
        <v>152</v>
      </c>
    </row>
    <row r="139" spans="2:17" s="375" customFormat="1" ht="12.75" x14ac:dyDescent="0.2">
      <c r="B139" s="479"/>
      <c r="C139" s="474"/>
      <c r="N139" s="375" t="s">
        <v>670</v>
      </c>
      <c r="O139" s="375" t="s">
        <v>374</v>
      </c>
      <c r="P139" s="476" t="s">
        <v>203</v>
      </c>
      <c r="Q139" s="477" t="s">
        <v>153</v>
      </c>
    </row>
    <row r="140" spans="2:17" s="375" customFormat="1" ht="12.75" x14ac:dyDescent="0.2">
      <c r="B140" s="479"/>
      <c r="C140" s="474"/>
      <c r="N140" s="375" t="s">
        <v>671</v>
      </c>
      <c r="O140" s="375" t="s">
        <v>252</v>
      </c>
      <c r="P140" s="476" t="s">
        <v>204</v>
      </c>
      <c r="Q140" s="477" t="s">
        <v>864</v>
      </c>
    </row>
    <row r="141" spans="2:17" s="375" customFormat="1" ht="12.75" x14ac:dyDescent="0.2">
      <c r="B141" s="479"/>
      <c r="C141" s="474"/>
      <c r="N141" s="375" t="s">
        <v>672</v>
      </c>
      <c r="O141" s="375" t="s">
        <v>253</v>
      </c>
      <c r="P141" s="476" t="s">
        <v>204</v>
      </c>
      <c r="Q141" s="477" t="s">
        <v>590</v>
      </c>
    </row>
    <row r="142" spans="2:17" s="375" customFormat="1" ht="12.75" x14ac:dyDescent="0.2">
      <c r="B142" s="479"/>
      <c r="C142" s="474"/>
      <c r="N142" s="375" t="s">
        <v>673</v>
      </c>
      <c r="O142" s="375" t="s">
        <v>254</v>
      </c>
      <c r="P142" s="476" t="s">
        <v>204</v>
      </c>
      <c r="Q142" s="477" t="s">
        <v>150</v>
      </c>
    </row>
    <row r="143" spans="2:17" s="375" customFormat="1" ht="12.75" x14ac:dyDescent="0.2">
      <c r="B143" s="479"/>
      <c r="C143" s="474"/>
      <c r="N143" s="375" t="s">
        <v>674</v>
      </c>
      <c r="O143" s="375" t="s">
        <v>256</v>
      </c>
      <c r="P143" s="476" t="s">
        <v>204</v>
      </c>
      <c r="Q143" s="477" t="s">
        <v>151</v>
      </c>
    </row>
    <row r="144" spans="2:17" s="375" customFormat="1" ht="12.75" x14ac:dyDescent="0.2">
      <c r="B144" s="479"/>
      <c r="C144" s="474"/>
      <c r="N144" s="375" t="s">
        <v>675</v>
      </c>
      <c r="O144" s="375" t="s">
        <v>257</v>
      </c>
      <c r="P144" s="476" t="s">
        <v>204</v>
      </c>
      <c r="Q144" s="477" t="s">
        <v>152</v>
      </c>
    </row>
    <row r="145" spans="2:17" s="375" customFormat="1" ht="12.75" x14ac:dyDescent="0.2">
      <c r="B145" s="479"/>
      <c r="C145" s="474"/>
      <c r="N145" s="375" t="s">
        <v>676</v>
      </c>
      <c r="O145" s="375" t="s">
        <v>255</v>
      </c>
      <c r="P145" s="476" t="s">
        <v>204</v>
      </c>
      <c r="Q145" s="477" t="s">
        <v>153</v>
      </c>
    </row>
    <row r="146" spans="2:17" s="375" customFormat="1" ht="12.75" x14ac:dyDescent="0.2">
      <c r="B146" s="479"/>
      <c r="C146" s="474"/>
      <c r="N146" s="375" t="s">
        <v>677</v>
      </c>
      <c r="O146" s="375" t="s">
        <v>172</v>
      </c>
      <c r="P146" s="476" t="s">
        <v>401</v>
      </c>
      <c r="Q146" s="477" t="s">
        <v>1073</v>
      </c>
    </row>
    <row r="147" spans="2:17" s="375" customFormat="1" ht="12.75" x14ac:dyDescent="0.2">
      <c r="B147" s="479"/>
      <c r="C147" s="474"/>
      <c r="N147" s="375" t="s">
        <v>678</v>
      </c>
      <c r="O147" s="375" t="s">
        <v>173</v>
      </c>
      <c r="P147" s="476" t="s">
        <v>402</v>
      </c>
      <c r="Q147" s="477" t="s">
        <v>1074</v>
      </c>
    </row>
    <row r="148" spans="2:17" s="375" customFormat="1" ht="12.75" x14ac:dyDescent="0.2">
      <c r="B148" s="479"/>
      <c r="C148" s="474"/>
      <c r="N148" s="375" t="s">
        <v>679</v>
      </c>
      <c r="O148" s="375" t="s">
        <v>375</v>
      </c>
      <c r="P148" s="476" t="s">
        <v>403</v>
      </c>
      <c r="Q148" s="477" t="s">
        <v>1075</v>
      </c>
    </row>
    <row r="149" spans="2:17" s="375" customFormat="1" ht="12.75" x14ac:dyDescent="0.2">
      <c r="B149" s="479"/>
      <c r="C149" s="474"/>
      <c r="N149" s="375" t="s">
        <v>680</v>
      </c>
      <c r="O149" s="375" t="s">
        <v>258</v>
      </c>
      <c r="P149" s="476" t="s">
        <v>403</v>
      </c>
      <c r="Q149" s="477" t="s">
        <v>35</v>
      </c>
    </row>
    <row r="150" spans="2:17" s="375" customFormat="1" ht="12.75" x14ac:dyDescent="0.2">
      <c r="B150" s="479"/>
      <c r="C150" s="474"/>
      <c r="N150" s="375" t="s">
        <v>681</v>
      </c>
      <c r="O150" s="375" t="s">
        <v>259</v>
      </c>
      <c r="P150" s="476" t="s">
        <v>404</v>
      </c>
      <c r="Q150" s="477" t="s">
        <v>1075</v>
      </c>
    </row>
    <row r="151" spans="2:17" s="375" customFormat="1" ht="12.75" x14ac:dyDescent="0.2">
      <c r="B151" s="479"/>
      <c r="C151" s="474"/>
      <c r="N151" s="375" t="s">
        <v>682</v>
      </c>
      <c r="O151" s="375" t="s">
        <v>260</v>
      </c>
      <c r="P151" s="476" t="s">
        <v>405</v>
      </c>
      <c r="Q151" s="477" t="s">
        <v>1076</v>
      </c>
    </row>
    <row r="152" spans="2:17" s="375" customFormat="1" ht="12.75" x14ac:dyDescent="0.2">
      <c r="B152" s="479"/>
      <c r="C152" s="474"/>
      <c r="N152" s="375" t="s">
        <v>683</v>
      </c>
      <c r="O152" s="375" t="s">
        <v>1275</v>
      </c>
      <c r="P152" s="476" t="s">
        <v>407</v>
      </c>
      <c r="Q152" s="477" t="s">
        <v>1077</v>
      </c>
    </row>
    <row r="153" spans="2:17" s="375" customFormat="1" ht="12.75" x14ac:dyDescent="0.2">
      <c r="B153" s="479"/>
      <c r="C153" s="474"/>
      <c r="N153" s="375" t="s">
        <v>684</v>
      </c>
      <c r="O153" s="375" t="s">
        <v>1042</v>
      </c>
      <c r="P153" s="476" t="s">
        <v>406</v>
      </c>
      <c r="Q153" s="477" t="s">
        <v>1077</v>
      </c>
    </row>
    <row r="154" spans="2:17" s="375" customFormat="1" ht="12.75" x14ac:dyDescent="0.2">
      <c r="B154" s="479"/>
      <c r="C154" s="474"/>
      <c r="N154" s="375" t="s">
        <v>685</v>
      </c>
      <c r="O154" s="375" t="s">
        <v>1043</v>
      </c>
      <c r="P154" s="476" t="s">
        <v>409</v>
      </c>
      <c r="Q154" s="477" t="s">
        <v>1051</v>
      </c>
    </row>
    <row r="155" spans="2:17" s="375" customFormat="1" ht="12.75" x14ac:dyDescent="0.2">
      <c r="B155" s="479"/>
      <c r="C155" s="474"/>
      <c r="N155" s="375" t="s">
        <v>686</v>
      </c>
      <c r="O155" s="375" t="s">
        <v>1044</v>
      </c>
      <c r="P155" s="476" t="s">
        <v>410</v>
      </c>
      <c r="Q155" s="477" t="s">
        <v>1051</v>
      </c>
    </row>
    <row r="156" spans="2:17" s="375" customFormat="1" ht="12.75" x14ac:dyDescent="0.2">
      <c r="B156" s="479"/>
      <c r="C156" s="474"/>
      <c r="N156" s="375" t="s">
        <v>687</v>
      </c>
      <c r="O156" s="375" t="s">
        <v>1045</v>
      </c>
      <c r="P156" s="476" t="s">
        <v>408</v>
      </c>
      <c r="Q156" s="477" t="s">
        <v>1051</v>
      </c>
    </row>
    <row r="157" spans="2:17" s="375" customFormat="1" ht="12.75" x14ac:dyDescent="0.2">
      <c r="B157" s="479"/>
      <c r="C157" s="474"/>
      <c r="N157" s="375" t="s">
        <v>688</v>
      </c>
      <c r="O157" s="375" t="s">
        <v>1046</v>
      </c>
      <c r="P157" s="476" t="s">
        <v>818</v>
      </c>
      <c r="Q157" s="477" t="s">
        <v>1051</v>
      </c>
    </row>
    <row r="158" spans="2:17" s="375" customFormat="1" ht="12.75" x14ac:dyDescent="0.2">
      <c r="B158" s="479"/>
      <c r="C158" s="474"/>
      <c r="N158" s="375" t="s">
        <v>689</v>
      </c>
      <c r="O158" s="375" t="s">
        <v>1047</v>
      </c>
      <c r="P158" s="476" t="s">
        <v>205</v>
      </c>
      <c r="Q158" s="477" t="s">
        <v>1526</v>
      </c>
    </row>
    <row r="159" spans="2:17" s="375" customFormat="1" ht="12.75" x14ac:dyDescent="0.2">
      <c r="B159" s="479"/>
      <c r="C159" s="474"/>
      <c r="N159" s="375" t="s">
        <v>690</v>
      </c>
      <c r="O159" s="375" t="s">
        <v>179</v>
      </c>
      <c r="P159" s="476" t="s">
        <v>205</v>
      </c>
      <c r="Q159" s="477" t="s">
        <v>1527</v>
      </c>
    </row>
    <row r="160" spans="2:17" s="375" customFormat="1" ht="12.75" x14ac:dyDescent="0.2">
      <c r="B160" s="479"/>
      <c r="C160" s="474"/>
      <c r="N160" s="375" t="s">
        <v>691</v>
      </c>
      <c r="O160" s="375" t="s">
        <v>180</v>
      </c>
      <c r="P160" s="476" t="s">
        <v>205</v>
      </c>
      <c r="Q160" s="477" t="s">
        <v>1528</v>
      </c>
    </row>
    <row r="161" spans="2:17" s="375" customFormat="1" ht="12.75" x14ac:dyDescent="0.2">
      <c r="B161" s="479"/>
      <c r="C161" s="474"/>
      <c r="N161" s="375" t="s">
        <v>692</v>
      </c>
      <c r="O161" s="375" t="s">
        <v>181</v>
      </c>
      <c r="P161" s="476" t="s">
        <v>205</v>
      </c>
      <c r="Q161" s="477" t="s">
        <v>169</v>
      </c>
    </row>
    <row r="162" spans="2:17" s="375" customFormat="1" ht="12.75" x14ac:dyDescent="0.2">
      <c r="B162" s="479"/>
      <c r="C162" s="474"/>
      <c r="N162" s="375" t="s">
        <v>179</v>
      </c>
      <c r="O162" s="375" t="s">
        <v>261</v>
      </c>
      <c r="P162" s="476" t="s">
        <v>205</v>
      </c>
      <c r="Q162" s="477" t="s">
        <v>1078</v>
      </c>
    </row>
    <row r="163" spans="2:17" s="375" customFormat="1" ht="12.75" x14ac:dyDescent="0.2">
      <c r="B163" s="479"/>
      <c r="C163" s="474"/>
      <c r="N163" s="375" t="s">
        <v>180</v>
      </c>
      <c r="O163" s="375" t="s">
        <v>1135</v>
      </c>
      <c r="P163" s="476" t="s">
        <v>205</v>
      </c>
      <c r="Q163" s="477" t="s">
        <v>865</v>
      </c>
    </row>
    <row r="164" spans="2:17" s="375" customFormat="1" ht="12.75" x14ac:dyDescent="0.2">
      <c r="B164" s="479"/>
      <c r="C164" s="474"/>
      <c r="N164" s="375" t="s">
        <v>181</v>
      </c>
      <c r="O164" s="375" t="s">
        <v>1136</v>
      </c>
      <c r="P164" s="476" t="s">
        <v>205</v>
      </c>
      <c r="Q164" s="477" t="s">
        <v>866</v>
      </c>
    </row>
    <row r="165" spans="2:17" s="375" customFormat="1" ht="12.75" x14ac:dyDescent="0.2">
      <c r="B165" s="479"/>
      <c r="C165" s="474"/>
      <c r="N165" s="375" t="s">
        <v>182</v>
      </c>
      <c r="O165" s="375" t="s">
        <v>1137</v>
      </c>
      <c r="P165" s="476" t="s">
        <v>205</v>
      </c>
      <c r="Q165" s="477" t="s">
        <v>1529</v>
      </c>
    </row>
    <row r="166" spans="2:17" s="375" customFormat="1" ht="12.75" x14ac:dyDescent="0.2">
      <c r="B166" s="479"/>
      <c r="C166" s="474"/>
      <c r="N166" s="375" t="s">
        <v>693</v>
      </c>
      <c r="O166" s="375" t="s">
        <v>376</v>
      </c>
      <c r="P166" s="476" t="s">
        <v>205</v>
      </c>
      <c r="Q166" s="477" t="s">
        <v>1530</v>
      </c>
    </row>
    <row r="167" spans="2:17" s="375" customFormat="1" ht="12.75" x14ac:dyDescent="0.2">
      <c r="B167" s="479"/>
      <c r="C167" s="474"/>
      <c r="N167" s="375" t="s">
        <v>694</v>
      </c>
      <c r="O167" s="375" t="s">
        <v>262</v>
      </c>
      <c r="P167" s="476" t="s">
        <v>206</v>
      </c>
      <c r="Q167" s="477" t="s">
        <v>1526</v>
      </c>
    </row>
    <row r="168" spans="2:17" s="375" customFormat="1" ht="12.75" x14ac:dyDescent="0.2">
      <c r="B168" s="479"/>
      <c r="C168" s="474"/>
      <c r="N168" s="375" t="s">
        <v>695</v>
      </c>
      <c r="O168" s="375" t="s">
        <v>263</v>
      </c>
      <c r="P168" s="476" t="s">
        <v>206</v>
      </c>
      <c r="Q168" s="477" t="s">
        <v>1527</v>
      </c>
    </row>
    <row r="169" spans="2:17" s="375" customFormat="1" ht="12.75" x14ac:dyDescent="0.2">
      <c r="B169" s="479"/>
      <c r="C169" s="474"/>
      <c r="N169" s="375" t="s">
        <v>696</v>
      </c>
      <c r="O169" s="375" t="s">
        <v>464</v>
      </c>
      <c r="P169" s="476" t="s">
        <v>206</v>
      </c>
      <c r="Q169" s="477" t="s">
        <v>1528</v>
      </c>
    </row>
    <row r="170" spans="2:17" s="375" customFormat="1" ht="12.75" x14ac:dyDescent="0.2">
      <c r="B170" s="479"/>
      <c r="C170" s="474"/>
      <c r="N170" s="375" t="s">
        <v>697</v>
      </c>
      <c r="O170" s="375" t="s">
        <v>1353</v>
      </c>
      <c r="P170" s="476" t="s">
        <v>206</v>
      </c>
      <c r="Q170" s="477" t="s">
        <v>169</v>
      </c>
    </row>
    <row r="171" spans="2:17" s="375" customFormat="1" ht="12.75" x14ac:dyDescent="0.2">
      <c r="B171" s="479"/>
      <c r="C171" s="474"/>
      <c r="N171" s="375" t="s">
        <v>698</v>
      </c>
      <c r="O171" s="375" t="s">
        <v>1354</v>
      </c>
      <c r="P171" s="476" t="s">
        <v>206</v>
      </c>
      <c r="Q171" s="477" t="s">
        <v>1078</v>
      </c>
    </row>
    <row r="172" spans="2:17" s="375" customFormat="1" ht="12.75" x14ac:dyDescent="0.2">
      <c r="B172" s="479"/>
      <c r="C172" s="474"/>
      <c r="N172" s="375" t="s">
        <v>699</v>
      </c>
      <c r="O172" s="375" t="s">
        <v>377</v>
      </c>
      <c r="P172" s="476" t="s">
        <v>206</v>
      </c>
      <c r="Q172" s="477" t="s">
        <v>865</v>
      </c>
    </row>
    <row r="173" spans="2:17" s="375" customFormat="1" ht="12.75" x14ac:dyDescent="0.2">
      <c r="B173" s="479"/>
      <c r="C173" s="474"/>
      <c r="N173" s="375" t="s">
        <v>700</v>
      </c>
      <c r="O173" s="375" t="s">
        <v>264</v>
      </c>
      <c r="P173" s="476" t="s">
        <v>206</v>
      </c>
      <c r="Q173" s="477" t="s">
        <v>866</v>
      </c>
    </row>
    <row r="174" spans="2:17" s="375" customFormat="1" ht="12.75" x14ac:dyDescent="0.2">
      <c r="B174" s="479"/>
      <c r="C174" s="474"/>
      <c r="N174" s="375" t="s">
        <v>701</v>
      </c>
      <c r="O174" s="375" t="s">
        <v>265</v>
      </c>
      <c r="P174" s="476" t="s">
        <v>206</v>
      </c>
      <c r="Q174" s="477" t="s">
        <v>1529</v>
      </c>
    </row>
    <row r="175" spans="2:17" s="375" customFormat="1" ht="12.75" x14ac:dyDescent="0.2">
      <c r="B175" s="479"/>
      <c r="C175" s="474"/>
      <c r="N175" s="375" t="s">
        <v>702</v>
      </c>
      <c r="O175" s="375" t="s">
        <v>266</v>
      </c>
      <c r="P175" s="476" t="s">
        <v>206</v>
      </c>
      <c r="Q175" s="477" t="s">
        <v>1530</v>
      </c>
    </row>
    <row r="176" spans="2:17" s="375" customFormat="1" ht="12.75" x14ac:dyDescent="0.2">
      <c r="B176" s="479"/>
      <c r="C176" s="474"/>
      <c r="N176" s="375" t="s">
        <v>703</v>
      </c>
      <c r="O176" s="375" t="s">
        <v>267</v>
      </c>
      <c r="P176" s="476" t="s">
        <v>339</v>
      </c>
      <c r="Q176" s="477" t="s">
        <v>867</v>
      </c>
    </row>
    <row r="177" spans="2:17" s="375" customFormat="1" ht="12.75" x14ac:dyDescent="0.2">
      <c r="B177" s="479"/>
      <c r="C177" s="474"/>
      <c r="N177" s="375" t="s">
        <v>704</v>
      </c>
      <c r="O177" s="375" t="s">
        <v>378</v>
      </c>
      <c r="P177" s="476" t="s">
        <v>415</v>
      </c>
      <c r="Q177" s="477" t="s">
        <v>1076</v>
      </c>
    </row>
    <row r="178" spans="2:17" s="375" customFormat="1" ht="12.75" x14ac:dyDescent="0.2">
      <c r="B178" s="479"/>
      <c r="C178" s="474"/>
      <c r="N178" s="375" t="s">
        <v>705</v>
      </c>
      <c r="O178" s="375" t="s">
        <v>182</v>
      </c>
      <c r="P178" s="476" t="s">
        <v>416</v>
      </c>
      <c r="Q178" s="477" t="s">
        <v>1079</v>
      </c>
    </row>
    <row r="179" spans="2:17" s="375" customFormat="1" ht="12.75" x14ac:dyDescent="0.2">
      <c r="B179" s="479"/>
      <c r="C179" s="474"/>
      <c r="N179" s="375" t="s">
        <v>706</v>
      </c>
      <c r="O179" s="375" t="s">
        <v>268</v>
      </c>
      <c r="P179" s="476" t="s">
        <v>340</v>
      </c>
      <c r="Q179" s="477" t="s">
        <v>574</v>
      </c>
    </row>
    <row r="180" spans="2:17" s="375" customFormat="1" ht="12.75" x14ac:dyDescent="0.2">
      <c r="B180" s="479"/>
      <c r="C180" s="474"/>
      <c r="N180" s="375" t="s">
        <v>707</v>
      </c>
      <c r="O180" s="375" t="s">
        <v>269</v>
      </c>
      <c r="P180" s="476" t="s">
        <v>340</v>
      </c>
      <c r="Q180" s="477" t="s">
        <v>575</v>
      </c>
    </row>
    <row r="181" spans="2:17" s="375" customFormat="1" ht="12.75" x14ac:dyDescent="0.2">
      <c r="B181" s="479"/>
      <c r="C181" s="474"/>
      <c r="N181" s="375" t="s">
        <v>708</v>
      </c>
      <c r="O181" s="375" t="s">
        <v>270</v>
      </c>
      <c r="P181" s="476" t="s">
        <v>340</v>
      </c>
      <c r="Q181" s="477" t="s">
        <v>868</v>
      </c>
    </row>
    <row r="182" spans="2:17" s="375" customFormat="1" ht="12.75" x14ac:dyDescent="0.2">
      <c r="B182" s="479"/>
      <c r="C182" s="474"/>
      <c r="N182" s="375" t="s">
        <v>709</v>
      </c>
      <c r="O182" s="375" t="s">
        <v>271</v>
      </c>
      <c r="P182" s="476" t="s">
        <v>340</v>
      </c>
      <c r="Q182" s="477" t="s">
        <v>869</v>
      </c>
    </row>
    <row r="183" spans="2:17" s="375" customFormat="1" ht="12.75" x14ac:dyDescent="0.2">
      <c r="B183" s="479"/>
      <c r="C183" s="474"/>
      <c r="N183" s="375" t="s">
        <v>710</v>
      </c>
      <c r="O183" s="375" t="s">
        <v>379</v>
      </c>
      <c r="P183" s="476" t="s">
        <v>340</v>
      </c>
      <c r="Q183" s="477" t="s">
        <v>870</v>
      </c>
    </row>
    <row r="184" spans="2:17" s="375" customFormat="1" ht="12.75" x14ac:dyDescent="0.2">
      <c r="B184" s="479"/>
      <c r="C184" s="474"/>
      <c r="N184" s="375" t="s">
        <v>711</v>
      </c>
      <c r="O184" s="375" t="s">
        <v>380</v>
      </c>
      <c r="P184" s="476" t="s">
        <v>340</v>
      </c>
      <c r="Q184" s="477" t="s">
        <v>871</v>
      </c>
    </row>
    <row r="185" spans="2:17" s="375" customFormat="1" ht="12.75" x14ac:dyDescent="0.2">
      <c r="B185" s="479"/>
      <c r="C185" s="474"/>
      <c r="N185" s="375" t="s">
        <v>712</v>
      </c>
      <c r="O185" s="375" t="s">
        <v>381</v>
      </c>
      <c r="P185" s="476" t="s">
        <v>340</v>
      </c>
      <c r="Q185" s="477" t="s">
        <v>872</v>
      </c>
    </row>
    <row r="186" spans="2:17" s="375" customFormat="1" ht="12.75" x14ac:dyDescent="0.2">
      <c r="B186" s="479"/>
      <c r="C186" s="474"/>
      <c r="N186" s="375" t="s">
        <v>713</v>
      </c>
      <c r="O186" s="375" t="s">
        <v>272</v>
      </c>
      <c r="P186" s="476" t="s">
        <v>340</v>
      </c>
      <c r="Q186" s="477" t="s">
        <v>873</v>
      </c>
    </row>
    <row r="187" spans="2:17" s="375" customFormat="1" ht="12.75" x14ac:dyDescent="0.2">
      <c r="B187" s="479"/>
      <c r="C187" s="474"/>
      <c r="N187" s="375" t="s">
        <v>714</v>
      </c>
      <c r="O187" s="375" t="s">
        <v>273</v>
      </c>
      <c r="P187" s="476" t="s">
        <v>340</v>
      </c>
      <c r="Q187" s="477" t="s">
        <v>874</v>
      </c>
    </row>
    <row r="188" spans="2:17" s="375" customFormat="1" ht="12.75" x14ac:dyDescent="0.2">
      <c r="B188" s="479"/>
      <c r="C188" s="474"/>
      <c r="N188" s="375" t="s">
        <v>715</v>
      </c>
      <c r="O188" s="375" t="s">
        <v>274</v>
      </c>
      <c r="P188" s="476" t="s">
        <v>340</v>
      </c>
      <c r="Q188" s="477" t="s">
        <v>577</v>
      </c>
    </row>
    <row r="189" spans="2:17" s="375" customFormat="1" ht="12.75" x14ac:dyDescent="0.2">
      <c r="B189" s="479"/>
      <c r="C189" s="474"/>
      <c r="N189" s="375" t="s">
        <v>183</v>
      </c>
      <c r="O189" s="375" t="s">
        <v>277</v>
      </c>
      <c r="P189" s="476" t="s">
        <v>340</v>
      </c>
      <c r="Q189" s="477" t="s">
        <v>578</v>
      </c>
    </row>
    <row r="190" spans="2:17" s="375" customFormat="1" ht="12.75" x14ac:dyDescent="0.2">
      <c r="B190" s="479"/>
      <c r="C190" s="474"/>
      <c r="N190" s="375" t="s">
        <v>716</v>
      </c>
      <c r="O190" s="375" t="s">
        <v>278</v>
      </c>
      <c r="P190" s="476" t="s">
        <v>340</v>
      </c>
      <c r="Q190" s="477" t="s">
        <v>1141</v>
      </c>
    </row>
    <row r="191" spans="2:17" s="375" customFormat="1" ht="12.75" x14ac:dyDescent="0.2">
      <c r="B191" s="479"/>
      <c r="C191" s="474"/>
      <c r="N191" s="375" t="s">
        <v>717</v>
      </c>
      <c r="O191" s="375" t="s">
        <v>279</v>
      </c>
      <c r="P191" s="476" t="s">
        <v>340</v>
      </c>
      <c r="Q191" s="477" t="s">
        <v>1142</v>
      </c>
    </row>
    <row r="192" spans="2:17" s="375" customFormat="1" ht="12.75" x14ac:dyDescent="0.2">
      <c r="B192" s="479"/>
      <c r="C192" s="474"/>
      <c r="N192" s="375" t="s">
        <v>718</v>
      </c>
      <c r="O192" s="375" t="s">
        <v>280</v>
      </c>
      <c r="P192" s="476" t="s">
        <v>417</v>
      </c>
      <c r="Q192" s="477" t="s">
        <v>1080</v>
      </c>
    </row>
    <row r="193" spans="2:17" s="375" customFormat="1" ht="12.75" x14ac:dyDescent="0.2">
      <c r="B193" s="479"/>
      <c r="C193" s="474"/>
      <c r="N193" s="375" t="s">
        <v>184</v>
      </c>
      <c r="O193" s="375" t="s">
        <v>281</v>
      </c>
      <c r="P193" s="476" t="s">
        <v>341</v>
      </c>
      <c r="Q193" s="477" t="s">
        <v>172</v>
      </c>
    </row>
    <row r="194" spans="2:17" s="375" customFormat="1" ht="12.75" x14ac:dyDescent="0.2">
      <c r="B194" s="479"/>
      <c r="C194" s="474"/>
      <c r="N194" s="375" t="s">
        <v>719</v>
      </c>
      <c r="O194" s="375" t="s">
        <v>275</v>
      </c>
      <c r="P194" s="476" t="s">
        <v>144</v>
      </c>
      <c r="Q194" s="477" t="s">
        <v>144</v>
      </c>
    </row>
    <row r="195" spans="2:17" s="375" customFormat="1" ht="12.75" x14ac:dyDescent="0.2">
      <c r="B195" s="479"/>
      <c r="C195" s="474"/>
      <c r="N195" s="375" t="s">
        <v>720</v>
      </c>
      <c r="O195" s="375" t="s">
        <v>276</v>
      </c>
      <c r="P195" s="476" t="s">
        <v>418</v>
      </c>
      <c r="Q195" s="477" t="s">
        <v>1081</v>
      </c>
    </row>
    <row r="196" spans="2:17" s="375" customFormat="1" ht="12.75" x14ac:dyDescent="0.2">
      <c r="B196" s="479"/>
      <c r="C196" s="474"/>
      <c r="N196" s="375" t="s">
        <v>721</v>
      </c>
      <c r="O196" s="375" t="s">
        <v>282</v>
      </c>
      <c r="P196" s="476" t="s">
        <v>207</v>
      </c>
      <c r="Q196" s="477" t="s">
        <v>623</v>
      </c>
    </row>
    <row r="197" spans="2:17" s="375" customFormat="1" ht="12.75" x14ac:dyDescent="0.2">
      <c r="B197" s="479"/>
      <c r="C197" s="474"/>
      <c r="N197" s="375" t="s">
        <v>722</v>
      </c>
      <c r="O197" s="375" t="s">
        <v>798</v>
      </c>
      <c r="P197" s="476" t="s">
        <v>207</v>
      </c>
      <c r="Q197" s="477" t="s">
        <v>625</v>
      </c>
    </row>
    <row r="198" spans="2:17" s="375" customFormat="1" ht="12.75" x14ac:dyDescent="0.2">
      <c r="B198" s="479"/>
      <c r="C198" s="474"/>
      <c r="N198" s="375" t="s">
        <v>723</v>
      </c>
      <c r="O198" s="375" t="s">
        <v>799</v>
      </c>
      <c r="P198" s="476" t="s">
        <v>207</v>
      </c>
      <c r="Q198" s="477" t="s">
        <v>630</v>
      </c>
    </row>
    <row r="199" spans="2:17" s="375" customFormat="1" ht="12.75" x14ac:dyDescent="0.2">
      <c r="B199" s="479"/>
      <c r="C199" s="474"/>
      <c r="N199" s="375" t="s">
        <v>724</v>
      </c>
      <c r="O199" s="375" t="s">
        <v>283</v>
      </c>
      <c r="P199" s="476" t="s">
        <v>208</v>
      </c>
      <c r="Q199" s="477" t="s">
        <v>623</v>
      </c>
    </row>
    <row r="200" spans="2:17" s="375" customFormat="1" ht="12.75" x14ac:dyDescent="0.2">
      <c r="B200" s="479"/>
      <c r="C200" s="474"/>
      <c r="N200" s="375" t="s">
        <v>725</v>
      </c>
      <c r="O200" s="375" t="s">
        <v>284</v>
      </c>
      <c r="P200" s="476" t="s">
        <v>208</v>
      </c>
      <c r="Q200" s="477" t="s">
        <v>625</v>
      </c>
    </row>
    <row r="201" spans="2:17" s="375" customFormat="1" ht="12.75" x14ac:dyDescent="0.2">
      <c r="B201" s="479"/>
      <c r="C201" s="474"/>
      <c r="N201" s="375" t="s">
        <v>185</v>
      </c>
      <c r="O201" s="375" t="s">
        <v>482</v>
      </c>
      <c r="P201" s="476" t="s">
        <v>208</v>
      </c>
      <c r="Q201" s="477" t="s">
        <v>630</v>
      </c>
    </row>
    <row r="202" spans="2:17" s="375" customFormat="1" ht="12.75" x14ac:dyDescent="0.2">
      <c r="B202" s="479"/>
      <c r="C202" s="474"/>
      <c r="N202" s="375" t="s">
        <v>726</v>
      </c>
      <c r="O202" s="375" t="s">
        <v>483</v>
      </c>
      <c r="P202" s="476" t="s">
        <v>785</v>
      </c>
      <c r="Q202" s="477" t="s">
        <v>1076</v>
      </c>
    </row>
    <row r="203" spans="2:17" s="375" customFormat="1" ht="12.75" x14ac:dyDescent="0.2">
      <c r="B203" s="479"/>
      <c r="C203" s="474"/>
      <c r="N203" s="375" t="s">
        <v>727</v>
      </c>
      <c r="O203" s="375" t="s">
        <v>285</v>
      </c>
      <c r="P203" s="476" t="s">
        <v>420</v>
      </c>
      <c r="Q203" s="477" t="s">
        <v>1076</v>
      </c>
    </row>
    <row r="204" spans="2:17" s="375" customFormat="1" ht="12.75" x14ac:dyDescent="0.2">
      <c r="B204" s="479"/>
      <c r="C204" s="474"/>
      <c r="N204" s="375" t="s">
        <v>186</v>
      </c>
      <c r="O204" s="375" t="s">
        <v>286</v>
      </c>
      <c r="P204" s="476" t="s">
        <v>786</v>
      </c>
      <c r="Q204" s="477" t="s">
        <v>1076</v>
      </c>
    </row>
    <row r="205" spans="2:17" s="375" customFormat="1" ht="12.75" x14ac:dyDescent="0.2">
      <c r="B205" s="479"/>
      <c r="C205" s="474"/>
      <c r="N205" s="375" t="s">
        <v>728</v>
      </c>
      <c r="O205" s="375" t="s">
        <v>382</v>
      </c>
      <c r="P205" s="476" t="s">
        <v>419</v>
      </c>
      <c r="Q205" s="477" t="s">
        <v>1076</v>
      </c>
    </row>
    <row r="206" spans="2:17" s="375" customFormat="1" ht="12.75" x14ac:dyDescent="0.2">
      <c r="B206" s="479"/>
      <c r="C206" s="474"/>
      <c r="N206" s="375" t="s">
        <v>729</v>
      </c>
      <c r="O206" s="375" t="s">
        <v>287</v>
      </c>
      <c r="P206" s="476" t="s">
        <v>342</v>
      </c>
      <c r="Q206" s="477" t="s">
        <v>646</v>
      </c>
    </row>
    <row r="207" spans="2:17" s="375" customFormat="1" ht="12.75" x14ac:dyDescent="0.2">
      <c r="B207" s="479"/>
      <c r="C207" s="474"/>
      <c r="N207" s="375" t="s">
        <v>730</v>
      </c>
      <c r="O207" s="375" t="s">
        <v>288</v>
      </c>
      <c r="P207" s="476" t="s">
        <v>343</v>
      </c>
      <c r="Q207" s="477" t="s">
        <v>583</v>
      </c>
    </row>
    <row r="208" spans="2:17" s="375" customFormat="1" ht="12.75" x14ac:dyDescent="0.2">
      <c r="B208" s="479"/>
      <c r="C208" s="474"/>
      <c r="N208" s="375" t="s">
        <v>731</v>
      </c>
      <c r="O208" s="375" t="s">
        <v>289</v>
      </c>
      <c r="P208" s="476" t="s">
        <v>343</v>
      </c>
      <c r="Q208" s="477" t="s">
        <v>599</v>
      </c>
    </row>
    <row r="209" spans="2:17" s="375" customFormat="1" ht="12.75" x14ac:dyDescent="0.2">
      <c r="B209" s="479"/>
      <c r="C209" s="474"/>
      <c r="N209" s="375" t="s">
        <v>732</v>
      </c>
      <c r="O209" s="375" t="s">
        <v>565</v>
      </c>
      <c r="P209" s="476" t="s">
        <v>343</v>
      </c>
      <c r="Q209" s="477" t="s">
        <v>875</v>
      </c>
    </row>
    <row r="210" spans="2:17" s="375" customFormat="1" ht="12.75" x14ac:dyDescent="0.2">
      <c r="B210" s="479"/>
      <c r="C210" s="474"/>
      <c r="N210" s="375" t="s">
        <v>733</v>
      </c>
      <c r="O210" s="375" t="s">
        <v>566</v>
      </c>
      <c r="P210" s="476" t="s">
        <v>343</v>
      </c>
      <c r="Q210" s="477" t="s">
        <v>657</v>
      </c>
    </row>
    <row r="211" spans="2:17" s="375" customFormat="1" ht="12.75" x14ac:dyDescent="0.2">
      <c r="B211" s="479"/>
      <c r="C211" s="474"/>
      <c r="N211" s="375" t="s">
        <v>734</v>
      </c>
      <c r="O211" s="375" t="s">
        <v>1138</v>
      </c>
      <c r="P211" s="476" t="s">
        <v>343</v>
      </c>
      <c r="Q211" s="477" t="s">
        <v>725</v>
      </c>
    </row>
    <row r="212" spans="2:17" s="375" customFormat="1" ht="12.75" x14ac:dyDescent="0.2">
      <c r="B212" s="479"/>
      <c r="C212" s="474"/>
      <c r="N212" s="375" t="s">
        <v>187</v>
      </c>
      <c r="O212" s="375" t="s">
        <v>1139</v>
      </c>
      <c r="P212" s="476" t="s">
        <v>344</v>
      </c>
      <c r="Q212" s="477" t="s">
        <v>583</v>
      </c>
    </row>
    <row r="213" spans="2:17" s="375" customFormat="1" ht="12.75" x14ac:dyDescent="0.2">
      <c r="B213" s="479"/>
      <c r="C213" s="474"/>
      <c r="N213" s="375" t="s">
        <v>188</v>
      </c>
      <c r="O213" s="375" t="s">
        <v>383</v>
      </c>
      <c r="P213" s="476" t="s">
        <v>344</v>
      </c>
      <c r="Q213" s="477" t="s">
        <v>599</v>
      </c>
    </row>
    <row r="214" spans="2:17" s="375" customFormat="1" ht="12.75" x14ac:dyDescent="0.2">
      <c r="B214" s="479"/>
      <c r="C214" s="474"/>
      <c r="N214" s="375" t="s">
        <v>189</v>
      </c>
      <c r="O214" s="375" t="s">
        <v>384</v>
      </c>
      <c r="P214" s="476" t="s">
        <v>344</v>
      </c>
      <c r="Q214" s="477" t="s">
        <v>875</v>
      </c>
    </row>
    <row r="215" spans="2:17" s="375" customFormat="1" ht="12.75" x14ac:dyDescent="0.2">
      <c r="B215" s="479"/>
      <c r="C215" s="474"/>
      <c r="N215" s="375" t="s">
        <v>735</v>
      </c>
      <c r="O215" s="375" t="s">
        <v>1021</v>
      </c>
      <c r="P215" s="476" t="s">
        <v>344</v>
      </c>
      <c r="Q215" s="477" t="s">
        <v>657</v>
      </c>
    </row>
    <row r="216" spans="2:17" s="375" customFormat="1" ht="12.75" x14ac:dyDescent="0.2">
      <c r="B216" s="479"/>
      <c r="C216" s="474"/>
      <c r="N216" s="375" t="s">
        <v>190</v>
      </c>
      <c r="O216" s="375" t="s">
        <v>1022</v>
      </c>
      <c r="P216" s="476" t="s">
        <v>344</v>
      </c>
      <c r="Q216" s="477" t="s">
        <v>725</v>
      </c>
    </row>
    <row r="217" spans="2:17" s="375" customFormat="1" ht="12.75" x14ac:dyDescent="0.2">
      <c r="B217" s="479"/>
      <c r="C217" s="474"/>
      <c r="N217" s="375" t="s">
        <v>191</v>
      </c>
      <c r="O217" s="375" t="s">
        <v>385</v>
      </c>
      <c r="P217" s="476" t="s">
        <v>209</v>
      </c>
      <c r="Q217" s="477" t="s">
        <v>572</v>
      </c>
    </row>
    <row r="218" spans="2:17" s="375" customFormat="1" ht="12.75" x14ac:dyDescent="0.2">
      <c r="B218" s="479"/>
      <c r="C218" s="474"/>
      <c r="N218" s="375" t="s">
        <v>736</v>
      </c>
      <c r="O218" s="375" t="s">
        <v>386</v>
      </c>
      <c r="P218" s="476" t="s">
        <v>210</v>
      </c>
      <c r="Q218" s="477" t="s">
        <v>1531</v>
      </c>
    </row>
    <row r="219" spans="2:17" s="375" customFormat="1" ht="12.75" x14ac:dyDescent="0.2">
      <c r="B219" s="479"/>
      <c r="C219" s="474"/>
      <c r="N219" s="375" t="s">
        <v>737</v>
      </c>
      <c r="O219" s="375" t="s">
        <v>290</v>
      </c>
      <c r="P219" s="476" t="s">
        <v>210</v>
      </c>
      <c r="Q219" s="477" t="s">
        <v>1532</v>
      </c>
    </row>
    <row r="220" spans="2:17" s="375" customFormat="1" ht="12.75" x14ac:dyDescent="0.2">
      <c r="B220" s="479"/>
      <c r="C220" s="474"/>
      <c r="N220" s="375" t="s">
        <v>192</v>
      </c>
      <c r="O220" s="375" t="s">
        <v>291</v>
      </c>
      <c r="P220" s="476" t="s">
        <v>210</v>
      </c>
      <c r="Q220" s="477" t="s">
        <v>1533</v>
      </c>
    </row>
    <row r="221" spans="2:17" s="375" customFormat="1" ht="12.75" x14ac:dyDescent="0.2">
      <c r="B221" s="479"/>
      <c r="C221" s="474"/>
      <c r="N221" s="375" t="s">
        <v>738</v>
      </c>
      <c r="O221" s="375" t="s">
        <v>485</v>
      </c>
      <c r="P221" s="476" t="s">
        <v>210</v>
      </c>
      <c r="Q221" s="477" t="s">
        <v>1534</v>
      </c>
    </row>
    <row r="222" spans="2:17" s="375" customFormat="1" ht="12.75" x14ac:dyDescent="0.2">
      <c r="B222" s="479"/>
      <c r="C222" s="474"/>
      <c r="N222" s="375" t="s">
        <v>739</v>
      </c>
      <c r="O222" s="375" t="s">
        <v>486</v>
      </c>
      <c r="P222" s="476" t="s">
        <v>210</v>
      </c>
      <c r="Q222" s="477" t="s">
        <v>196</v>
      </c>
    </row>
    <row r="223" spans="2:17" s="375" customFormat="1" ht="12.75" x14ac:dyDescent="0.2">
      <c r="B223" s="479"/>
      <c r="C223" s="474"/>
      <c r="N223" s="375" t="s">
        <v>740</v>
      </c>
      <c r="O223" s="375" t="s">
        <v>292</v>
      </c>
      <c r="P223" s="476" t="s">
        <v>210</v>
      </c>
      <c r="Q223" s="477" t="s">
        <v>1462</v>
      </c>
    </row>
    <row r="224" spans="2:17" s="375" customFormat="1" ht="12.75" x14ac:dyDescent="0.2">
      <c r="B224" s="479"/>
      <c r="C224" s="474"/>
      <c r="N224" s="375" t="s">
        <v>741</v>
      </c>
      <c r="O224" s="375" t="s">
        <v>387</v>
      </c>
      <c r="P224" s="476" t="s">
        <v>210</v>
      </c>
      <c r="Q224" s="477" t="s">
        <v>1463</v>
      </c>
    </row>
    <row r="225" spans="2:17" s="375" customFormat="1" ht="12.75" x14ac:dyDescent="0.2">
      <c r="B225" s="479"/>
      <c r="C225" s="474"/>
      <c r="N225" s="375" t="s">
        <v>742</v>
      </c>
      <c r="O225" s="375" t="s">
        <v>293</v>
      </c>
      <c r="P225" s="476" t="s">
        <v>210</v>
      </c>
      <c r="Q225" s="477" t="s">
        <v>1464</v>
      </c>
    </row>
    <row r="226" spans="2:17" s="375" customFormat="1" ht="12.75" x14ac:dyDescent="0.2">
      <c r="B226" s="479"/>
      <c r="C226" s="474"/>
      <c r="N226" s="375" t="s">
        <v>743</v>
      </c>
      <c r="O226" s="375" t="s">
        <v>388</v>
      </c>
      <c r="P226" s="476" t="s">
        <v>210</v>
      </c>
      <c r="Q226" s="477" t="s">
        <v>778</v>
      </c>
    </row>
    <row r="227" spans="2:17" s="375" customFormat="1" ht="12.75" x14ac:dyDescent="0.2">
      <c r="B227" s="479"/>
      <c r="C227" s="474"/>
      <c r="N227" s="375" t="s">
        <v>744</v>
      </c>
      <c r="O227" s="375" t="s">
        <v>389</v>
      </c>
      <c r="P227" s="476" t="s">
        <v>211</v>
      </c>
      <c r="Q227" s="477" t="s">
        <v>1531</v>
      </c>
    </row>
    <row r="228" spans="2:17" s="375" customFormat="1" ht="12.75" x14ac:dyDescent="0.2">
      <c r="B228" s="479"/>
      <c r="C228" s="474"/>
      <c r="N228" s="375" t="s">
        <v>745</v>
      </c>
      <c r="O228" s="375" t="s">
        <v>567</v>
      </c>
      <c r="P228" s="476" t="s">
        <v>211</v>
      </c>
      <c r="Q228" s="477" t="s">
        <v>1532</v>
      </c>
    </row>
    <row r="229" spans="2:17" s="375" customFormat="1" ht="12.75" x14ac:dyDescent="0.2">
      <c r="B229" s="479"/>
      <c r="C229" s="474"/>
      <c r="N229" s="375" t="s">
        <v>746</v>
      </c>
      <c r="O229" s="375" t="s">
        <v>294</v>
      </c>
      <c r="P229" s="476" t="s">
        <v>211</v>
      </c>
      <c r="Q229" s="477" t="s">
        <v>1533</v>
      </c>
    </row>
    <row r="230" spans="2:17" s="375" customFormat="1" ht="12.75" x14ac:dyDescent="0.2">
      <c r="B230" s="479"/>
      <c r="C230" s="474"/>
      <c r="N230" s="375" t="s">
        <v>747</v>
      </c>
      <c r="O230" s="375" t="s">
        <v>801</v>
      </c>
      <c r="P230" s="476" t="s">
        <v>211</v>
      </c>
      <c r="Q230" s="477" t="s">
        <v>1534</v>
      </c>
    </row>
    <row r="231" spans="2:17" s="375" customFormat="1" ht="12.75" x14ac:dyDescent="0.2">
      <c r="B231" s="479"/>
      <c r="C231" s="474"/>
      <c r="N231" s="375" t="s">
        <v>748</v>
      </c>
      <c r="O231" s="375" t="s">
        <v>390</v>
      </c>
      <c r="P231" s="476" t="s">
        <v>211</v>
      </c>
      <c r="Q231" s="477" t="s">
        <v>196</v>
      </c>
    </row>
    <row r="232" spans="2:17" s="375" customFormat="1" ht="12.75" x14ac:dyDescent="0.2">
      <c r="B232" s="479"/>
      <c r="C232" s="474"/>
      <c r="N232" s="375" t="s">
        <v>749</v>
      </c>
      <c r="O232" s="375" t="s">
        <v>391</v>
      </c>
      <c r="P232" s="476" t="s">
        <v>211</v>
      </c>
      <c r="Q232" s="477" t="s">
        <v>1465</v>
      </c>
    </row>
    <row r="233" spans="2:17" s="375" customFormat="1" ht="12.75" x14ac:dyDescent="0.2">
      <c r="B233" s="479"/>
      <c r="C233" s="474"/>
      <c r="N233" s="375" t="s">
        <v>750</v>
      </c>
      <c r="O233" s="375" t="s">
        <v>295</v>
      </c>
      <c r="P233" s="476" t="s">
        <v>211</v>
      </c>
      <c r="Q233" s="477" t="s">
        <v>1466</v>
      </c>
    </row>
    <row r="234" spans="2:17" s="375" customFormat="1" ht="12.75" x14ac:dyDescent="0.2">
      <c r="B234" s="479"/>
      <c r="C234" s="474"/>
      <c r="N234" s="375" t="s">
        <v>751</v>
      </c>
      <c r="O234" s="375" t="s">
        <v>296</v>
      </c>
      <c r="P234" s="476" t="s">
        <v>211</v>
      </c>
      <c r="Q234" s="477" t="s">
        <v>1467</v>
      </c>
    </row>
    <row r="235" spans="2:17" s="375" customFormat="1" ht="12.75" x14ac:dyDescent="0.2">
      <c r="B235" s="479"/>
      <c r="C235" s="474"/>
      <c r="N235" s="375" t="s">
        <v>752</v>
      </c>
      <c r="O235" s="375" t="s">
        <v>297</v>
      </c>
      <c r="P235" s="476" t="s">
        <v>211</v>
      </c>
      <c r="Q235" s="477" t="s">
        <v>1468</v>
      </c>
    </row>
    <row r="236" spans="2:17" s="375" customFormat="1" ht="12.75" x14ac:dyDescent="0.2">
      <c r="B236" s="479"/>
      <c r="C236" s="474"/>
      <c r="N236" s="375" t="s">
        <v>753</v>
      </c>
      <c r="O236" s="375" t="s">
        <v>299</v>
      </c>
      <c r="P236" s="476" t="s">
        <v>211</v>
      </c>
      <c r="Q236" s="477" t="s">
        <v>778</v>
      </c>
    </row>
    <row r="237" spans="2:17" s="375" customFormat="1" ht="12.75" x14ac:dyDescent="0.2">
      <c r="B237" s="479"/>
      <c r="C237" s="474"/>
      <c r="N237" s="375" t="s">
        <v>754</v>
      </c>
      <c r="O237" s="375" t="s">
        <v>300</v>
      </c>
      <c r="P237" s="476" t="s">
        <v>345</v>
      </c>
      <c r="Q237" s="477" t="s">
        <v>181</v>
      </c>
    </row>
    <row r="238" spans="2:17" s="375" customFormat="1" ht="12.75" x14ac:dyDescent="0.2">
      <c r="B238" s="479"/>
      <c r="C238" s="474"/>
      <c r="N238" s="375" t="s">
        <v>755</v>
      </c>
      <c r="O238" s="375" t="s">
        <v>298</v>
      </c>
      <c r="P238" s="476" t="s">
        <v>421</v>
      </c>
      <c r="Q238" s="477" t="s">
        <v>1082</v>
      </c>
    </row>
    <row r="239" spans="2:17" s="375" customFormat="1" ht="12.75" x14ac:dyDescent="0.2">
      <c r="B239" s="479"/>
      <c r="C239" s="474"/>
      <c r="N239" s="375" t="s">
        <v>756</v>
      </c>
      <c r="O239" s="375" t="s">
        <v>183</v>
      </c>
      <c r="P239" s="476" t="s">
        <v>216</v>
      </c>
      <c r="Q239" s="477" t="s">
        <v>754</v>
      </c>
    </row>
    <row r="240" spans="2:17" s="375" customFormat="1" ht="12.75" x14ac:dyDescent="0.2">
      <c r="B240" s="479"/>
      <c r="C240" s="474"/>
      <c r="N240" s="375" t="s">
        <v>757</v>
      </c>
      <c r="O240" s="375" t="s">
        <v>301</v>
      </c>
      <c r="P240" s="476" t="s">
        <v>217</v>
      </c>
      <c r="Q240" s="477" t="s">
        <v>740</v>
      </c>
    </row>
    <row r="241" spans="2:17" s="375" customFormat="1" ht="12.75" x14ac:dyDescent="0.2">
      <c r="B241" s="479"/>
      <c r="C241" s="474"/>
      <c r="N241" s="375" t="s">
        <v>758</v>
      </c>
      <c r="O241" s="375" t="s">
        <v>184</v>
      </c>
      <c r="P241" s="476" t="s">
        <v>217</v>
      </c>
      <c r="Q241" s="477" t="s">
        <v>741</v>
      </c>
    </row>
    <row r="242" spans="2:17" s="375" customFormat="1" ht="12.75" x14ac:dyDescent="0.2">
      <c r="B242" s="479"/>
      <c r="C242" s="474"/>
      <c r="N242" s="375" t="s">
        <v>759</v>
      </c>
      <c r="O242" s="375" t="s">
        <v>502</v>
      </c>
      <c r="P242" s="476" t="s">
        <v>217</v>
      </c>
      <c r="Q242" s="477" t="s">
        <v>743</v>
      </c>
    </row>
    <row r="243" spans="2:17" s="375" customFormat="1" ht="12.75" x14ac:dyDescent="0.2">
      <c r="B243" s="479"/>
      <c r="C243" s="474"/>
      <c r="N243" s="375" t="s">
        <v>760</v>
      </c>
      <c r="O243" s="375" t="s">
        <v>302</v>
      </c>
      <c r="P243" s="476" t="s">
        <v>217</v>
      </c>
      <c r="Q243" s="477" t="s">
        <v>745</v>
      </c>
    </row>
    <row r="244" spans="2:17" s="375" customFormat="1" ht="12.75" x14ac:dyDescent="0.2">
      <c r="B244" s="479"/>
      <c r="C244" s="474"/>
      <c r="N244" s="375" t="s">
        <v>761</v>
      </c>
      <c r="O244" s="375" t="s">
        <v>303</v>
      </c>
      <c r="P244" s="476" t="s">
        <v>217</v>
      </c>
      <c r="Q244" s="477" t="s">
        <v>746</v>
      </c>
    </row>
    <row r="245" spans="2:17" s="375" customFormat="1" ht="12.75" x14ac:dyDescent="0.2">
      <c r="B245" s="479"/>
      <c r="C245" s="474"/>
      <c r="N245" s="375" t="s">
        <v>762</v>
      </c>
      <c r="O245" s="375" t="s">
        <v>304</v>
      </c>
      <c r="P245" s="476" t="s">
        <v>217</v>
      </c>
      <c r="Q245" s="477" t="s">
        <v>748</v>
      </c>
    </row>
    <row r="246" spans="2:17" s="375" customFormat="1" ht="12.75" x14ac:dyDescent="0.2">
      <c r="B246" s="479"/>
      <c r="C246" s="474"/>
      <c r="N246" s="375" t="s">
        <v>763</v>
      </c>
      <c r="O246" s="375" t="s">
        <v>568</v>
      </c>
      <c r="P246" s="476" t="s">
        <v>217</v>
      </c>
      <c r="Q246" s="477" t="s">
        <v>753</v>
      </c>
    </row>
    <row r="247" spans="2:17" s="375" customFormat="1" ht="12.75" x14ac:dyDescent="0.2">
      <c r="B247" s="479"/>
      <c r="C247" s="474"/>
      <c r="N247" s="375" t="s">
        <v>764</v>
      </c>
      <c r="O247" s="375" t="s">
        <v>305</v>
      </c>
      <c r="P247" s="476" t="s">
        <v>217</v>
      </c>
      <c r="Q247" s="477" t="s">
        <v>754</v>
      </c>
    </row>
    <row r="248" spans="2:17" s="375" customFormat="1" ht="12.75" x14ac:dyDescent="0.2">
      <c r="B248" s="479"/>
      <c r="C248" s="474"/>
      <c r="N248" s="375" t="s">
        <v>765</v>
      </c>
      <c r="O248" s="375" t="s">
        <v>503</v>
      </c>
      <c r="P248" s="476" t="s">
        <v>217</v>
      </c>
      <c r="Q248" s="477" t="s">
        <v>755</v>
      </c>
    </row>
    <row r="249" spans="2:17" s="375" customFormat="1" ht="12.75" x14ac:dyDescent="0.2">
      <c r="B249" s="479"/>
      <c r="C249" s="474"/>
      <c r="N249" s="375" t="s">
        <v>766</v>
      </c>
      <c r="O249" s="375" t="s">
        <v>306</v>
      </c>
      <c r="P249" s="476" t="s">
        <v>217</v>
      </c>
      <c r="Q249" s="477" t="s">
        <v>756</v>
      </c>
    </row>
    <row r="250" spans="2:17" s="375" customFormat="1" ht="12.75" x14ac:dyDescent="0.2">
      <c r="B250" s="479"/>
      <c r="C250" s="474"/>
      <c r="N250" s="375" t="s">
        <v>767</v>
      </c>
      <c r="O250" s="375" t="s">
        <v>307</v>
      </c>
      <c r="P250" s="476" t="s">
        <v>217</v>
      </c>
      <c r="Q250" s="477" t="s">
        <v>758</v>
      </c>
    </row>
    <row r="251" spans="2:17" s="375" customFormat="1" ht="12.75" x14ac:dyDescent="0.2">
      <c r="B251" s="479"/>
      <c r="C251" s="474"/>
      <c r="N251" s="375" t="s">
        <v>768</v>
      </c>
      <c r="O251" s="375" t="s">
        <v>461</v>
      </c>
      <c r="P251" s="476" t="s">
        <v>217</v>
      </c>
      <c r="Q251" s="477" t="s">
        <v>759</v>
      </c>
    </row>
    <row r="252" spans="2:17" s="375" customFormat="1" ht="12.75" x14ac:dyDescent="0.2">
      <c r="B252" s="479"/>
      <c r="C252" s="474"/>
      <c r="N252" s="375" t="s">
        <v>769</v>
      </c>
      <c r="O252" s="375" t="s">
        <v>504</v>
      </c>
      <c r="P252" s="476" t="s">
        <v>217</v>
      </c>
      <c r="Q252" s="477" t="s">
        <v>761</v>
      </c>
    </row>
    <row r="253" spans="2:17" s="375" customFormat="1" ht="12.75" x14ac:dyDescent="0.2">
      <c r="B253" s="479"/>
      <c r="C253" s="474"/>
      <c r="N253" s="375" t="s">
        <v>770</v>
      </c>
      <c r="O253" s="375" t="s">
        <v>308</v>
      </c>
      <c r="P253" s="476" t="s">
        <v>218</v>
      </c>
      <c r="Q253" s="477" t="s">
        <v>742</v>
      </c>
    </row>
    <row r="254" spans="2:17" s="375" customFormat="1" ht="12.75" x14ac:dyDescent="0.2">
      <c r="B254" s="479"/>
      <c r="C254" s="474"/>
      <c r="N254" s="375" t="s">
        <v>771</v>
      </c>
      <c r="O254" s="375" t="s">
        <v>309</v>
      </c>
      <c r="P254" s="476" t="s">
        <v>218</v>
      </c>
      <c r="Q254" s="477" t="s">
        <v>754</v>
      </c>
    </row>
    <row r="255" spans="2:17" s="375" customFormat="1" ht="12.75" x14ac:dyDescent="0.2">
      <c r="B255" s="479"/>
      <c r="C255" s="474"/>
      <c r="N255" s="375" t="s">
        <v>772</v>
      </c>
      <c r="O255" s="375" t="s">
        <v>310</v>
      </c>
      <c r="P255" s="476" t="s">
        <v>214</v>
      </c>
      <c r="Q255" s="477" t="s">
        <v>158</v>
      </c>
    </row>
    <row r="256" spans="2:17" s="375" customFormat="1" ht="12.75" x14ac:dyDescent="0.2">
      <c r="B256" s="479"/>
      <c r="C256" s="474"/>
      <c r="N256" s="375" t="s">
        <v>773</v>
      </c>
      <c r="O256" s="375" t="s">
        <v>569</v>
      </c>
      <c r="P256" s="476" t="s">
        <v>214</v>
      </c>
      <c r="Q256" s="477" t="s">
        <v>597</v>
      </c>
    </row>
    <row r="257" spans="2:17" s="375" customFormat="1" ht="12.75" x14ac:dyDescent="0.2">
      <c r="B257" s="479"/>
      <c r="C257" s="474"/>
      <c r="N257" s="375" t="s">
        <v>193</v>
      </c>
      <c r="O257" s="375" t="s">
        <v>311</v>
      </c>
      <c r="P257" s="476" t="s">
        <v>214</v>
      </c>
      <c r="Q257" s="477" t="s">
        <v>1535</v>
      </c>
    </row>
    <row r="258" spans="2:17" s="375" customFormat="1" ht="12.75" x14ac:dyDescent="0.2">
      <c r="B258" s="479"/>
      <c r="C258" s="474"/>
      <c r="N258" s="375" t="s">
        <v>774</v>
      </c>
      <c r="O258" s="375" t="s">
        <v>507</v>
      </c>
      <c r="P258" s="476" t="s">
        <v>214</v>
      </c>
      <c r="Q258" s="477" t="s">
        <v>1536</v>
      </c>
    </row>
    <row r="259" spans="2:17" s="375" customFormat="1" ht="12.75" x14ac:dyDescent="0.2">
      <c r="B259" s="479"/>
      <c r="C259" s="474"/>
      <c r="N259" s="375" t="s">
        <v>194</v>
      </c>
      <c r="O259" s="375" t="s">
        <v>312</v>
      </c>
      <c r="P259" s="476" t="s">
        <v>214</v>
      </c>
      <c r="Q259" s="477" t="s">
        <v>1537</v>
      </c>
    </row>
    <row r="260" spans="2:17" s="375" customFormat="1" ht="12.75" x14ac:dyDescent="0.2">
      <c r="B260" s="479"/>
      <c r="C260" s="474"/>
      <c r="N260" s="375" t="s">
        <v>195</v>
      </c>
      <c r="O260" s="375" t="s">
        <v>313</v>
      </c>
      <c r="P260" s="476" t="s">
        <v>214</v>
      </c>
      <c r="Q260" s="477" t="s">
        <v>1538</v>
      </c>
    </row>
    <row r="261" spans="2:17" s="375" customFormat="1" ht="12.75" x14ac:dyDescent="0.2">
      <c r="B261" s="479"/>
      <c r="C261" s="474"/>
      <c r="N261" s="375" t="s">
        <v>775</v>
      </c>
      <c r="O261" s="375" t="s">
        <v>392</v>
      </c>
      <c r="P261" s="476" t="s">
        <v>215</v>
      </c>
      <c r="Q261" s="477" t="s">
        <v>158</v>
      </c>
    </row>
    <row r="262" spans="2:17" s="375" customFormat="1" ht="12.75" x14ac:dyDescent="0.2">
      <c r="B262" s="479"/>
      <c r="C262" s="474"/>
      <c r="N262" s="375" t="s">
        <v>776</v>
      </c>
      <c r="O262" s="375" t="s">
        <v>393</v>
      </c>
      <c r="P262" s="476" t="s">
        <v>215</v>
      </c>
      <c r="Q262" s="477" t="s">
        <v>597</v>
      </c>
    </row>
    <row r="263" spans="2:17" s="375" customFormat="1" ht="12.75" x14ac:dyDescent="0.2">
      <c r="B263" s="479"/>
      <c r="C263" s="474"/>
      <c r="N263" s="375" t="s">
        <v>777</v>
      </c>
      <c r="O263" s="375" t="s">
        <v>314</v>
      </c>
      <c r="P263" s="476" t="s">
        <v>215</v>
      </c>
      <c r="Q263" s="477" t="s">
        <v>1535</v>
      </c>
    </row>
    <row r="264" spans="2:17" s="375" customFormat="1" ht="12.75" x14ac:dyDescent="0.2">
      <c r="B264" s="479"/>
      <c r="C264" s="474"/>
      <c r="N264" s="375" t="s">
        <v>196</v>
      </c>
      <c r="O264" s="375" t="s">
        <v>394</v>
      </c>
      <c r="P264" s="476" t="s">
        <v>215</v>
      </c>
      <c r="Q264" s="477" t="s">
        <v>1536</v>
      </c>
    </row>
    <row r="265" spans="2:17" s="375" customFormat="1" ht="12.75" x14ac:dyDescent="0.2">
      <c r="B265" s="479"/>
      <c r="C265" s="474"/>
      <c r="N265" s="375" t="s">
        <v>778</v>
      </c>
      <c r="O265" s="375" t="s">
        <v>315</v>
      </c>
      <c r="P265" s="476" t="s">
        <v>215</v>
      </c>
      <c r="Q265" s="477" t="s">
        <v>1537</v>
      </c>
    </row>
    <row r="266" spans="2:17" s="375" customFormat="1" ht="12.75" x14ac:dyDescent="0.2">
      <c r="B266" s="479"/>
      <c r="C266" s="474"/>
      <c r="N266" s="375" t="s">
        <v>779</v>
      </c>
      <c r="O266" s="375" t="s">
        <v>570</v>
      </c>
      <c r="P266" s="476" t="s">
        <v>215</v>
      </c>
      <c r="Q266" s="477" t="s">
        <v>1538</v>
      </c>
    </row>
    <row r="267" spans="2:17" s="375" customFormat="1" ht="12.75" x14ac:dyDescent="0.2">
      <c r="B267" s="479"/>
      <c r="C267" s="474"/>
      <c r="N267" s="375" t="s">
        <v>780</v>
      </c>
      <c r="O267" s="375" t="s">
        <v>1355</v>
      </c>
      <c r="P267" s="476" t="s">
        <v>212</v>
      </c>
      <c r="Q267" s="477" t="s">
        <v>1528</v>
      </c>
    </row>
    <row r="268" spans="2:17" s="375" customFormat="1" ht="12.75" x14ac:dyDescent="0.2">
      <c r="B268" s="479"/>
      <c r="C268" s="474"/>
      <c r="N268" s="375" t="s">
        <v>197</v>
      </c>
      <c r="O268" s="375" t="s">
        <v>316</v>
      </c>
      <c r="P268" s="476" t="s">
        <v>212</v>
      </c>
      <c r="Q268" s="477" t="s">
        <v>876</v>
      </c>
    </row>
    <row r="269" spans="2:17" s="375" customFormat="1" ht="12.75" x14ac:dyDescent="0.2">
      <c r="B269" s="479"/>
      <c r="C269" s="474"/>
      <c r="N269" s="375" t="s">
        <v>781</v>
      </c>
      <c r="O269" s="375" t="s">
        <v>317</v>
      </c>
      <c r="P269" s="476" t="s">
        <v>212</v>
      </c>
      <c r="Q269" s="477" t="s">
        <v>877</v>
      </c>
    </row>
    <row r="270" spans="2:17" s="375" customFormat="1" ht="12.75" x14ac:dyDescent="0.2">
      <c r="B270" s="479"/>
      <c r="C270" s="474"/>
      <c r="N270" s="375" t="s">
        <v>782</v>
      </c>
      <c r="O270" s="375" t="s">
        <v>1140</v>
      </c>
      <c r="P270" s="476" t="s">
        <v>212</v>
      </c>
      <c r="Q270" s="477" t="s">
        <v>1396</v>
      </c>
    </row>
    <row r="271" spans="2:17" s="375" customFormat="1" ht="12.75" x14ac:dyDescent="0.2">
      <c r="B271" s="479"/>
      <c r="C271" s="474"/>
      <c r="N271" s="375" t="s">
        <v>783</v>
      </c>
      <c r="O271" s="375" t="s">
        <v>325</v>
      </c>
      <c r="P271" s="476" t="s">
        <v>212</v>
      </c>
      <c r="Q271" s="477" t="s">
        <v>1397</v>
      </c>
    </row>
    <row r="272" spans="2:17" s="375" customFormat="1" ht="12.75" x14ac:dyDescent="0.2">
      <c r="B272" s="479"/>
      <c r="C272" s="474"/>
      <c r="O272" s="375" t="s">
        <v>396</v>
      </c>
      <c r="P272" s="476" t="s">
        <v>212</v>
      </c>
      <c r="Q272" s="477" t="s">
        <v>155</v>
      </c>
    </row>
    <row r="273" spans="2:17" s="375" customFormat="1" ht="12.75" x14ac:dyDescent="0.2">
      <c r="B273" s="479"/>
      <c r="C273" s="474"/>
      <c r="O273" s="375" t="s">
        <v>326</v>
      </c>
      <c r="P273" s="476" t="s">
        <v>212</v>
      </c>
      <c r="Q273" s="477" t="s">
        <v>1398</v>
      </c>
    </row>
    <row r="274" spans="2:17" s="375" customFormat="1" ht="12.75" x14ac:dyDescent="0.2">
      <c r="B274" s="479"/>
      <c r="C274" s="474"/>
      <c r="O274" s="375" t="s">
        <v>327</v>
      </c>
      <c r="P274" s="476" t="s">
        <v>212</v>
      </c>
      <c r="Q274" s="477" t="s">
        <v>593</v>
      </c>
    </row>
    <row r="275" spans="2:17" s="375" customFormat="1" ht="12.75" x14ac:dyDescent="0.2">
      <c r="B275" s="479"/>
      <c r="C275" s="474"/>
      <c r="O275" s="375" t="s">
        <v>395</v>
      </c>
      <c r="P275" s="476" t="s">
        <v>212</v>
      </c>
      <c r="Q275" s="477" t="s">
        <v>156</v>
      </c>
    </row>
    <row r="276" spans="2:17" s="375" customFormat="1" ht="12.75" x14ac:dyDescent="0.2">
      <c r="B276" s="479"/>
      <c r="C276" s="474"/>
      <c r="O276" s="375" t="s">
        <v>328</v>
      </c>
      <c r="P276" s="476" t="s">
        <v>212</v>
      </c>
      <c r="Q276" s="477" t="s">
        <v>878</v>
      </c>
    </row>
    <row r="277" spans="2:17" s="375" customFormat="1" ht="12.75" x14ac:dyDescent="0.2">
      <c r="B277" s="479"/>
      <c r="C277" s="474"/>
      <c r="O277" s="375" t="s">
        <v>397</v>
      </c>
      <c r="P277" s="476" t="s">
        <v>212</v>
      </c>
      <c r="Q277" s="477" t="s">
        <v>879</v>
      </c>
    </row>
    <row r="278" spans="2:17" s="375" customFormat="1" ht="12.75" x14ac:dyDescent="0.2">
      <c r="B278" s="479"/>
      <c r="C278" s="474"/>
      <c r="O278" s="375" t="s">
        <v>398</v>
      </c>
      <c r="P278" s="476" t="s">
        <v>212</v>
      </c>
      <c r="Q278" s="477" t="s">
        <v>880</v>
      </c>
    </row>
    <row r="279" spans="2:17" s="375" customFormat="1" ht="12.75" x14ac:dyDescent="0.2">
      <c r="B279" s="479"/>
      <c r="C279" s="474"/>
      <c r="O279" s="375" t="s">
        <v>318</v>
      </c>
      <c r="P279" s="476" t="s">
        <v>212</v>
      </c>
      <c r="Q279" s="477" t="s">
        <v>881</v>
      </c>
    </row>
    <row r="280" spans="2:17" s="375" customFormat="1" ht="12.75" x14ac:dyDescent="0.2">
      <c r="B280" s="479"/>
      <c r="C280" s="474"/>
      <c r="O280" s="375" t="s">
        <v>319</v>
      </c>
      <c r="P280" s="476" t="s">
        <v>212</v>
      </c>
      <c r="Q280" s="477" t="s">
        <v>157</v>
      </c>
    </row>
    <row r="281" spans="2:17" s="375" customFormat="1" ht="12.75" x14ac:dyDescent="0.2">
      <c r="B281" s="479"/>
      <c r="C281" s="474"/>
      <c r="O281" s="375" t="s">
        <v>509</v>
      </c>
      <c r="P281" s="476" t="s">
        <v>212</v>
      </c>
      <c r="Q281" s="477" t="s">
        <v>882</v>
      </c>
    </row>
    <row r="282" spans="2:17" s="375" customFormat="1" ht="12.75" x14ac:dyDescent="0.2">
      <c r="B282" s="479"/>
      <c r="C282" s="474"/>
      <c r="O282" s="375" t="s">
        <v>320</v>
      </c>
      <c r="P282" s="476" t="s">
        <v>212</v>
      </c>
      <c r="Q282" s="477" t="s">
        <v>883</v>
      </c>
    </row>
    <row r="283" spans="2:17" s="375" customFormat="1" ht="12.75" x14ac:dyDescent="0.2">
      <c r="B283" s="479"/>
      <c r="C283" s="474"/>
      <c r="O283" s="375" t="s">
        <v>321</v>
      </c>
      <c r="P283" s="476" t="s">
        <v>212</v>
      </c>
      <c r="Q283" s="477" t="s">
        <v>884</v>
      </c>
    </row>
    <row r="284" spans="2:17" s="375" customFormat="1" ht="12.75" x14ac:dyDescent="0.2">
      <c r="B284" s="479"/>
      <c r="C284" s="474"/>
      <c r="O284" s="375" t="s">
        <v>322</v>
      </c>
      <c r="P284" s="476" t="s">
        <v>212</v>
      </c>
      <c r="Q284" s="477" t="s">
        <v>885</v>
      </c>
    </row>
    <row r="285" spans="2:17" s="375" customFormat="1" ht="12.75" x14ac:dyDescent="0.2">
      <c r="B285" s="479"/>
      <c r="C285" s="474"/>
      <c r="O285" s="375" t="s">
        <v>324</v>
      </c>
      <c r="P285" s="476" t="s">
        <v>212</v>
      </c>
      <c r="Q285" s="477" t="s">
        <v>886</v>
      </c>
    </row>
    <row r="286" spans="2:17" s="375" customFormat="1" ht="12.75" x14ac:dyDescent="0.2">
      <c r="B286" s="479"/>
      <c r="C286" s="474"/>
      <c r="O286" s="375" t="s">
        <v>323</v>
      </c>
      <c r="P286" s="476" t="s">
        <v>212</v>
      </c>
      <c r="Q286" s="477" t="s">
        <v>158</v>
      </c>
    </row>
    <row r="287" spans="2:17" s="375" customFormat="1" ht="12.75" x14ac:dyDescent="0.2">
      <c r="B287" s="479"/>
      <c r="C287" s="474"/>
      <c r="O287" s="375" t="s">
        <v>518</v>
      </c>
      <c r="P287" s="476" t="s">
        <v>212</v>
      </c>
      <c r="Q287" s="477" t="s">
        <v>887</v>
      </c>
    </row>
    <row r="288" spans="2:17" s="375" customFormat="1" ht="12.75" x14ac:dyDescent="0.2">
      <c r="B288" s="479"/>
      <c r="C288" s="474"/>
      <c r="O288" s="375" t="s">
        <v>399</v>
      </c>
      <c r="P288" s="476" t="s">
        <v>212</v>
      </c>
      <c r="Q288" s="477" t="s">
        <v>888</v>
      </c>
    </row>
    <row r="289" spans="2:17" s="375" customFormat="1" ht="12.75" x14ac:dyDescent="0.2">
      <c r="B289" s="479"/>
      <c r="C289" s="474"/>
      <c r="O289" s="375" t="s">
        <v>401</v>
      </c>
      <c r="P289" s="476" t="s">
        <v>212</v>
      </c>
      <c r="Q289" s="477" t="s">
        <v>1399</v>
      </c>
    </row>
    <row r="290" spans="2:17" s="375" customFormat="1" ht="12.75" x14ac:dyDescent="0.2">
      <c r="B290" s="479"/>
      <c r="C290" s="474"/>
      <c r="O290" s="375" t="s">
        <v>402</v>
      </c>
      <c r="P290" s="476" t="s">
        <v>212</v>
      </c>
      <c r="Q290" s="477" t="s">
        <v>889</v>
      </c>
    </row>
    <row r="291" spans="2:17" s="375" customFormat="1" ht="12.75" x14ac:dyDescent="0.2">
      <c r="B291" s="479"/>
      <c r="C291" s="474"/>
      <c r="O291" s="375" t="s">
        <v>403</v>
      </c>
      <c r="P291" s="476" t="s">
        <v>212</v>
      </c>
      <c r="Q291" s="477" t="s">
        <v>890</v>
      </c>
    </row>
    <row r="292" spans="2:17" s="375" customFormat="1" ht="12.75" x14ac:dyDescent="0.2">
      <c r="B292" s="479"/>
      <c r="C292" s="474"/>
      <c r="O292" s="375" t="s">
        <v>404</v>
      </c>
      <c r="P292" s="476" t="s">
        <v>212</v>
      </c>
      <c r="Q292" s="477" t="s">
        <v>597</v>
      </c>
    </row>
    <row r="293" spans="2:17" s="375" customFormat="1" ht="12.75" x14ac:dyDescent="0.2">
      <c r="B293" s="479"/>
      <c r="C293" s="474"/>
      <c r="O293" s="375" t="s">
        <v>405</v>
      </c>
      <c r="P293" s="476" t="s">
        <v>212</v>
      </c>
      <c r="Q293" s="477" t="s">
        <v>891</v>
      </c>
    </row>
    <row r="294" spans="2:17" s="375" customFormat="1" ht="12.75" x14ac:dyDescent="0.2">
      <c r="B294" s="479"/>
      <c r="C294" s="474"/>
      <c r="O294" s="375" t="s">
        <v>406</v>
      </c>
      <c r="P294" s="476" t="s">
        <v>212</v>
      </c>
      <c r="Q294" s="477" t="s">
        <v>1400</v>
      </c>
    </row>
    <row r="295" spans="2:17" s="375" customFormat="1" ht="12.75" x14ac:dyDescent="0.2">
      <c r="B295" s="479"/>
      <c r="C295" s="474"/>
      <c r="O295" s="375" t="s">
        <v>407</v>
      </c>
      <c r="P295" s="476" t="s">
        <v>212</v>
      </c>
      <c r="Q295" s="477" t="s">
        <v>160</v>
      </c>
    </row>
    <row r="296" spans="2:17" s="375" customFormat="1" ht="12.75" x14ac:dyDescent="0.2">
      <c r="B296" s="479"/>
      <c r="C296" s="474"/>
      <c r="O296" s="375" t="s">
        <v>408</v>
      </c>
      <c r="P296" s="476" t="s">
        <v>212</v>
      </c>
      <c r="Q296" s="477" t="s">
        <v>892</v>
      </c>
    </row>
    <row r="297" spans="2:17" s="375" customFormat="1" ht="12.75" x14ac:dyDescent="0.2">
      <c r="B297" s="479"/>
      <c r="C297" s="474"/>
      <c r="O297" s="375" t="s">
        <v>409</v>
      </c>
      <c r="P297" s="476" t="s">
        <v>212</v>
      </c>
      <c r="Q297" s="477" t="s">
        <v>893</v>
      </c>
    </row>
    <row r="298" spans="2:17" s="375" customFormat="1" ht="12.75" x14ac:dyDescent="0.2">
      <c r="B298" s="479"/>
      <c r="C298" s="474"/>
      <c r="O298" s="375" t="s">
        <v>410</v>
      </c>
      <c r="P298" s="476" t="s">
        <v>212</v>
      </c>
      <c r="Q298" s="477" t="s">
        <v>1143</v>
      </c>
    </row>
    <row r="299" spans="2:17" s="375" customFormat="1" ht="12.75" x14ac:dyDescent="0.2">
      <c r="B299" s="479"/>
      <c r="C299" s="474"/>
      <c r="O299" s="375" t="s">
        <v>411</v>
      </c>
      <c r="P299" s="476" t="s">
        <v>212</v>
      </c>
      <c r="Q299" s="477" t="s">
        <v>161</v>
      </c>
    </row>
    <row r="300" spans="2:17" s="375" customFormat="1" ht="12.75" x14ac:dyDescent="0.2">
      <c r="B300" s="479"/>
      <c r="C300" s="474"/>
      <c r="O300" s="375" t="s">
        <v>412</v>
      </c>
      <c r="P300" s="476" t="s">
        <v>212</v>
      </c>
      <c r="Q300" s="477" t="s">
        <v>894</v>
      </c>
    </row>
    <row r="301" spans="2:17" s="375" customFormat="1" ht="12.75" x14ac:dyDescent="0.2">
      <c r="B301" s="479"/>
      <c r="C301" s="474"/>
      <c r="O301" s="375" t="s">
        <v>413</v>
      </c>
      <c r="P301" s="476" t="s">
        <v>212</v>
      </c>
      <c r="Q301" s="477" t="s">
        <v>895</v>
      </c>
    </row>
    <row r="302" spans="2:17" s="375" customFormat="1" ht="12.75" x14ac:dyDescent="0.2">
      <c r="B302" s="479"/>
      <c r="C302" s="474"/>
      <c r="O302" s="375" t="s">
        <v>414</v>
      </c>
      <c r="P302" s="476" t="s">
        <v>212</v>
      </c>
      <c r="Q302" s="477" t="s">
        <v>896</v>
      </c>
    </row>
    <row r="303" spans="2:17" s="375" customFormat="1" ht="12.75" x14ac:dyDescent="0.2">
      <c r="B303" s="479"/>
      <c r="C303" s="474"/>
      <c r="O303" s="375" t="s">
        <v>818</v>
      </c>
      <c r="P303" s="476" t="s">
        <v>212</v>
      </c>
      <c r="Q303" s="477" t="s">
        <v>897</v>
      </c>
    </row>
    <row r="304" spans="2:17" s="375" customFormat="1" ht="12.75" x14ac:dyDescent="0.2">
      <c r="B304" s="479"/>
      <c r="C304" s="474"/>
      <c r="O304" s="375" t="s">
        <v>415</v>
      </c>
      <c r="P304" s="476" t="s">
        <v>212</v>
      </c>
      <c r="Q304" s="477" t="s">
        <v>898</v>
      </c>
    </row>
    <row r="305" spans="2:17" s="375" customFormat="1" ht="12.75" x14ac:dyDescent="0.2">
      <c r="B305" s="479"/>
      <c r="C305" s="474"/>
      <c r="O305" s="375" t="s">
        <v>416</v>
      </c>
      <c r="P305" s="476" t="s">
        <v>212</v>
      </c>
      <c r="Q305" s="477" t="s">
        <v>899</v>
      </c>
    </row>
    <row r="306" spans="2:17" s="375" customFormat="1" ht="12.75" x14ac:dyDescent="0.2">
      <c r="B306" s="479"/>
      <c r="C306" s="474"/>
      <c r="O306" s="375" t="s">
        <v>417</v>
      </c>
      <c r="P306" s="476" t="s">
        <v>212</v>
      </c>
      <c r="Q306" s="477" t="s">
        <v>1535</v>
      </c>
    </row>
    <row r="307" spans="2:17" s="375" customFormat="1" ht="12.75" x14ac:dyDescent="0.2">
      <c r="B307" s="479"/>
      <c r="C307" s="474"/>
      <c r="O307" s="375" t="s">
        <v>418</v>
      </c>
      <c r="P307" s="476" t="s">
        <v>212</v>
      </c>
      <c r="Q307" s="477" t="s">
        <v>1536</v>
      </c>
    </row>
    <row r="308" spans="2:17" s="375" customFormat="1" ht="12.75" x14ac:dyDescent="0.2">
      <c r="B308" s="479"/>
      <c r="C308" s="474"/>
      <c r="O308" s="375" t="s">
        <v>419</v>
      </c>
      <c r="P308" s="476" t="s">
        <v>212</v>
      </c>
      <c r="Q308" s="477" t="s">
        <v>1469</v>
      </c>
    </row>
    <row r="309" spans="2:17" s="375" customFormat="1" ht="12.75" x14ac:dyDescent="0.2">
      <c r="B309" s="479"/>
      <c r="C309" s="474"/>
      <c r="O309" s="375" t="s">
        <v>785</v>
      </c>
      <c r="P309" s="476" t="s">
        <v>212</v>
      </c>
      <c r="Q309" s="477" t="s">
        <v>1470</v>
      </c>
    </row>
    <row r="310" spans="2:17" s="375" customFormat="1" ht="12.75" x14ac:dyDescent="0.2">
      <c r="B310" s="479"/>
      <c r="C310" s="474"/>
      <c r="O310" s="375" t="s">
        <v>420</v>
      </c>
      <c r="P310" s="476" t="s">
        <v>212</v>
      </c>
      <c r="Q310" s="477" t="s">
        <v>1537</v>
      </c>
    </row>
    <row r="311" spans="2:17" s="375" customFormat="1" ht="12.75" x14ac:dyDescent="0.2">
      <c r="B311" s="479"/>
      <c r="C311" s="474"/>
      <c r="O311" s="375" t="s">
        <v>786</v>
      </c>
      <c r="P311" s="476" t="s">
        <v>212</v>
      </c>
      <c r="Q311" s="477" t="s">
        <v>1538</v>
      </c>
    </row>
    <row r="312" spans="2:17" s="375" customFormat="1" ht="12.75" x14ac:dyDescent="0.2">
      <c r="B312" s="479"/>
      <c r="C312" s="474"/>
      <c r="O312" s="375" t="s">
        <v>421</v>
      </c>
      <c r="P312" s="476" t="s">
        <v>212</v>
      </c>
      <c r="Q312" s="477" t="s">
        <v>1471</v>
      </c>
    </row>
    <row r="313" spans="2:17" s="375" customFormat="1" ht="12.75" x14ac:dyDescent="0.2">
      <c r="B313" s="479"/>
      <c r="C313" s="474"/>
      <c r="O313" s="375" t="s">
        <v>422</v>
      </c>
      <c r="P313" s="476" t="s">
        <v>212</v>
      </c>
      <c r="Q313" s="477" t="s">
        <v>900</v>
      </c>
    </row>
    <row r="314" spans="2:17" s="375" customFormat="1" ht="12.75" x14ac:dyDescent="0.2">
      <c r="B314" s="479"/>
      <c r="C314" s="474"/>
      <c r="O314" s="375" t="s">
        <v>1391</v>
      </c>
      <c r="P314" s="476" t="s">
        <v>212</v>
      </c>
      <c r="Q314" s="477" t="s">
        <v>901</v>
      </c>
    </row>
    <row r="315" spans="2:17" s="375" customFormat="1" ht="12.75" x14ac:dyDescent="0.2">
      <c r="B315" s="479"/>
      <c r="C315" s="474"/>
      <c r="O315" s="375" t="s">
        <v>423</v>
      </c>
      <c r="P315" s="476" t="s">
        <v>212</v>
      </c>
      <c r="Q315" s="477" t="s">
        <v>902</v>
      </c>
    </row>
    <row r="316" spans="2:17" s="375" customFormat="1" ht="12.75" x14ac:dyDescent="0.2">
      <c r="B316" s="479"/>
      <c r="C316" s="474"/>
      <c r="O316" s="375" t="s">
        <v>424</v>
      </c>
      <c r="P316" s="476" t="s">
        <v>212</v>
      </c>
      <c r="Q316" s="477" t="s">
        <v>903</v>
      </c>
    </row>
    <row r="317" spans="2:17" s="375" customFormat="1" ht="12.75" x14ac:dyDescent="0.2">
      <c r="B317" s="479"/>
      <c r="C317" s="474"/>
      <c r="O317" s="375" t="s">
        <v>819</v>
      </c>
      <c r="P317" s="476" t="s">
        <v>212</v>
      </c>
      <c r="Q317" s="477" t="s">
        <v>904</v>
      </c>
    </row>
    <row r="318" spans="2:17" s="375" customFormat="1" ht="12.75" x14ac:dyDescent="0.2">
      <c r="B318" s="479"/>
      <c r="C318" s="474"/>
      <c r="O318" s="375" t="s">
        <v>428</v>
      </c>
      <c r="P318" s="476" t="s">
        <v>213</v>
      </c>
      <c r="Q318" s="477" t="s">
        <v>1528</v>
      </c>
    </row>
    <row r="319" spans="2:17" s="375" customFormat="1" ht="12.75" x14ac:dyDescent="0.2">
      <c r="B319" s="479"/>
      <c r="C319" s="474"/>
      <c r="O319" s="375" t="s">
        <v>787</v>
      </c>
      <c r="P319" s="476" t="s">
        <v>213</v>
      </c>
      <c r="Q319" s="477" t="s">
        <v>876</v>
      </c>
    </row>
    <row r="320" spans="2:17" s="375" customFormat="1" ht="12.75" x14ac:dyDescent="0.2">
      <c r="B320" s="479"/>
      <c r="C320" s="474"/>
      <c r="O320" s="375" t="s">
        <v>430</v>
      </c>
      <c r="P320" s="476" t="s">
        <v>213</v>
      </c>
      <c r="Q320" s="477" t="s">
        <v>877</v>
      </c>
    </row>
    <row r="321" spans="2:17" s="375" customFormat="1" ht="12.75" x14ac:dyDescent="0.2">
      <c r="B321" s="479"/>
      <c r="C321" s="474"/>
      <c r="O321" s="375" t="s">
        <v>1356</v>
      </c>
      <c r="P321" s="476" t="s">
        <v>213</v>
      </c>
      <c r="Q321" s="477" t="s">
        <v>1396</v>
      </c>
    </row>
    <row r="322" spans="2:17" s="375" customFormat="1" ht="12.75" x14ac:dyDescent="0.2">
      <c r="B322" s="479"/>
      <c r="C322" s="474"/>
      <c r="O322" s="375" t="s">
        <v>788</v>
      </c>
      <c r="P322" s="476" t="s">
        <v>213</v>
      </c>
      <c r="Q322" s="477" t="s">
        <v>1397</v>
      </c>
    </row>
    <row r="323" spans="2:17" s="375" customFormat="1" ht="12.75" x14ac:dyDescent="0.2">
      <c r="B323" s="479"/>
      <c r="C323" s="474"/>
      <c r="O323" s="375" t="s">
        <v>431</v>
      </c>
      <c r="P323" s="476" t="s">
        <v>213</v>
      </c>
      <c r="Q323" s="477" t="s">
        <v>155</v>
      </c>
    </row>
    <row r="324" spans="2:17" s="375" customFormat="1" ht="12.75" x14ac:dyDescent="0.2">
      <c r="B324" s="479"/>
      <c r="C324" s="474"/>
      <c r="O324" s="375" t="s">
        <v>432</v>
      </c>
      <c r="P324" s="476" t="s">
        <v>213</v>
      </c>
      <c r="Q324" s="477" t="s">
        <v>1398</v>
      </c>
    </row>
    <row r="325" spans="2:17" s="375" customFormat="1" ht="12.75" x14ac:dyDescent="0.2">
      <c r="B325" s="479"/>
      <c r="C325" s="474"/>
      <c r="O325" s="375" t="s">
        <v>820</v>
      </c>
      <c r="P325" s="476" t="s">
        <v>213</v>
      </c>
      <c r="Q325" s="477" t="s">
        <v>593</v>
      </c>
    </row>
    <row r="326" spans="2:17" s="375" customFormat="1" ht="12.75" x14ac:dyDescent="0.2">
      <c r="B326" s="479"/>
      <c r="C326" s="474"/>
      <c r="O326" s="375" t="s">
        <v>433</v>
      </c>
      <c r="P326" s="476" t="s">
        <v>213</v>
      </c>
      <c r="Q326" s="477" t="s">
        <v>156</v>
      </c>
    </row>
    <row r="327" spans="2:17" s="375" customFormat="1" ht="12.75" x14ac:dyDescent="0.2">
      <c r="B327" s="479"/>
      <c r="C327" s="474"/>
      <c r="O327" s="375" t="s">
        <v>434</v>
      </c>
      <c r="P327" s="476" t="s">
        <v>213</v>
      </c>
      <c r="Q327" s="477" t="s">
        <v>878</v>
      </c>
    </row>
    <row r="328" spans="2:17" s="375" customFormat="1" ht="12.75" x14ac:dyDescent="0.2">
      <c r="B328" s="479"/>
      <c r="C328" s="474"/>
      <c r="O328" s="375" t="s">
        <v>435</v>
      </c>
      <c r="P328" s="476" t="s">
        <v>213</v>
      </c>
      <c r="Q328" s="477" t="s">
        <v>879</v>
      </c>
    </row>
    <row r="329" spans="2:17" s="375" customFormat="1" ht="12.75" x14ac:dyDescent="0.2">
      <c r="B329" s="479"/>
      <c r="C329" s="474"/>
      <c r="O329" s="375" t="s">
        <v>436</v>
      </c>
      <c r="P329" s="476" t="s">
        <v>213</v>
      </c>
      <c r="Q329" s="477" t="s">
        <v>880</v>
      </c>
    </row>
    <row r="330" spans="2:17" s="375" customFormat="1" ht="12.75" x14ac:dyDescent="0.2">
      <c r="B330" s="479"/>
      <c r="C330" s="474"/>
      <c r="O330" s="375" t="s">
        <v>437</v>
      </c>
      <c r="P330" s="476" t="s">
        <v>213</v>
      </c>
      <c r="Q330" s="477" t="s">
        <v>881</v>
      </c>
    </row>
    <row r="331" spans="2:17" s="375" customFormat="1" ht="12.75" x14ac:dyDescent="0.2">
      <c r="B331" s="479"/>
      <c r="C331" s="474"/>
      <c r="O331" s="375" t="s">
        <v>438</v>
      </c>
      <c r="P331" s="476" t="s">
        <v>213</v>
      </c>
      <c r="Q331" s="477" t="s">
        <v>157</v>
      </c>
    </row>
    <row r="332" spans="2:17" s="375" customFormat="1" ht="12.75" x14ac:dyDescent="0.2">
      <c r="B332" s="479"/>
      <c r="C332" s="474"/>
      <c r="O332" s="375" t="s">
        <v>439</v>
      </c>
      <c r="P332" s="476" t="s">
        <v>213</v>
      </c>
      <c r="Q332" s="477" t="s">
        <v>882</v>
      </c>
    </row>
    <row r="333" spans="2:17" s="375" customFormat="1" ht="12.75" x14ac:dyDescent="0.2">
      <c r="B333" s="479"/>
      <c r="C333" s="474"/>
      <c r="O333" s="375" t="s">
        <v>440</v>
      </c>
      <c r="P333" s="481" t="s">
        <v>213</v>
      </c>
      <c r="Q333" s="477" t="s">
        <v>883</v>
      </c>
    </row>
    <row r="334" spans="2:17" s="375" customFormat="1" ht="12.75" x14ac:dyDescent="0.2">
      <c r="B334" s="479"/>
      <c r="C334" s="474"/>
      <c r="O334" s="375" t="s">
        <v>790</v>
      </c>
      <c r="P334" s="476" t="s">
        <v>213</v>
      </c>
      <c r="Q334" s="477" t="s">
        <v>884</v>
      </c>
    </row>
    <row r="335" spans="2:17" s="375" customFormat="1" ht="12.75" x14ac:dyDescent="0.2">
      <c r="B335" s="479"/>
      <c r="C335" s="474"/>
      <c r="O335" s="375" t="s">
        <v>1458</v>
      </c>
      <c r="P335" s="476" t="s">
        <v>213</v>
      </c>
      <c r="Q335" s="477" t="s">
        <v>885</v>
      </c>
    </row>
    <row r="336" spans="2:17" s="375" customFormat="1" ht="12.75" x14ac:dyDescent="0.2">
      <c r="B336" s="479"/>
      <c r="C336" s="474"/>
      <c r="O336" s="375" t="s">
        <v>1276</v>
      </c>
      <c r="P336" s="476" t="s">
        <v>213</v>
      </c>
      <c r="Q336" s="477" t="s">
        <v>886</v>
      </c>
    </row>
    <row r="337" spans="2:17" s="375" customFormat="1" ht="12.75" x14ac:dyDescent="0.2">
      <c r="B337" s="479"/>
      <c r="C337" s="474"/>
      <c r="O337" s="375" t="s">
        <v>442</v>
      </c>
      <c r="P337" s="476" t="s">
        <v>213</v>
      </c>
      <c r="Q337" s="477" t="s">
        <v>158</v>
      </c>
    </row>
    <row r="338" spans="2:17" s="375" customFormat="1" ht="12.75" x14ac:dyDescent="0.2">
      <c r="B338" s="479"/>
      <c r="C338" s="474"/>
      <c r="O338" s="375" t="s">
        <v>459</v>
      </c>
      <c r="P338" s="476" t="s">
        <v>213</v>
      </c>
      <c r="Q338" s="477" t="s">
        <v>887</v>
      </c>
    </row>
    <row r="339" spans="2:17" s="375" customFormat="1" ht="12.75" x14ac:dyDescent="0.2">
      <c r="B339" s="479"/>
      <c r="C339" s="474"/>
      <c r="O339" s="375" t="s">
        <v>443</v>
      </c>
      <c r="P339" s="476" t="s">
        <v>213</v>
      </c>
      <c r="Q339" s="477" t="s">
        <v>888</v>
      </c>
    </row>
    <row r="340" spans="2:17" s="375" customFormat="1" ht="12.75" x14ac:dyDescent="0.2">
      <c r="B340" s="479"/>
      <c r="C340" s="474"/>
      <c r="O340" s="375" t="s">
        <v>445</v>
      </c>
      <c r="P340" s="476" t="s">
        <v>213</v>
      </c>
      <c r="Q340" s="477" t="s">
        <v>1399</v>
      </c>
    </row>
    <row r="341" spans="2:17" s="375" customFormat="1" ht="12.75" x14ac:dyDescent="0.2">
      <c r="B341" s="479"/>
      <c r="C341" s="474"/>
      <c r="O341" s="375" t="s">
        <v>446</v>
      </c>
      <c r="P341" s="476" t="s">
        <v>213</v>
      </c>
      <c r="Q341" s="477" t="s">
        <v>889</v>
      </c>
    </row>
    <row r="342" spans="2:17" s="375" customFormat="1" ht="12.75" x14ac:dyDescent="0.2">
      <c r="B342" s="479"/>
      <c r="C342" s="474"/>
      <c r="O342" s="375" t="s">
        <v>447</v>
      </c>
      <c r="P342" s="476" t="s">
        <v>213</v>
      </c>
      <c r="Q342" s="477" t="s">
        <v>890</v>
      </c>
    </row>
    <row r="343" spans="2:17" s="375" customFormat="1" ht="12.75" x14ac:dyDescent="0.2">
      <c r="B343" s="479"/>
      <c r="C343" s="474"/>
      <c r="O343" s="375" t="s">
        <v>448</v>
      </c>
      <c r="P343" s="476" t="s">
        <v>213</v>
      </c>
      <c r="Q343" s="477" t="s">
        <v>597</v>
      </c>
    </row>
    <row r="344" spans="2:17" s="375" customFormat="1" ht="12.75" x14ac:dyDescent="0.2">
      <c r="B344" s="479"/>
      <c r="C344" s="474"/>
      <c r="O344" s="375" t="s">
        <v>449</v>
      </c>
      <c r="P344" s="476" t="s">
        <v>213</v>
      </c>
      <c r="Q344" s="477" t="s">
        <v>891</v>
      </c>
    </row>
    <row r="345" spans="2:17" s="375" customFormat="1" ht="12.75" x14ac:dyDescent="0.2">
      <c r="B345" s="479"/>
      <c r="C345" s="474"/>
      <c r="O345" s="375" t="s">
        <v>791</v>
      </c>
      <c r="P345" s="476" t="s">
        <v>213</v>
      </c>
      <c r="Q345" s="477" t="s">
        <v>1400</v>
      </c>
    </row>
    <row r="346" spans="2:17" s="375" customFormat="1" ht="12.75" x14ac:dyDescent="0.2">
      <c r="B346" s="479"/>
      <c r="C346" s="474"/>
      <c r="O346" s="375" t="s">
        <v>821</v>
      </c>
      <c r="P346" s="476" t="s">
        <v>213</v>
      </c>
      <c r="Q346" s="477" t="s">
        <v>160</v>
      </c>
    </row>
    <row r="347" spans="2:17" s="375" customFormat="1" ht="12.75" x14ac:dyDescent="0.2">
      <c r="B347" s="479"/>
      <c r="C347" s="474"/>
      <c r="O347" s="375" t="s">
        <v>450</v>
      </c>
      <c r="P347" s="476" t="s">
        <v>213</v>
      </c>
      <c r="Q347" s="477" t="s">
        <v>892</v>
      </c>
    </row>
    <row r="348" spans="2:17" s="375" customFormat="1" ht="12.75" x14ac:dyDescent="0.2">
      <c r="B348" s="479"/>
      <c r="C348" s="474"/>
      <c r="O348" s="375" t="s">
        <v>451</v>
      </c>
      <c r="P348" s="476" t="s">
        <v>213</v>
      </c>
      <c r="Q348" s="477" t="s">
        <v>893</v>
      </c>
    </row>
    <row r="349" spans="2:17" s="375" customFormat="1" ht="12.75" x14ac:dyDescent="0.2">
      <c r="B349" s="479"/>
      <c r="C349" s="474"/>
      <c r="O349" s="375" t="s">
        <v>452</v>
      </c>
      <c r="P349" s="476" t="s">
        <v>213</v>
      </c>
      <c r="Q349" s="477" t="s">
        <v>1143</v>
      </c>
    </row>
    <row r="350" spans="2:17" s="375" customFormat="1" ht="12.75" x14ac:dyDescent="0.2">
      <c r="B350" s="479"/>
      <c r="C350" s="474"/>
      <c r="O350" s="375" t="s">
        <v>453</v>
      </c>
      <c r="P350" s="476" t="s">
        <v>213</v>
      </c>
      <c r="Q350" s="477" t="s">
        <v>161</v>
      </c>
    </row>
    <row r="351" spans="2:17" s="375" customFormat="1" ht="12.75" x14ac:dyDescent="0.2">
      <c r="B351" s="479"/>
      <c r="C351" s="474"/>
      <c r="O351" s="375" t="s">
        <v>454</v>
      </c>
      <c r="P351" s="476" t="s">
        <v>213</v>
      </c>
      <c r="Q351" s="477" t="s">
        <v>894</v>
      </c>
    </row>
    <row r="352" spans="2:17" s="375" customFormat="1" ht="12.75" x14ac:dyDescent="0.2">
      <c r="B352" s="479"/>
      <c r="C352" s="474"/>
      <c r="O352" s="375" t="s">
        <v>455</v>
      </c>
      <c r="P352" s="476" t="s">
        <v>213</v>
      </c>
      <c r="Q352" s="477" t="s">
        <v>895</v>
      </c>
    </row>
    <row r="353" spans="2:17" s="375" customFormat="1" ht="12.75" x14ac:dyDescent="0.2">
      <c r="B353" s="479"/>
      <c r="C353" s="474"/>
      <c r="O353" s="375" t="s">
        <v>456</v>
      </c>
      <c r="P353" s="476" t="s">
        <v>213</v>
      </c>
      <c r="Q353" s="477" t="s">
        <v>896</v>
      </c>
    </row>
    <row r="354" spans="2:17" s="375" customFormat="1" ht="12.75" x14ac:dyDescent="0.2">
      <c r="B354" s="479"/>
      <c r="C354" s="474"/>
      <c r="O354" s="375" t="s">
        <v>793</v>
      </c>
      <c r="P354" s="476" t="s">
        <v>213</v>
      </c>
      <c r="Q354" s="477" t="s">
        <v>897</v>
      </c>
    </row>
    <row r="355" spans="2:17" s="375" customFormat="1" ht="12.75" x14ac:dyDescent="0.2">
      <c r="B355" s="479"/>
      <c r="C355" s="474"/>
      <c r="O355" s="375" t="s">
        <v>457</v>
      </c>
      <c r="P355" s="476" t="s">
        <v>213</v>
      </c>
      <c r="Q355" s="477" t="s">
        <v>898</v>
      </c>
    </row>
    <row r="356" spans="2:17" s="375" customFormat="1" ht="12.75" x14ac:dyDescent="0.2">
      <c r="B356" s="479"/>
      <c r="C356" s="474"/>
      <c r="O356" s="375" t="s">
        <v>458</v>
      </c>
      <c r="P356" s="476" t="s">
        <v>213</v>
      </c>
      <c r="Q356" s="477" t="s">
        <v>899</v>
      </c>
    </row>
    <row r="357" spans="2:17" s="375" customFormat="1" ht="12.75" x14ac:dyDescent="0.2">
      <c r="B357" s="479"/>
      <c r="C357" s="474"/>
      <c r="O357" s="375" t="s">
        <v>460</v>
      </c>
      <c r="P357" s="476" t="s">
        <v>213</v>
      </c>
      <c r="Q357" s="477" t="s">
        <v>1535</v>
      </c>
    </row>
    <row r="358" spans="2:17" s="375" customFormat="1" ht="12.75" x14ac:dyDescent="0.2">
      <c r="B358" s="479"/>
      <c r="C358" s="474"/>
      <c r="O358" s="375" t="s">
        <v>1382</v>
      </c>
      <c r="P358" s="476" t="s">
        <v>213</v>
      </c>
      <c r="Q358" s="477" t="s">
        <v>1536</v>
      </c>
    </row>
    <row r="359" spans="2:17" s="375" customFormat="1" ht="12.75" x14ac:dyDescent="0.2">
      <c r="B359" s="479"/>
      <c r="C359" s="474"/>
      <c r="O359" s="375" t="s">
        <v>1383</v>
      </c>
      <c r="P359" s="476" t="s">
        <v>213</v>
      </c>
      <c r="Q359" s="477" t="s">
        <v>1537</v>
      </c>
    </row>
    <row r="360" spans="2:17" s="375" customFormat="1" ht="12.75" x14ac:dyDescent="0.2">
      <c r="B360" s="479"/>
      <c r="C360" s="474"/>
      <c r="O360" s="375" t="s">
        <v>1384</v>
      </c>
      <c r="P360" s="476" t="s">
        <v>213</v>
      </c>
      <c r="Q360" s="477" t="s">
        <v>1538</v>
      </c>
    </row>
    <row r="361" spans="2:17" s="375" customFormat="1" ht="12.75" x14ac:dyDescent="0.2">
      <c r="B361" s="479"/>
      <c r="C361" s="474"/>
      <c r="O361" s="375" t="s">
        <v>1385</v>
      </c>
      <c r="P361" s="476" t="s">
        <v>213</v>
      </c>
      <c r="Q361" s="477" t="s">
        <v>900</v>
      </c>
    </row>
    <row r="362" spans="2:17" s="375" customFormat="1" ht="12.75" x14ac:dyDescent="0.2">
      <c r="B362" s="479"/>
      <c r="C362" s="474"/>
      <c r="O362" s="375" t="s">
        <v>1386</v>
      </c>
      <c r="P362" s="476" t="s">
        <v>213</v>
      </c>
      <c r="Q362" s="477" t="s">
        <v>901</v>
      </c>
    </row>
    <row r="363" spans="2:17" s="375" customFormat="1" ht="12.75" x14ac:dyDescent="0.2">
      <c r="B363" s="479"/>
      <c r="C363" s="474"/>
      <c r="O363" s="375" t="s">
        <v>1387</v>
      </c>
      <c r="P363" s="476" t="s">
        <v>213</v>
      </c>
      <c r="Q363" s="477" t="s">
        <v>902</v>
      </c>
    </row>
    <row r="364" spans="2:17" s="375" customFormat="1" ht="12.75" x14ac:dyDescent="0.2">
      <c r="B364" s="479"/>
      <c r="C364" s="474"/>
      <c r="O364" s="375" t="s">
        <v>1388</v>
      </c>
      <c r="P364" s="476" t="s">
        <v>213</v>
      </c>
      <c r="Q364" s="477" t="s">
        <v>903</v>
      </c>
    </row>
    <row r="365" spans="2:17" s="375" customFormat="1" ht="12.75" x14ac:dyDescent="0.2">
      <c r="B365" s="479"/>
      <c r="C365" s="474"/>
      <c r="O365" s="375" t="s">
        <v>1389</v>
      </c>
      <c r="P365" s="476" t="s">
        <v>213</v>
      </c>
      <c r="Q365" s="477" t="s">
        <v>904</v>
      </c>
    </row>
    <row r="366" spans="2:17" s="375" customFormat="1" ht="12.75" x14ac:dyDescent="0.2">
      <c r="B366" s="479"/>
      <c r="C366" s="474"/>
      <c r="O366" s="375" t="s">
        <v>463</v>
      </c>
      <c r="P366" s="476" t="s">
        <v>422</v>
      </c>
      <c r="Q366" s="477" t="s">
        <v>1083</v>
      </c>
    </row>
    <row r="367" spans="2:17" s="375" customFormat="1" ht="12.75" x14ac:dyDescent="0.2">
      <c r="B367" s="479"/>
      <c r="C367" s="474"/>
      <c r="O367" s="375" t="s">
        <v>465</v>
      </c>
      <c r="P367" s="476" t="s">
        <v>423</v>
      </c>
      <c r="Q367" s="477" t="s">
        <v>1083</v>
      </c>
    </row>
    <row r="368" spans="2:17" s="375" customFormat="1" ht="12.75" x14ac:dyDescent="0.2">
      <c r="B368" s="479"/>
      <c r="C368" s="474"/>
      <c r="O368" s="375" t="s">
        <v>466</v>
      </c>
      <c r="P368" s="476" t="s">
        <v>424</v>
      </c>
      <c r="Q368" s="477" t="s">
        <v>1083</v>
      </c>
    </row>
    <row r="369" spans="2:17" s="375" customFormat="1" ht="12.75" x14ac:dyDescent="0.2">
      <c r="B369" s="479"/>
      <c r="C369" s="474"/>
      <c r="O369" s="375" t="s">
        <v>467</v>
      </c>
      <c r="P369" s="476" t="s">
        <v>425</v>
      </c>
      <c r="Q369" s="477" t="s">
        <v>591</v>
      </c>
    </row>
    <row r="370" spans="2:17" s="375" customFormat="1" ht="12.75" x14ac:dyDescent="0.2">
      <c r="B370" s="479"/>
      <c r="C370" s="474"/>
      <c r="O370" s="375" t="s">
        <v>468</v>
      </c>
      <c r="P370" s="476" t="s">
        <v>220</v>
      </c>
      <c r="Q370" s="477" t="s">
        <v>683</v>
      </c>
    </row>
    <row r="371" spans="2:17" s="375" customFormat="1" ht="12.75" x14ac:dyDescent="0.2">
      <c r="B371" s="479"/>
      <c r="C371" s="474"/>
      <c r="O371" s="375" t="s">
        <v>469</v>
      </c>
      <c r="P371" s="476" t="s">
        <v>426</v>
      </c>
      <c r="Q371" s="477" t="s">
        <v>628</v>
      </c>
    </row>
    <row r="372" spans="2:17" s="375" customFormat="1" ht="12.75" x14ac:dyDescent="0.2">
      <c r="B372" s="479"/>
      <c r="C372" s="474"/>
      <c r="O372" s="375" t="s">
        <v>470</v>
      </c>
      <c r="P372" s="476" t="s">
        <v>426</v>
      </c>
      <c r="Q372" s="477" t="s">
        <v>640</v>
      </c>
    </row>
    <row r="373" spans="2:17" s="375" customFormat="1" ht="12.75" x14ac:dyDescent="0.2">
      <c r="B373" s="479"/>
      <c r="C373" s="474"/>
      <c r="O373" s="375" t="s">
        <v>471</v>
      </c>
      <c r="P373" s="476" t="s">
        <v>427</v>
      </c>
      <c r="Q373" s="477" t="s">
        <v>628</v>
      </c>
    </row>
    <row r="374" spans="2:17" s="375" customFormat="1" ht="12.75" x14ac:dyDescent="0.2">
      <c r="B374" s="479"/>
      <c r="C374" s="474"/>
      <c r="O374" s="375" t="s">
        <v>794</v>
      </c>
      <c r="P374" s="476" t="s">
        <v>427</v>
      </c>
      <c r="Q374" s="477" t="s">
        <v>640</v>
      </c>
    </row>
    <row r="375" spans="2:17" s="375" customFormat="1" ht="12.75" x14ac:dyDescent="0.2">
      <c r="B375" s="479"/>
      <c r="C375" s="474"/>
      <c r="O375" s="375" t="s">
        <v>472</v>
      </c>
      <c r="P375" s="476" t="s">
        <v>221</v>
      </c>
      <c r="Q375" s="477" t="s">
        <v>658</v>
      </c>
    </row>
    <row r="376" spans="2:17" s="375" customFormat="1" ht="12.75" x14ac:dyDescent="0.2">
      <c r="B376" s="479"/>
      <c r="C376" s="474"/>
      <c r="O376" s="375" t="s">
        <v>473</v>
      </c>
      <c r="P376" s="476" t="s">
        <v>221</v>
      </c>
      <c r="Q376" s="477" t="s">
        <v>672</v>
      </c>
    </row>
    <row r="377" spans="2:17" s="375" customFormat="1" ht="12.75" x14ac:dyDescent="0.2">
      <c r="B377" s="479"/>
      <c r="C377" s="474"/>
      <c r="O377" s="375" t="s">
        <v>474</v>
      </c>
      <c r="P377" s="476" t="s">
        <v>222</v>
      </c>
      <c r="Q377" s="477" t="s">
        <v>660</v>
      </c>
    </row>
    <row r="378" spans="2:17" s="375" customFormat="1" ht="12.75" x14ac:dyDescent="0.2">
      <c r="B378" s="479"/>
      <c r="C378" s="474"/>
      <c r="O378" s="375" t="s">
        <v>475</v>
      </c>
      <c r="P378" s="476" t="s">
        <v>222</v>
      </c>
      <c r="Q378" s="477" t="s">
        <v>664</v>
      </c>
    </row>
    <row r="379" spans="2:17" s="375" customFormat="1" ht="12.75" x14ac:dyDescent="0.2">
      <c r="B379" s="479"/>
      <c r="C379" s="474"/>
      <c r="O379" s="375" t="s">
        <v>822</v>
      </c>
      <c r="P379" s="476" t="s">
        <v>222</v>
      </c>
      <c r="Q379" s="477" t="s">
        <v>665</v>
      </c>
    </row>
    <row r="380" spans="2:17" s="375" customFormat="1" ht="12.75" x14ac:dyDescent="0.2">
      <c r="B380" s="479"/>
      <c r="C380" s="474"/>
      <c r="O380" s="375" t="s">
        <v>476</v>
      </c>
      <c r="P380" s="476" t="s">
        <v>222</v>
      </c>
      <c r="Q380" s="477" t="s">
        <v>666</v>
      </c>
    </row>
    <row r="381" spans="2:17" s="375" customFormat="1" ht="12.75" x14ac:dyDescent="0.2">
      <c r="B381" s="479"/>
      <c r="C381" s="474"/>
      <c r="O381" s="375" t="s">
        <v>477</v>
      </c>
      <c r="P381" s="476" t="s">
        <v>222</v>
      </c>
      <c r="Q381" s="477" t="s">
        <v>668</v>
      </c>
    </row>
    <row r="382" spans="2:17" s="375" customFormat="1" ht="12.75" x14ac:dyDescent="0.2">
      <c r="B382" s="479"/>
      <c r="C382" s="474"/>
      <c r="O382" s="375" t="s">
        <v>478</v>
      </c>
      <c r="P382" s="476" t="s">
        <v>222</v>
      </c>
      <c r="Q382" s="477" t="s">
        <v>669</v>
      </c>
    </row>
    <row r="383" spans="2:17" s="375" customFormat="1" ht="12.75" x14ac:dyDescent="0.2">
      <c r="B383" s="479"/>
      <c r="C383" s="474"/>
      <c r="O383" s="375" t="s">
        <v>479</v>
      </c>
      <c r="P383" s="476" t="s">
        <v>222</v>
      </c>
      <c r="Q383" s="477" t="s">
        <v>676</v>
      </c>
    </row>
    <row r="384" spans="2:17" s="375" customFormat="1" ht="12.75" x14ac:dyDescent="0.2">
      <c r="B384" s="479"/>
      <c r="C384" s="474"/>
      <c r="O384" s="375" t="s">
        <v>480</v>
      </c>
      <c r="P384" s="476" t="s">
        <v>222</v>
      </c>
      <c r="Q384" s="477" t="s">
        <v>681</v>
      </c>
    </row>
    <row r="385" spans="2:17" s="375" customFormat="1" ht="12.75" x14ac:dyDescent="0.2">
      <c r="B385" s="479"/>
      <c r="C385" s="474"/>
      <c r="O385" s="375" t="s">
        <v>795</v>
      </c>
      <c r="P385" s="476" t="s">
        <v>223</v>
      </c>
      <c r="Q385" s="477" t="s">
        <v>754</v>
      </c>
    </row>
    <row r="386" spans="2:17" s="375" customFormat="1" ht="12.75" x14ac:dyDescent="0.2">
      <c r="B386" s="479"/>
      <c r="C386" s="474"/>
      <c r="O386" s="375" t="s">
        <v>796</v>
      </c>
      <c r="P386" s="476" t="s">
        <v>224</v>
      </c>
      <c r="Q386" s="477" t="s">
        <v>905</v>
      </c>
    </row>
    <row r="387" spans="2:17" s="375" customFormat="1" ht="12.75" x14ac:dyDescent="0.2">
      <c r="B387" s="479"/>
      <c r="C387" s="474"/>
      <c r="O387" s="375" t="s">
        <v>797</v>
      </c>
      <c r="P387" s="476" t="s">
        <v>224</v>
      </c>
      <c r="Q387" s="477" t="s">
        <v>589</v>
      </c>
    </row>
    <row r="388" spans="2:17" s="375" customFormat="1" ht="12.75" x14ac:dyDescent="0.2">
      <c r="B388" s="479"/>
      <c r="C388" s="474"/>
      <c r="O388" s="375" t="s">
        <v>481</v>
      </c>
      <c r="P388" s="476" t="s">
        <v>561</v>
      </c>
      <c r="Q388" s="477" t="s">
        <v>900</v>
      </c>
    </row>
    <row r="389" spans="2:17" s="375" customFormat="1" ht="12.75" x14ac:dyDescent="0.2">
      <c r="B389" s="479"/>
      <c r="C389" s="474"/>
      <c r="O389" s="375" t="s">
        <v>484</v>
      </c>
      <c r="P389" s="476" t="s">
        <v>561</v>
      </c>
      <c r="Q389" s="477" t="s">
        <v>901</v>
      </c>
    </row>
    <row r="390" spans="2:17" s="375" customFormat="1" ht="12.75" x14ac:dyDescent="0.2">
      <c r="B390" s="479"/>
      <c r="C390" s="474"/>
      <c r="O390" s="375" t="s">
        <v>487</v>
      </c>
      <c r="P390" s="476" t="s">
        <v>561</v>
      </c>
      <c r="Q390" s="477" t="s">
        <v>1281</v>
      </c>
    </row>
    <row r="391" spans="2:17" s="375" customFormat="1" ht="12.75" x14ac:dyDescent="0.2">
      <c r="B391" s="479"/>
      <c r="C391" s="474"/>
      <c r="O391" s="375" t="s">
        <v>488</v>
      </c>
      <c r="P391" s="476" t="s">
        <v>561</v>
      </c>
      <c r="Q391" s="477" t="s">
        <v>902</v>
      </c>
    </row>
    <row r="392" spans="2:17" s="375" customFormat="1" ht="12.75" x14ac:dyDescent="0.2">
      <c r="B392" s="479"/>
      <c r="C392" s="474"/>
      <c r="O392" s="375" t="s">
        <v>489</v>
      </c>
      <c r="P392" s="476" t="s">
        <v>561</v>
      </c>
      <c r="Q392" s="477" t="s">
        <v>1282</v>
      </c>
    </row>
    <row r="393" spans="2:17" s="375" customFormat="1" ht="12.75" x14ac:dyDescent="0.2">
      <c r="B393" s="479"/>
      <c r="C393" s="474"/>
      <c r="O393" s="375" t="s">
        <v>490</v>
      </c>
      <c r="P393" s="476" t="s">
        <v>561</v>
      </c>
      <c r="Q393" s="477" t="s">
        <v>1283</v>
      </c>
    </row>
    <row r="394" spans="2:17" s="375" customFormat="1" ht="12.75" x14ac:dyDescent="0.2">
      <c r="B394" s="479"/>
      <c r="C394" s="474"/>
      <c r="O394" s="375" t="s">
        <v>491</v>
      </c>
      <c r="P394" s="476" t="s">
        <v>561</v>
      </c>
      <c r="Q394" s="477" t="s">
        <v>903</v>
      </c>
    </row>
    <row r="395" spans="2:17" s="375" customFormat="1" ht="12.75" x14ac:dyDescent="0.2">
      <c r="B395" s="479"/>
      <c r="C395" s="474"/>
      <c r="O395" s="375" t="s">
        <v>823</v>
      </c>
      <c r="P395" s="476" t="s">
        <v>561</v>
      </c>
      <c r="Q395" s="477" t="s">
        <v>904</v>
      </c>
    </row>
    <row r="396" spans="2:17" s="375" customFormat="1" ht="12.75" x14ac:dyDescent="0.2">
      <c r="B396" s="479"/>
      <c r="C396" s="474"/>
      <c r="O396" s="375" t="s">
        <v>492</v>
      </c>
      <c r="P396" s="476" t="s">
        <v>561</v>
      </c>
      <c r="Q396" s="477" t="s">
        <v>1284</v>
      </c>
    </row>
    <row r="397" spans="2:17" s="375" customFormat="1" ht="12.75" x14ac:dyDescent="0.2">
      <c r="B397" s="479"/>
      <c r="C397" s="474"/>
      <c r="O397" s="375" t="s">
        <v>493</v>
      </c>
      <c r="P397" s="476" t="s">
        <v>561</v>
      </c>
      <c r="Q397" s="477" t="s">
        <v>1285</v>
      </c>
    </row>
    <row r="398" spans="2:17" s="375" customFormat="1" ht="12.75" x14ac:dyDescent="0.2">
      <c r="B398" s="479"/>
      <c r="C398" s="474"/>
      <c r="O398" s="375" t="s">
        <v>494</v>
      </c>
      <c r="P398" s="476" t="s">
        <v>561</v>
      </c>
      <c r="Q398" s="477" t="s">
        <v>1286</v>
      </c>
    </row>
    <row r="399" spans="2:17" s="375" customFormat="1" ht="12.75" x14ac:dyDescent="0.2">
      <c r="B399" s="479"/>
      <c r="C399" s="474"/>
      <c r="O399" s="375" t="s">
        <v>495</v>
      </c>
      <c r="P399" s="476" t="s">
        <v>561</v>
      </c>
      <c r="Q399" s="477" t="s">
        <v>1287</v>
      </c>
    </row>
    <row r="400" spans="2:17" s="375" customFormat="1" ht="12.75" x14ac:dyDescent="0.2">
      <c r="B400" s="479"/>
      <c r="C400" s="474"/>
      <c r="O400" s="375" t="s">
        <v>800</v>
      </c>
      <c r="P400" s="476" t="s">
        <v>561</v>
      </c>
      <c r="Q400" s="477" t="s">
        <v>1288</v>
      </c>
    </row>
    <row r="401" spans="2:17" s="375" customFormat="1" ht="12.75" x14ac:dyDescent="0.2">
      <c r="B401" s="479"/>
      <c r="C401" s="474"/>
      <c r="O401" s="375" t="s">
        <v>496</v>
      </c>
      <c r="P401" s="476" t="s">
        <v>562</v>
      </c>
      <c r="Q401" s="477" t="s">
        <v>900</v>
      </c>
    </row>
    <row r="402" spans="2:17" s="375" customFormat="1" ht="12.75" x14ac:dyDescent="0.2">
      <c r="B402" s="479"/>
      <c r="C402" s="474"/>
      <c r="O402" s="375" t="s">
        <v>497</v>
      </c>
      <c r="P402" s="476" t="s">
        <v>562</v>
      </c>
      <c r="Q402" s="477" t="s">
        <v>901</v>
      </c>
    </row>
    <row r="403" spans="2:17" s="375" customFormat="1" ht="12.75" x14ac:dyDescent="0.2">
      <c r="B403" s="479"/>
      <c r="C403" s="474"/>
      <c r="O403" s="375" t="s">
        <v>498</v>
      </c>
      <c r="P403" s="476" t="s">
        <v>562</v>
      </c>
      <c r="Q403" s="477" t="s">
        <v>1281</v>
      </c>
    </row>
    <row r="404" spans="2:17" s="375" customFormat="1" ht="12.75" x14ac:dyDescent="0.2">
      <c r="B404" s="479"/>
      <c r="C404" s="474"/>
      <c r="O404" s="375" t="s">
        <v>802</v>
      </c>
      <c r="P404" s="476" t="s">
        <v>562</v>
      </c>
      <c r="Q404" s="477" t="s">
        <v>902</v>
      </c>
    </row>
    <row r="405" spans="2:17" s="375" customFormat="1" ht="12.75" x14ac:dyDescent="0.2">
      <c r="B405" s="479"/>
      <c r="C405" s="474"/>
      <c r="O405" s="375" t="s">
        <v>499</v>
      </c>
      <c r="P405" s="476" t="s">
        <v>562</v>
      </c>
      <c r="Q405" s="477" t="s">
        <v>1282</v>
      </c>
    </row>
    <row r="406" spans="2:17" s="375" customFormat="1" ht="12.75" x14ac:dyDescent="0.2">
      <c r="B406" s="479"/>
      <c r="C406" s="474"/>
      <c r="O406" s="375" t="s">
        <v>500</v>
      </c>
      <c r="P406" s="476" t="s">
        <v>562</v>
      </c>
      <c r="Q406" s="477" t="s">
        <v>1283</v>
      </c>
    </row>
    <row r="407" spans="2:17" s="375" customFormat="1" ht="12.75" x14ac:dyDescent="0.2">
      <c r="B407" s="479"/>
      <c r="C407" s="474"/>
      <c r="O407" s="375" t="s">
        <v>501</v>
      </c>
      <c r="P407" s="476" t="s">
        <v>562</v>
      </c>
      <c r="Q407" s="477" t="s">
        <v>903</v>
      </c>
    </row>
    <row r="408" spans="2:17" s="375" customFormat="1" ht="12.75" x14ac:dyDescent="0.2">
      <c r="B408" s="479"/>
      <c r="C408" s="474"/>
      <c r="O408" s="375" t="s">
        <v>462</v>
      </c>
      <c r="P408" s="476" t="s">
        <v>562</v>
      </c>
      <c r="Q408" s="477" t="s">
        <v>904</v>
      </c>
    </row>
    <row r="409" spans="2:17" s="375" customFormat="1" ht="12.75" x14ac:dyDescent="0.2">
      <c r="B409" s="479"/>
      <c r="C409" s="474"/>
      <c r="O409" s="375" t="s">
        <v>505</v>
      </c>
      <c r="P409" s="476" t="s">
        <v>562</v>
      </c>
      <c r="Q409" s="477" t="s">
        <v>1284</v>
      </c>
    </row>
    <row r="410" spans="2:17" s="375" customFormat="1" ht="12.75" x14ac:dyDescent="0.2">
      <c r="B410" s="479"/>
      <c r="C410" s="474"/>
      <c r="O410" s="375" t="s">
        <v>506</v>
      </c>
      <c r="P410" s="476" t="s">
        <v>562</v>
      </c>
      <c r="Q410" s="477" t="s">
        <v>1285</v>
      </c>
    </row>
    <row r="411" spans="2:17" s="375" customFormat="1" ht="12.75" x14ac:dyDescent="0.2">
      <c r="B411" s="479"/>
      <c r="C411" s="474"/>
      <c r="O411" s="375" t="s">
        <v>1260</v>
      </c>
      <c r="P411" s="476" t="s">
        <v>562</v>
      </c>
      <c r="Q411" s="477" t="s">
        <v>1286</v>
      </c>
    </row>
    <row r="412" spans="2:17" s="375" customFormat="1" ht="12.75" x14ac:dyDescent="0.2">
      <c r="B412" s="479"/>
      <c r="C412" s="474"/>
      <c r="O412" s="375" t="s">
        <v>803</v>
      </c>
      <c r="P412" s="476" t="s">
        <v>562</v>
      </c>
      <c r="Q412" s="477" t="s">
        <v>1287</v>
      </c>
    </row>
    <row r="413" spans="2:17" s="375" customFormat="1" ht="12.75" x14ac:dyDescent="0.2">
      <c r="B413" s="479"/>
      <c r="C413" s="474"/>
      <c r="O413" s="375" t="s">
        <v>804</v>
      </c>
      <c r="P413" s="476" t="s">
        <v>562</v>
      </c>
      <c r="Q413" s="477" t="s">
        <v>1288</v>
      </c>
    </row>
    <row r="414" spans="2:17" s="375" customFormat="1" ht="12.75" x14ac:dyDescent="0.2">
      <c r="B414" s="479"/>
      <c r="C414" s="474"/>
      <c r="O414" s="375" t="s">
        <v>508</v>
      </c>
      <c r="P414" s="476" t="s">
        <v>428</v>
      </c>
      <c r="Q414" s="477" t="s">
        <v>1054</v>
      </c>
    </row>
    <row r="415" spans="2:17" s="375" customFormat="1" ht="12.75" x14ac:dyDescent="0.2">
      <c r="B415" s="479"/>
      <c r="C415" s="474"/>
      <c r="O415" s="375" t="s">
        <v>510</v>
      </c>
      <c r="P415" s="476" t="s">
        <v>1261</v>
      </c>
      <c r="Q415" s="477" t="s">
        <v>1073</v>
      </c>
    </row>
    <row r="416" spans="2:17" s="375" customFormat="1" ht="12.75" x14ac:dyDescent="0.2">
      <c r="B416" s="479"/>
      <c r="C416" s="474"/>
      <c r="O416" s="375" t="s">
        <v>805</v>
      </c>
      <c r="P416" s="476" t="s">
        <v>226</v>
      </c>
      <c r="Q416" s="477" t="s">
        <v>601</v>
      </c>
    </row>
    <row r="417" spans="2:17" s="375" customFormat="1" ht="12.75" x14ac:dyDescent="0.2">
      <c r="B417" s="479"/>
      <c r="C417" s="474"/>
      <c r="O417" s="375" t="s">
        <v>806</v>
      </c>
      <c r="P417" s="476" t="s">
        <v>225</v>
      </c>
      <c r="Q417" s="477" t="s">
        <v>906</v>
      </c>
    </row>
    <row r="418" spans="2:17" s="375" customFormat="1" ht="12.75" x14ac:dyDescent="0.2">
      <c r="B418" s="479"/>
      <c r="C418" s="474"/>
      <c r="O418" s="375" t="s">
        <v>511</v>
      </c>
      <c r="P418" s="476" t="s">
        <v>225</v>
      </c>
      <c r="Q418" s="477" t="s">
        <v>606</v>
      </c>
    </row>
    <row r="419" spans="2:17" s="375" customFormat="1" ht="12.75" x14ac:dyDescent="0.2">
      <c r="B419" s="479"/>
      <c r="C419" s="474"/>
      <c r="O419" s="375" t="s">
        <v>512</v>
      </c>
      <c r="P419" s="476" t="s">
        <v>225</v>
      </c>
      <c r="Q419" s="477" t="s">
        <v>1539</v>
      </c>
    </row>
    <row r="420" spans="2:17" s="375" customFormat="1" ht="12.75" x14ac:dyDescent="0.2">
      <c r="B420" s="479"/>
      <c r="C420" s="474"/>
      <c r="O420" s="375" t="s">
        <v>513</v>
      </c>
      <c r="P420" s="476" t="s">
        <v>429</v>
      </c>
      <c r="Q420" s="477" t="s">
        <v>1084</v>
      </c>
    </row>
    <row r="421" spans="2:17" s="375" customFormat="1" ht="12.75" x14ac:dyDescent="0.2">
      <c r="B421" s="479"/>
      <c r="C421" s="474"/>
      <c r="O421" s="375" t="s">
        <v>514</v>
      </c>
      <c r="P421" s="476" t="s">
        <v>227</v>
      </c>
      <c r="Q421" s="477" t="s">
        <v>621</v>
      </c>
    </row>
    <row r="422" spans="2:17" s="375" customFormat="1" ht="12.75" x14ac:dyDescent="0.2">
      <c r="B422" s="479"/>
      <c r="C422" s="474"/>
      <c r="O422" s="375" t="s">
        <v>1390</v>
      </c>
      <c r="P422" s="476" t="s">
        <v>228</v>
      </c>
      <c r="Q422" s="477" t="s">
        <v>907</v>
      </c>
    </row>
    <row r="423" spans="2:17" s="375" customFormat="1" ht="12.75" x14ac:dyDescent="0.2">
      <c r="B423" s="479"/>
      <c r="C423" s="474"/>
      <c r="O423" s="375" t="s">
        <v>807</v>
      </c>
      <c r="P423" s="476" t="s">
        <v>350</v>
      </c>
      <c r="Q423" s="477" t="s">
        <v>645</v>
      </c>
    </row>
    <row r="424" spans="2:17" s="375" customFormat="1" ht="12.75" x14ac:dyDescent="0.2">
      <c r="B424" s="479"/>
      <c r="C424" s="474"/>
      <c r="O424" s="375" t="s">
        <v>516</v>
      </c>
      <c r="P424" s="476" t="s">
        <v>350</v>
      </c>
      <c r="Q424" s="477" t="s">
        <v>738</v>
      </c>
    </row>
    <row r="425" spans="2:17" s="375" customFormat="1" ht="12.75" x14ac:dyDescent="0.2">
      <c r="B425" s="479"/>
      <c r="C425" s="474"/>
      <c r="O425" s="375" t="s">
        <v>515</v>
      </c>
      <c r="P425" s="476" t="s">
        <v>229</v>
      </c>
      <c r="Q425" s="477" t="s">
        <v>588</v>
      </c>
    </row>
    <row r="426" spans="2:17" s="375" customFormat="1" ht="12.75" x14ac:dyDescent="0.2">
      <c r="B426" s="479"/>
      <c r="C426" s="474"/>
      <c r="O426" s="375" t="s">
        <v>517</v>
      </c>
      <c r="P426" s="476" t="s">
        <v>787</v>
      </c>
      <c r="Q426" s="477" t="s">
        <v>1074</v>
      </c>
    </row>
    <row r="427" spans="2:17" s="375" customFormat="1" ht="12.75" x14ac:dyDescent="0.2">
      <c r="B427" s="479"/>
      <c r="C427" s="474"/>
      <c r="P427" s="476" t="s">
        <v>430</v>
      </c>
      <c r="Q427" s="477" t="s">
        <v>1075</v>
      </c>
    </row>
    <row r="428" spans="2:17" s="375" customFormat="1" ht="12.75" x14ac:dyDescent="0.2">
      <c r="B428" s="479"/>
      <c r="C428" s="474"/>
      <c r="P428" s="476" t="s">
        <v>788</v>
      </c>
      <c r="Q428" s="477" t="s">
        <v>1076</v>
      </c>
    </row>
    <row r="429" spans="2:17" s="375" customFormat="1" ht="12.75" x14ac:dyDescent="0.2">
      <c r="B429" s="479"/>
      <c r="C429" s="474"/>
      <c r="P429" s="476" t="s">
        <v>230</v>
      </c>
      <c r="Q429" s="477" t="s">
        <v>1083</v>
      </c>
    </row>
    <row r="430" spans="2:17" s="375" customFormat="1" ht="12.75" x14ac:dyDescent="0.2">
      <c r="B430" s="479"/>
      <c r="C430" s="474"/>
      <c r="P430" s="476" t="s">
        <v>431</v>
      </c>
      <c r="Q430" s="477" t="s">
        <v>1077</v>
      </c>
    </row>
    <row r="431" spans="2:17" s="375" customFormat="1" ht="12.75" x14ac:dyDescent="0.2">
      <c r="B431" s="479"/>
      <c r="C431" s="474"/>
      <c r="P431" s="476" t="s">
        <v>432</v>
      </c>
      <c r="Q431" s="477" t="s">
        <v>1051</v>
      </c>
    </row>
    <row r="432" spans="2:17" s="375" customFormat="1" ht="12.75" x14ac:dyDescent="0.2">
      <c r="B432" s="479"/>
      <c r="C432" s="474"/>
      <c r="P432" s="476" t="s">
        <v>820</v>
      </c>
      <c r="Q432" s="477" t="s">
        <v>1051</v>
      </c>
    </row>
    <row r="433" spans="2:17" s="375" customFormat="1" ht="12.75" x14ac:dyDescent="0.2">
      <c r="B433" s="479"/>
      <c r="C433" s="474"/>
      <c r="P433" s="476" t="s">
        <v>162</v>
      </c>
      <c r="Q433" s="477" t="s">
        <v>162</v>
      </c>
    </row>
    <row r="434" spans="2:17" s="375" customFormat="1" ht="12.75" x14ac:dyDescent="0.2">
      <c r="B434" s="479"/>
      <c r="C434" s="474"/>
      <c r="P434" s="476" t="s">
        <v>162</v>
      </c>
      <c r="Q434" s="477" t="s">
        <v>1472</v>
      </c>
    </row>
    <row r="435" spans="2:17" s="375" customFormat="1" ht="12.75" x14ac:dyDescent="0.2">
      <c r="B435" s="479"/>
      <c r="C435" s="474"/>
      <c r="P435" s="476" t="s">
        <v>162</v>
      </c>
      <c r="Q435" s="477" t="s">
        <v>1473</v>
      </c>
    </row>
    <row r="436" spans="2:17" s="375" customFormat="1" ht="12.75" x14ac:dyDescent="0.2">
      <c r="B436" s="479"/>
      <c r="C436" s="474"/>
      <c r="P436" s="476" t="s">
        <v>162</v>
      </c>
      <c r="Q436" s="477" t="s">
        <v>1474</v>
      </c>
    </row>
    <row r="437" spans="2:17" s="375" customFormat="1" ht="12.75" x14ac:dyDescent="0.2">
      <c r="B437" s="479"/>
      <c r="C437" s="474"/>
      <c r="P437" s="476" t="s">
        <v>162</v>
      </c>
      <c r="Q437" s="477" t="s">
        <v>1475</v>
      </c>
    </row>
    <row r="438" spans="2:17" s="375" customFormat="1" ht="12.75" x14ac:dyDescent="0.2">
      <c r="B438" s="479"/>
      <c r="C438" s="474"/>
      <c r="P438" s="476" t="s">
        <v>817</v>
      </c>
      <c r="Q438" s="477" t="s">
        <v>175</v>
      </c>
    </row>
    <row r="439" spans="2:17" s="375" customFormat="1" ht="12.75" x14ac:dyDescent="0.2">
      <c r="B439" s="479"/>
      <c r="C439" s="474"/>
      <c r="P439" s="476" t="s">
        <v>817</v>
      </c>
      <c r="Q439" s="477" t="s">
        <v>1086</v>
      </c>
    </row>
    <row r="440" spans="2:17" s="375" customFormat="1" ht="12.75" x14ac:dyDescent="0.2">
      <c r="B440" s="479"/>
      <c r="C440" s="474"/>
      <c r="P440" s="476" t="s">
        <v>433</v>
      </c>
      <c r="Q440" s="477" t="s">
        <v>1076</v>
      </c>
    </row>
    <row r="441" spans="2:17" s="375" customFormat="1" ht="12.75" x14ac:dyDescent="0.2">
      <c r="B441" s="479"/>
      <c r="C441" s="474"/>
      <c r="P441" s="476" t="s">
        <v>434</v>
      </c>
      <c r="Q441" s="477" t="s">
        <v>1079</v>
      </c>
    </row>
    <row r="442" spans="2:17" s="375" customFormat="1" ht="12.75" x14ac:dyDescent="0.2">
      <c r="B442" s="479"/>
      <c r="C442" s="474"/>
      <c r="P442" s="476" t="s">
        <v>351</v>
      </c>
      <c r="Q442" s="477" t="s">
        <v>1141</v>
      </c>
    </row>
    <row r="443" spans="2:17" s="375" customFormat="1" ht="12.75" x14ac:dyDescent="0.2">
      <c r="B443" s="479"/>
      <c r="C443" s="474"/>
      <c r="P443" s="476" t="s">
        <v>351</v>
      </c>
      <c r="Q443" s="477" t="s">
        <v>602</v>
      </c>
    </row>
    <row r="444" spans="2:17" s="375" customFormat="1" ht="12.75" x14ac:dyDescent="0.2">
      <c r="B444" s="479"/>
      <c r="C444" s="474"/>
      <c r="P444" s="476" t="s">
        <v>351</v>
      </c>
      <c r="Q444" s="477" t="s">
        <v>603</v>
      </c>
    </row>
    <row r="445" spans="2:17" s="375" customFormat="1" ht="12.75" x14ac:dyDescent="0.2">
      <c r="B445" s="479"/>
      <c r="C445" s="474"/>
      <c r="P445" s="476" t="s">
        <v>351</v>
      </c>
      <c r="Q445" s="477" t="s">
        <v>604</v>
      </c>
    </row>
    <row r="446" spans="2:17" s="375" customFormat="1" ht="12.75" x14ac:dyDescent="0.2">
      <c r="B446" s="479"/>
      <c r="C446" s="474"/>
      <c r="P446" s="476" t="s">
        <v>351</v>
      </c>
      <c r="Q446" s="477" t="s">
        <v>605</v>
      </c>
    </row>
    <row r="447" spans="2:17" s="375" customFormat="1" ht="12.75" x14ac:dyDescent="0.2">
      <c r="B447" s="479"/>
      <c r="C447" s="474"/>
      <c r="P447" s="476" t="s">
        <v>351</v>
      </c>
      <c r="Q447" s="477" t="s">
        <v>1142</v>
      </c>
    </row>
    <row r="448" spans="2:17" s="375" customFormat="1" ht="12.75" x14ac:dyDescent="0.2">
      <c r="B448" s="479"/>
      <c r="C448" s="474"/>
      <c r="P448" s="476" t="s">
        <v>435</v>
      </c>
      <c r="Q448" s="477" t="s">
        <v>1080</v>
      </c>
    </row>
    <row r="449" spans="2:17" s="375" customFormat="1" ht="12.75" x14ac:dyDescent="0.2">
      <c r="B449" s="479"/>
      <c r="C449" s="474"/>
      <c r="P449" s="476" t="s">
        <v>436</v>
      </c>
      <c r="Q449" s="477" t="s">
        <v>1081</v>
      </c>
    </row>
    <row r="450" spans="2:17" s="375" customFormat="1" ht="12.75" x14ac:dyDescent="0.2">
      <c r="B450" s="479"/>
      <c r="C450" s="474"/>
      <c r="P450" s="476" t="s">
        <v>437</v>
      </c>
      <c r="Q450" s="477" t="s">
        <v>1085</v>
      </c>
    </row>
    <row r="451" spans="2:17" s="375" customFormat="1" ht="12.75" x14ac:dyDescent="0.2">
      <c r="B451" s="479"/>
      <c r="C451" s="474"/>
      <c r="P451" s="476" t="s">
        <v>789</v>
      </c>
      <c r="Q451" s="477" t="s">
        <v>627</v>
      </c>
    </row>
    <row r="452" spans="2:17" s="375" customFormat="1" ht="12.75" x14ac:dyDescent="0.2">
      <c r="B452" s="479"/>
      <c r="C452" s="474"/>
      <c r="P452" s="476" t="s">
        <v>439</v>
      </c>
      <c r="Q452" s="477" t="s">
        <v>1076</v>
      </c>
    </row>
    <row r="453" spans="2:17" s="375" customFormat="1" ht="12.75" x14ac:dyDescent="0.2">
      <c r="B453" s="479"/>
      <c r="C453" s="474"/>
      <c r="P453" s="476" t="s">
        <v>438</v>
      </c>
      <c r="Q453" s="477" t="s">
        <v>1076</v>
      </c>
    </row>
    <row r="454" spans="2:17" s="375" customFormat="1" ht="12.75" x14ac:dyDescent="0.2">
      <c r="B454" s="479"/>
      <c r="C454" s="474"/>
      <c r="P454" s="476" t="s">
        <v>352</v>
      </c>
      <c r="Q454" s="477" t="s">
        <v>647</v>
      </c>
    </row>
    <row r="455" spans="2:17" s="375" customFormat="1" ht="12.75" x14ac:dyDescent="0.2">
      <c r="B455" s="479"/>
      <c r="C455" s="474"/>
      <c r="P455" s="476" t="s">
        <v>231</v>
      </c>
      <c r="Q455" s="477" t="s">
        <v>147</v>
      </c>
    </row>
    <row r="456" spans="2:17" s="375" customFormat="1" ht="12.75" x14ac:dyDescent="0.2">
      <c r="B456" s="479"/>
      <c r="C456" s="474"/>
      <c r="P456" s="476" t="s">
        <v>231</v>
      </c>
      <c r="Q456" s="477" t="s">
        <v>986</v>
      </c>
    </row>
    <row r="457" spans="2:17" s="375" customFormat="1" ht="12.75" x14ac:dyDescent="0.2">
      <c r="B457" s="479"/>
      <c r="C457" s="474"/>
      <c r="P457" s="476" t="s">
        <v>231</v>
      </c>
      <c r="Q457" s="477" t="s">
        <v>607</v>
      </c>
    </row>
    <row r="458" spans="2:17" s="375" customFormat="1" ht="12.75" x14ac:dyDescent="0.2">
      <c r="B458" s="479"/>
      <c r="C458" s="474"/>
      <c r="P458" s="476" t="s">
        <v>231</v>
      </c>
      <c r="Q458" s="477" t="s">
        <v>177</v>
      </c>
    </row>
    <row r="459" spans="2:17" s="375" customFormat="1" ht="12.75" x14ac:dyDescent="0.2">
      <c r="B459" s="479"/>
      <c r="C459" s="474"/>
      <c r="P459" s="476" t="s">
        <v>231</v>
      </c>
      <c r="Q459" s="477" t="s">
        <v>1086</v>
      </c>
    </row>
    <row r="460" spans="2:17" s="375" customFormat="1" ht="12.75" x14ac:dyDescent="0.2">
      <c r="B460" s="479"/>
      <c r="C460" s="474"/>
      <c r="P460" s="476" t="s">
        <v>232</v>
      </c>
      <c r="Q460" s="477" t="s">
        <v>908</v>
      </c>
    </row>
    <row r="461" spans="2:17" s="375" customFormat="1" ht="12.75" x14ac:dyDescent="0.2">
      <c r="B461" s="479"/>
      <c r="C461" s="474"/>
      <c r="P461" s="476" t="s">
        <v>232</v>
      </c>
      <c r="Q461" s="477" t="s">
        <v>1476</v>
      </c>
    </row>
    <row r="462" spans="2:17" s="375" customFormat="1" ht="12.75" x14ac:dyDescent="0.2">
      <c r="B462" s="479"/>
      <c r="C462" s="474"/>
      <c r="P462" s="476" t="s">
        <v>232</v>
      </c>
      <c r="Q462" s="477" t="s">
        <v>774</v>
      </c>
    </row>
    <row r="463" spans="2:17" s="375" customFormat="1" ht="12.75" x14ac:dyDescent="0.2">
      <c r="B463" s="479"/>
      <c r="C463" s="474"/>
      <c r="P463" s="476" t="s">
        <v>440</v>
      </c>
      <c r="Q463" s="477" t="s">
        <v>1087</v>
      </c>
    </row>
    <row r="464" spans="2:17" s="375" customFormat="1" ht="12.75" x14ac:dyDescent="0.2">
      <c r="B464" s="479"/>
      <c r="C464" s="474"/>
      <c r="P464" s="476" t="s">
        <v>790</v>
      </c>
      <c r="Q464" s="477" t="s">
        <v>1082</v>
      </c>
    </row>
    <row r="465" spans="2:17" s="375" customFormat="1" ht="12.75" x14ac:dyDescent="0.2">
      <c r="B465" s="479"/>
      <c r="C465" s="474"/>
      <c r="P465" s="476" t="s">
        <v>235</v>
      </c>
      <c r="Q465" s="477" t="s">
        <v>1540</v>
      </c>
    </row>
    <row r="466" spans="2:17" s="375" customFormat="1" ht="12.75" x14ac:dyDescent="0.2">
      <c r="B466" s="479"/>
      <c r="C466" s="474"/>
      <c r="P466" s="476" t="s">
        <v>235</v>
      </c>
      <c r="Q466" s="477" t="s">
        <v>1541</v>
      </c>
    </row>
    <row r="467" spans="2:17" s="375" customFormat="1" ht="12.75" x14ac:dyDescent="0.2">
      <c r="B467" s="479"/>
      <c r="C467" s="474"/>
      <c r="P467" s="476" t="s">
        <v>235</v>
      </c>
      <c r="Q467" s="477" t="s">
        <v>1542</v>
      </c>
    </row>
    <row r="468" spans="2:17" s="375" customFormat="1" ht="12.75" x14ac:dyDescent="0.2">
      <c r="B468" s="479"/>
      <c r="C468" s="474"/>
      <c r="P468" s="476" t="s">
        <v>235</v>
      </c>
      <c r="Q468" s="477" t="s">
        <v>1543</v>
      </c>
    </row>
    <row r="469" spans="2:17" s="375" customFormat="1" ht="12.75" x14ac:dyDescent="0.2">
      <c r="B469" s="479"/>
      <c r="C469" s="474"/>
      <c r="P469" s="476" t="s">
        <v>235</v>
      </c>
      <c r="Q469" s="477" t="s">
        <v>1544</v>
      </c>
    </row>
    <row r="470" spans="2:17" s="375" customFormat="1" ht="12.75" x14ac:dyDescent="0.2">
      <c r="B470" s="479"/>
      <c r="C470" s="474"/>
      <c r="P470" s="476" t="s">
        <v>235</v>
      </c>
      <c r="Q470" s="477" t="s">
        <v>1545</v>
      </c>
    </row>
    <row r="471" spans="2:17" s="375" customFormat="1" ht="12.75" x14ac:dyDescent="0.2">
      <c r="B471" s="479"/>
      <c r="C471" s="474"/>
      <c r="P471" s="476" t="s">
        <v>235</v>
      </c>
      <c r="Q471" s="477" t="s">
        <v>1546</v>
      </c>
    </row>
    <row r="472" spans="2:17" s="375" customFormat="1" ht="12.75" x14ac:dyDescent="0.2">
      <c r="B472" s="479"/>
      <c r="C472" s="474"/>
      <c r="P472" s="476" t="s">
        <v>234</v>
      </c>
      <c r="Q472" s="477" t="s">
        <v>600</v>
      </c>
    </row>
    <row r="473" spans="2:17" s="375" customFormat="1" ht="12.75" x14ac:dyDescent="0.2">
      <c r="B473" s="479"/>
      <c r="C473" s="474"/>
      <c r="P473" s="476" t="s">
        <v>234</v>
      </c>
      <c r="Q473" s="477" t="s">
        <v>1477</v>
      </c>
    </row>
    <row r="474" spans="2:17" s="375" customFormat="1" ht="12.75" x14ac:dyDescent="0.2">
      <c r="B474" s="479"/>
      <c r="C474" s="474"/>
      <c r="P474" s="476" t="s">
        <v>234</v>
      </c>
      <c r="Q474" s="477" t="s">
        <v>1540</v>
      </c>
    </row>
    <row r="475" spans="2:17" s="375" customFormat="1" ht="12.75" x14ac:dyDescent="0.2">
      <c r="B475" s="479"/>
      <c r="C475" s="474"/>
      <c r="P475" s="476" t="s">
        <v>234</v>
      </c>
      <c r="Q475" s="477" t="s">
        <v>1541</v>
      </c>
    </row>
    <row r="476" spans="2:17" s="375" customFormat="1" ht="12.75" x14ac:dyDescent="0.2">
      <c r="B476" s="479"/>
      <c r="C476" s="474"/>
      <c r="P476" s="476" t="s">
        <v>234</v>
      </c>
      <c r="Q476" s="477" t="s">
        <v>1542</v>
      </c>
    </row>
    <row r="477" spans="2:17" s="375" customFormat="1" ht="12.75" x14ac:dyDescent="0.2">
      <c r="B477" s="479"/>
      <c r="C477" s="474"/>
      <c r="P477" s="476" t="s">
        <v>234</v>
      </c>
      <c r="Q477" s="477" t="s">
        <v>1543</v>
      </c>
    </row>
    <row r="478" spans="2:17" s="375" customFormat="1" ht="12.75" x14ac:dyDescent="0.2">
      <c r="B478" s="479"/>
      <c r="C478" s="474"/>
      <c r="P478" s="476" t="s">
        <v>234</v>
      </c>
      <c r="Q478" s="477" t="s">
        <v>1544</v>
      </c>
    </row>
    <row r="479" spans="2:17" s="375" customFormat="1" ht="12.75" x14ac:dyDescent="0.2">
      <c r="B479" s="479"/>
      <c r="C479" s="474"/>
      <c r="P479" s="476" t="s">
        <v>234</v>
      </c>
      <c r="Q479" s="477" t="s">
        <v>1545</v>
      </c>
    </row>
    <row r="480" spans="2:17" s="375" customFormat="1" ht="12.75" x14ac:dyDescent="0.2">
      <c r="B480" s="479"/>
      <c r="C480" s="474"/>
      <c r="P480" s="476" t="s">
        <v>234</v>
      </c>
      <c r="Q480" s="477" t="s">
        <v>1546</v>
      </c>
    </row>
    <row r="481" spans="2:17" s="375" customFormat="1" ht="12.75" x14ac:dyDescent="0.2">
      <c r="B481" s="479"/>
      <c r="C481" s="474"/>
      <c r="P481" s="476" t="s">
        <v>237</v>
      </c>
      <c r="Q481" s="477" t="s">
        <v>754</v>
      </c>
    </row>
    <row r="482" spans="2:17" s="375" customFormat="1" ht="12.75" x14ac:dyDescent="0.2">
      <c r="B482" s="479"/>
      <c r="C482" s="474"/>
      <c r="P482" s="476" t="s">
        <v>441</v>
      </c>
      <c r="Q482" s="477" t="s">
        <v>1083</v>
      </c>
    </row>
    <row r="483" spans="2:17" s="375" customFormat="1" ht="12.75" x14ac:dyDescent="0.2">
      <c r="B483" s="479"/>
      <c r="C483" s="474"/>
      <c r="P483" s="476" t="s">
        <v>238</v>
      </c>
      <c r="Q483" s="477" t="s">
        <v>587</v>
      </c>
    </row>
    <row r="484" spans="2:17" s="375" customFormat="1" ht="12.75" x14ac:dyDescent="0.2">
      <c r="B484" s="479"/>
      <c r="C484" s="474"/>
      <c r="P484" s="476" t="s">
        <v>238</v>
      </c>
      <c r="Q484" s="477" t="s">
        <v>588</v>
      </c>
    </row>
    <row r="485" spans="2:17" s="375" customFormat="1" ht="12.75" x14ac:dyDescent="0.2">
      <c r="B485" s="479"/>
      <c r="C485" s="474"/>
      <c r="P485" s="476" t="s">
        <v>238</v>
      </c>
      <c r="Q485" s="477" t="s">
        <v>589</v>
      </c>
    </row>
    <row r="486" spans="2:17" s="375" customFormat="1" ht="12.75" x14ac:dyDescent="0.2">
      <c r="B486" s="479"/>
      <c r="C486" s="474"/>
      <c r="P486" s="476" t="s">
        <v>239</v>
      </c>
      <c r="Q486" s="477" t="s">
        <v>909</v>
      </c>
    </row>
    <row r="487" spans="2:17" s="375" customFormat="1" ht="12.75" x14ac:dyDescent="0.2">
      <c r="B487" s="479"/>
      <c r="C487" s="474"/>
      <c r="P487" s="476" t="s">
        <v>239</v>
      </c>
      <c r="Q487" s="477" t="s">
        <v>734</v>
      </c>
    </row>
    <row r="488" spans="2:17" s="375" customFormat="1" ht="12.75" x14ac:dyDescent="0.2">
      <c r="B488" s="479"/>
      <c r="C488" s="474"/>
      <c r="P488" s="476" t="s">
        <v>239</v>
      </c>
      <c r="Q488" s="477" t="s">
        <v>187</v>
      </c>
    </row>
    <row r="489" spans="2:17" s="375" customFormat="1" ht="12.75" x14ac:dyDescent="0.2">
      <c r="B489" s="479"/>
      <c r="C489" s="474"/>
      <c r="P489" s="476" t="s">
        <v>239</v>
      </c>
      <c r="Q489" s="477" t="s">
        <v>188</v>
      </c>
    </row>
    <row r="490" spans="2:17" s="375" customFormat="1" ht="12.75" x14ac:dyDescent="0.2">
      <c r="B490" s="479"/>
      <c r="C490" s="474"/>
      <c r="P490" s="476" t="s">
        <v>239</v>
      </c>
      <c r="Q490" s="477" t="s">
        <v>189</v>
      </c>
    </row>
    <row r="491" spans="2:17" s="375" customFormat="1" ht="12.75" x14ac:dyDescent="0.2">
      <c r="B491" s="479"/>
      <c r="C491" s="474"/>
      <c r="P491" s="476" t="s">
        <v>239</v>
      </c>
      <c r="Q491" s="477" t="s">
        <v>190</v>
      </c>
    </row>
    <row r="492" spans="2:17" s="375" customFormat="1" ht="12.75" x14ac:dyDescent="0.2">
      <c r="B492" s="479"/>
      <c r="C492" s="474"/>
      <c r="P492" s="476" t="s">
        <v>784</v>
      </c>
      <c r="Q492" s="477" t="s">
        <v>910</v>
      </c>
    </row>
    <row r="493" spans="2:17" s="375" customFormat="1" ht="12.75" x14ac:dyDescent="0.2">
      <c r="B493" s="479"/>
      <c r="C493" s="474"/>
      <c r="P493" s="476" t="s">
        <v>240</v>
      </c>
      <c r="Q493" s="477" t="s">
        <v>632</v>
      </c>
    </row>
    <row r="494" spans="2:17" s="375" customFormat="1" ht="12.75" x14ac:dyDescent="0.2">
      <c r="B494" s="479"/>
      <c r="C494" s="474"/>
      <c r="P494" s="476" t="s">
        <v>240</v>
      </c>
      <c r="Q494" s="477" t="s">
        <v>633</v>
      </c>
    </row>
    <row r="495" spans="2:17" s="375" customFormat="1" ht="12.75" x14ac:dyDescent="0.2">
      <c r="B495" s="479"/>
      <c r="C495" s="474"/>
      <c r="P495" s="476" t="s">
        <v>240</v>
      </c>
      <c r="Q495" s="477" t="s">
        <v>634</v>
      </c>
    </row>
    <row r="496" spans="2:17" s="375" customFormat="1" ht="12.75" x14ac:dyDescent="0.2">
      <c r="B496" s="479"/>
      <c r="C496" s="474"/>
      <c r="P496" s="476" t="s">
        <v>241</v>
      </c>
      <c r="Q496" s="477" t="s">
        <v>1478</v>
      </c>
    </row>
    <row r="497" spans="2:17" s="375" customFormat="1" ht="12.75" x14ac:dyDescent="0.2">
      <c r="B497" s="479"/>
      <c r="C497" s="474"/>
      <c r="P497" s="476" t="s">
        <v>241</v>
      </c>
      <c r="Q497" s="477" t="s">
        <v>1401</v>
      </c>
    </row>
    <row r="498" spans="2:17" s="375" customFormat="1" ht="12.75" x14ac:dyDescent="0.2">
      <c r="B498" s="479"/>
      <c r="C498" s="474"/>
      <c r="P498" s="476" t="s">
        <v>241</v>
      </c>
      <c r="Q498" s="477" t="s">
        <v>726</v>
      </c>
    </row>
    <row r="499" spans="2:17" s="375" customFormat="1" ht="12.75" x14ac:dyDescent="0.2">
      <c r="B499" s="479"/>
      <c r="C499" s="474"/>
      <c r="P499" s="476" t="s">
        <v>241</v>
      </c>
      <c r="Q499" s="477" t="s">
        <v>727</v>
      </c>
    </row>
    <row r="500" spans="2:17" s="375" customFormat="1" ht="12.75" x14ac:dyDescent="0.2">
      <c r="B500" s="479"/>
      <c r="C500" s="474"/>
      <c r="P500" s="476" t="s">
        <v>241</v>
      </c>
      <c r="Q500" s="477" t="s">
        <v>186</v>
      </c>
    </row>
    <row r="501" spans="2:17" s="375" customFormat="1" ht="12.75" x14ac:dyDescent="0.2">
      <c r="B501" s="479"/>
      <c r="C501" s="474"/>
      <c r="P501" s="476" t="s">
        <v>241</v>
      </c>
      <c r="Q501" s="477" t="s">
        <v>728</v>
      </c>
    </row>
    <row r="502" spans="2:17" s="375" customFormat="1" ht="12.75" x14ac:dyDescent="0.2">
      <c r="B502" s="479"/>
      <c r="C502" s="474"/>
      <c r="P502" s="476" t="s">
        <v>241</v>
      </c>
      <c r="Q502" s="477" t="s">
        <v>729</v>
      </c>
    </row>
    <row r="503" spans="2:17" s="375" customFormat="1" ht="12.75" x14ac:dyDescent="0.2">
      <c r="B503" s="479"/>
      <c r="C503" s="474"/>
      <c r="P503" s="476" t="s">
        <v>241</v>
      </c>
      <c r="Q503" s="477" t="s">
        <v>730</v>
      </c>
    </row>
    <row r="504" spans="2:17" s="375" customFormat="1" ht="12.75" x14ac:dyDescent="0.2">
      <c r="B504" s="479"/>
      <c r="C504" s="474"/>
      <c r="P504" s="476" t="s">
        <v>241</v>
      </c>
      <c r="Q504" s="477" t="s">
        <v>731</v>
      </c>
    </row>
    <row r="505" spans="2:17" s="375" customFormat="1" ht="12.75" x14ac:dyDescent="0.2">
      <c r="B505" s="479"/>
      <c r="C505" s="474"/>
      <c r="P505" s="476" t="s">
        <v>241</v>
      </c>
      <c r="Q505" s="477" t="s">
        <v>732</v>
      </c>
    </row>
    <row r="506" spans="2:17" s="375" customFormat="1" ht="12.75" x14ac:dyDescent="0.2">
      <c r="B506" s="479"/>
      <c r="C506" s="474"/>
      <c r="P506" s="476" t="s">
        <v>241</v>
      </c>
      <c r="Q506" s="477" t="s">
        <v>733</v>
      </c>
    </row>
    <row r="507" spans="2:17" s="375" customFormat="1" ht="12.75" x14ac:dyDescent="0.2">
      <c r="B507" s="479"/>
      <c r="C507" s="474"/>
      <c r="P507" s="476" t="s">
        <v>242</v>
      </c>
      <c r="Q507" s="477" t="s">
        <v>667</v>
      </c>
    </row>
    <row r="508" spans="2:17" s="375" customFormat="1" ht="12.75" x14ac:dyDescent="0.2">
      <c r="B508" s="479"/>
      <c r="C508" s="474"/>
      <c r="P508" s="476" t="s">
        <v>166</v>
      </c>
      <c r="Q508" s="477" t="s">
        <v>166</v>
      </c>
    </row>
    <row r="509" spans="2:17" s="375" customFormat="1" ht="12.75" x14ac:dyDescent="0.2">
      <c r="B509" s="479"/>
      <c r="C509" s="474"/>
      <c r="P509" s="476" t="s">
        <v>357</v>
      </c>
      <c r="Q509" s="477" t="s">
        <v>867</v>
      </c>
    </row>
    <row r="510" spans="2:17" s="375" customFormat="1" ht="12.75" x14ac:dyDescent="0.2">
      <c r="B510" s="479"/>
      <c r="C510" s="474"/>
      <c r="P510" s="476" t="s">
        <v>358</v>
      </c>
      <c r="Q510" s="477" t="s">
        <v>574</v>
      </c>
    </row>
    <row r="511" spans="2:17" s="375" customFormat="1" ht="12.75" x14ac:dyDescent="0.2">
      <c r="B511" s="479"/>
      <c r="C511" s="474"/>
      <c r="P511" s="476" t="s">
        <v>358</v>
      </c>
      <c r="Q511" s="477" t="s">
        <v>575</v>
      </c>
    </row>
    <row r="512" spans="2:17" s="375" customFormat="1" ht="12.75" x14ac:dyDescent="0.2">
      <c r="B512" s="479"/>
      <c r="C512" s="474"/>
      <c r="P512" s="476" t="s">
        <v>358</v>
      </c>
      <c r="Q512" s="477" t="s">
        <v>868</v>
      </c>
    </row>
    <row r="513" spans="2:17" s="375" customFormat="1" ht="12.75" x14ac:dyDescent="0.2">
      <c r="B513" s="479"/>
      <c r="C513" s="474"/>
      <c r="P513" s="476" t="s">
        <v>358</v>
      </c>
      <c r="Q513" s="477" t="s">
        <v>869</v>
      </c>
    </row>
    <row r="514" spans="2:17" s="375" customFormat="1" ht="12.75" x14ac:dyDescent="0.2">
      <c r="B514" s="479"/>
      <c r="C514" s="474"/>
      <c r="P514" s="476" t="s">
        <v>358</v>
      </c>
      <c r="Q514" s="477" t="s">
        <v>870</v>
      </c>
    </row>
    <row r="515" spans="2:17" s="375" customFormat="1" ht="12.75" x14ac:dyDescent="0.2">
      <c r="B515" s="479"/>
      <c r="C515" s="474"/>
      <c r="P515" s="476" t="s">
        <v>358</v>
      </c>
      <c r="Q515" s="477" t="s">
        <v>871</v>
      </c>
    </row>
    <row r="516" spans="2:17" s="375" customFormat="1" ht="12.75" x14ac:dyDescent="0.2">
      <c r="B516" s="479"/>
      <c r="C516" s="474"/>
      <c r="P516" s="476" t="s">
        <v>358</v>
      </c>
      <c r="Q516" s="477" t="s">
        <v>872</v>
      </c>
    </row>
    <row r="517" spans="2:17" s="375" customFormat="1" ht="12.75" x14ac:dyDescent="0.2">
      <c r="B517" s="479"/>
      <c r="C517" s="474"/>
      <c r="P517" s="476" t="s">
        <v>358</v>
      </c>
      <c r="Q517" s="477" t="s">
        <v>873</v>
      </c>
    </row>
    <row r="518" spans="2:17" s="375" customFormat="1" ht="12.75" x14ac:dyDescent="0.2">
      <c r="B518" s="479"/>
      <c r="C518" s="474"/>
      <c r="P518" s="476" t="s">
        <v>358</v>
      </c>
      <c r="Q518" s="477" t="s">
        <v>874</v>
      </c>
    </row>
    <row r="519" spans="2:17" s="375" customFormat="1" ht="12.75" x14ac:dyDescent="0.2">
      <c r="B519" s="479"/>
      <c r="C519" s="474"/>
      <c r="P519" s="476" t="s">
        <v>358</v>
      </c>
      <c r="Q519" s="477" t="s">
        <v>577</v>
      </c>
    </row>
    <row r="520" spans="2:17" s="375" customFormat="1" ht="12.75" x14ac:dyDescent="0.2">
      <c r="B520" s="479"/>
      <c r="C520" s="474"/>
      <c r="P520" s="476" t="s">
        <v>358</v>
      </c>
      <c r="Q520" s="477" t="s">
        <v>578</v>
      </c>
    </row>
    <row r="521" spans="2:17" s="375" customFormat="1" ht="12.75" x14ac:dyDescent="0.2">
      <c r="B521" s="479"/>
      <c r="C521" s="474"/>
      <c r="P521" s="476" t="s">
        <v>358</v>
      </c>
      <c r="Q521" s="477" t="s">
        <v>1141</v>
      </c>
    </row>
    <row r="522" spans="2:17" s="375" customFormat="1" ht="12.75" x14ac:dyDescent="0.2">
      <c r="B522" s="479"/>
      <c r="C522" s="474"/>
      <c r="P522" s="476" t="s">
        <v>359</v>
      </c>
      <c r="Q522" s="477" t="s">
        <v>836</v>
      </c>
    </row>
    <row r="523" spans="2:17" s="375" customFormat="1" ht="12.75" x14ac:dyDescent="0.2">
      <c r="B523" s="479"/>
      <c r="C523" s="474"/>
      <c r="P523" s="476" t="s">
        <v>359</v>
      </c>
      <c r="Q523" s="477" t="s">
        <v>837</v>
      </c>
    </row>
    <row r="524" spans="2:17" s="375" customFormat="1" ht="12.75" x14ac:dyDescent="0.2">
      <c r="B524" s="479"/>
      <c r="C524" s="474"/>
      <c r="P524" s="476" t="s">
        <v>359</v>
      </c>
      <c r="Q524" s="477" t="s">
        <v>838</v>
      </c>
    </row>
    <row r="525" spans="2:17" s="375" customFormat="1" ht="12.75" x14ac:dyDescent="0.2">
      <c r="B525" s="479"/>
      <c r="C525" s="474"/>
      <c r="P525" s="476" t="s">
        <v>360</v>
      </c>
      <c r="Q525" s="477" t="s">
        <v>839</v>
      </c>
    </row>
    <row r="526" spans="2:17" s="375" customFormat="1" ht="12.75" x14ac:dyDescent="0.2">
      <c r="B526" s="479"/>
      <c r="C526" s="474"/>
      <c r="P526" s="476" t="s">
        <v>361</v>
      </c>
      <c r="Q526" s="477" t="s">
        <v>168</v>
      </c>
    </row>
    <row r="527" spans="2:17" s="375" customFormat="1" ht="12.75" x14ac:dyDescent="0.2">
      <c r="B527" s="479"/>
      <c r="C527" s="474"/>
      <c r="P527" s="476" t="s">
        <v>361</v>
      </c>
      <c r="Q527" s="477" t="s">
        <v>840</v>
      </c>
    </row>
    <row r="528" spans="2:17" s="375" customFormat="1" ht="12.75" x14ac:dyDescent="0.2">
      <c r="B528" s="479"/>
      <c r="C528" s="474"/>
      <c r="P528" s="476" t="s">
        <v>1132</v>
      </c>
      <c r="Q528" s="477" t="s">
        <v>621</v>
      </c>
    </row>
    <row r="529" spans="2:17" s="375" customFormat="1" ht="12.75" x14ac:dyDescent="0.2">
      <c r="B529" s="479"/>
      <c r="C529" s="474"/>
      <c r="P529" s="476" t="s">
        <v>363</v>
      </c>
      <c r="Q529" s="477" t="s">
        <v>645</v>
      </c>
    </row>
    <row r="530" spans="2:17" s="375" customFormat="1" ht="12.75" x14ac:dyDescent="0.2">
      <c r="B530" s="479"/>
      <c r="C530" s="474"/>
      <c r="P530" s="476" t="s">
        <v>363</v>
      </c>
      <c r="Q530" s="477" t="s">
        <v>654</v>
      </c>
    </row>
    <row r="531" spans="2:17" s="375" customFormat="1" ht="12.75" x14ac:dyDescent="0.2">
      <c r="B531" s="479"/>
      <c r="C531" s="474"/>
      <c r="P531" s="476" t="s">
        <v>363</v>
      </c>
      <c r="Q531" s="477" t="s">
        <v>738</v>
      </c>
    </row>
    <row r="532" spans="2:17" s="375" customFormat="1" ht="12.75" x14ac:dyDescent="0.2">
      <c r="B532" s="479"/>
      <c r="C532" s="474"/>
      <c r="P532" s="476" t="s">
        <v>442</v>
      </c>
      <c r="Q532" s="477" t="s">
        <v>1053</v>
      </c>
    </row>
    <row r="533" spans="2:17" s="375" customFormat="1" ht="12.75" x14ac:dyDescent="0.2">
      <c r="B533" s="479"/>
      <c r="C533" s="474"/>
      <c r="P533" s="476" t="s">
        <v>364</v>
      </c>
      <c r="Q533" s="477" t="s">
        <v>911</v>
      </c>
    </row>
    <row r="534" spans="2:17" s="375" customFormat="1" ht="12.75" x14ac:dyDescent="0.2">
      <c r="B534" s="479"/>
      <c r="C534" s="474"/>
      <c r="P534" s="476" t="s">
        <v>365</v>
      </c>
      <c r="Q534" s="477" t="s">
        <v>583</v>
      </c>
    </row>
    <row r="535" spans="2:17" s="375" customFormat="1" ht="12.75" x14ac:dyDescent="0.2">
      <c r="B535" s="479"/>
      <c r="C535" s="474"/>
      <c r="P535" s="476" t="s">
        <v>365</v>
      </c>
      <c r="Q535" s="477" t="s">
        <v>599</v>
      </c>
    </row>
    <row r="536" spans="2:17" s="375" customFormat="1" ht="12.75" x14ac:dyDescent="0.2">
      <c r="B536" s="479"/>
      <c r="C536" s="474"/>
      <c r="P536" s="476" t="s">
        <v>365</v>
      </c>
      <c r="Q536" s="477" t="s">
        <v>875</v>
      </c>
    </row>
    <row r="537" spans="2:17" s="375" customFormat="1" ht="12.75" x14ac:dyDescent="0.2">
      <c r="B537" s="479"/>
      <c r="C537" s="474"/>
      <c r="P537" s="476" t="s">
        <v>365</v>
      </c>
      <c r="Q537" s="477" t="s">
        <v>657</v>
      </c>
    </row>
    <row r="538" spans="2:17" s="375" customFormat="1" ht="12.75" x14ac:dyDescent="0.2">
      <c r="B538" s="479"/>
      <c r="C538" s="474"/>
      <c r="P538" s="476" t="s">
        <v>365</v>
      </c>
      <c r="Q538" s="477" t="s">
        <v>725</v>
      </c>
    </row>
    <row r="539" spans="2:17" s="375" customFormat="1" ht="12.75" x14ac:dyDescent="0.2">
      <c r="B539" s="479"/>
      <c r="C539" s="474"/>
      <c r="P539" s="476" t="s">
        <v>244</v>
      </c>
      <c r="Q539" s="477" t="s">
        <v>611</v>
      </c>
    </row>
    <row r="540" spans="2:17" s="375" customFormat="1" ht="12.75" x14ac:dyDescent="0.2">
      <c r="B540" s="479"/>
      <c r="C540" s="474"/>
      <c r="P540" s="476" t="s">
        <v>245</v>
      </c>
      <c r="Q540" s="477" t="s">
        <v>876</v>
      </c>
    </row>
    <row r="541" spans="2:17" s="375" customFormat="1" ht="12.75" x14ac:dyDescent="0.2">
      <c r="B541" s="479"/>
      <c r="C541" s="474"/>
      <c r="P541" s="476" t="s">
        <v>245</v>
      </c>
      <c r="Q541" s="477" t="s">
        <v>877</v>
      </c>
    </row>
    <row r="542" spans="2:17" s="375" customFormat="1" ht="12.75" x14ac:dyDescent="0.2">
      <c r="B542" s="479"/>
      <c r="C542" s="474"/>
      <c r="P542" s="476" t="s">
        <v>245</v>
      </c>
      <c r="Q542" s="477" t="s">
        <v>1396</v>
      </c>
    </row>
    <row r="543" spans="2:17" s="375" customFormat="1" ht="12.75" x14ac:dyDescent="0.2">
      <c r="B543" s="479"/>
      <c r="C543" s="474"/>
      <c r="P543" s="476" t="s">
        <v>245</v>
      </c>
      <c r="Q543" s="477" t="s">
        <v>155</v>
      </c>
    </row>
    <row r="544" spans="2:17" s="375" customFormat="1" ht="12.75" x14ac:dyDescent="0.2">
      <c r="B544" s="479"/>
      <c r="C544" s="474"/>
      <c r="P544" s="476" t="s">
        <v>245</v>
      </c>
      <c r="Q544" s="477" t="s">
        <v>593</v>
      </c>
    </row>
    <row r="545" spans="2:17" s="375" customFormat="1" ht="12.75" x14ac:dyDescent="0.2">
      <c r="B545" s="479"/>
      <c r="C545" s="474"/>
      <c r="P545" s="476" t="s">
        <v>245</v>
      </c>
      <c r="Q545" s="477" t="s">
        <v>156</v>
      </c>
    </row>
    <row r="546" spans="2:17" s="375" customFormat="1" ht="12.75" x14ac:dyDescent="0.2">
      <c r="B546" s="479"/>
      <c r="C546" s="474"/>
      <c r="P546" s="476" t="s">
        <v>245</v>
      </c>
      <c r="Q546" s="477" t="s">
        <v>878</v>
      </c>
    </row>
    <row r="547" spans="2:17" s="375" customFormat="1" ht="12.75" x14ac:dyDescent="0.2">
      <c r="B547" s="479"/>
      <c r="C547" s="474"/>
      <c r="P547" s="476" t="s">
        <v>245</v>
      </c>
      <c r="Q547" s="477" t="s">
        <v>879</v>
      </c>
    </row>
    <row r="548" spans="2:17" s="375" customFormat="1" ht="12.75" x14ac:dyDescent="0.2">
      <c r="B548" s="479"/>
      <c r="C548" s="474"/>
      <c r="P548" s="476" t="s">
        <v>245</v>
      </c>
      <c r="Q548" s="477" t="s">
        <v>880</v>
      </c>
    </row>
    <row r="549" spans="2:17" s="375" customFormat="1" ht="12.75" x14ac:dyDescent="0.2">
      <c r="B549" s="479"/>
      <c r="C549" s="474"/>
      <c r="P549" s="476" t="s">
        <v>245</v>
      </c>
      <c r="Q549" s="477" t="s">
        <v>881</v>
      </c>
    </row>
    <row r="550" spans="2:17" s="375" customFormat="1" ht="12.75" x14ac:dyDescent="0.2">
      <c r="B550" s="479"/>
      <c r="C550" s="474"/>
      <c r="P550" s="476" t="s">
        <v>245</v>
      </c>
      <c r="Q550" s="477" t="s">
        <v>157</v>
      </c>
    </row>
    <row r="551" spans="2:17" s="375" customFormat="1" ht="12.75" x14ac:dyDescent="0.2">
      <c r="B551" s="479"/>
      <c r="C551" s="474"/>
      <c r="P551" s="476" t="s">
        <v>245</v>
      </c>
      <c r="Q551" s="477" t="s">
        <v>882</v>
      </c>
    </row>
    <row r="552" spans="2:17" s="375" customFormat="1" ht="12.75" x14ac:dyDescent="0.2">
      <c r="B552" s="479"/>
      <c r="C552" s="474"/>
      <c r="P552" s="476" t="s">
        <v>245</v>
      </c>
      <c r="Q552" s="477" t="s">
        <v>883</v>
      </c>
    </row>
    <row r="553" spans="2:17" s="375" customFormat="1" ht="12.75" x14ac:dyDescent="0.2">
      <c r="B553" s="479"/>
      <c r="C553" s="474"/>
      <c r="P553" s="476" t="s">
        <v>245</v>
      </c>
      <c r="Q553" s="477" t="s">
        <v>884</v>
      </c>
    </row>
    <row r="554" spans="2:17" s="375" customFormat="1" ht="12.75" x14ac:dyDescent="0.2">
      <c r="B554" s="479"/>
      <c r="C554" s="474"/>
      <c r="P554" s="476" t="s">
        <v>245</v>
      </c>
      <c r="Q554" s="477" t="s">
        <v>885</v>
      </c>
    </row>
    <row r="555" spans="2:17" s="375" customFormat="1" ht="12.75" x14ac:dyDescent="0.2">
      <c r="B555" s="479"/>
      <c r="C555" s="474"/>
      <c r="P555" s="476" t="s">
        <v>245</v>
      </c>
      <c r="Q555" s="477" t="s">
        <v>886</v>
      </c>
    </row>
    <row r="556" spans="2:17" s="375" customFormat="1" ht="12.75" x14ac:dyDescent="0.2">
      <c r="B556" s="479"/>
      <c r="C556" s="474"/>
      <c r="P556" s="476" t="s">
        <v>245</v>
      </c>
      <c r="Q556" s="477" t="s">
        <v>887</v>
      </c>
    </row>
    <row r="557" spans="2:17" s="375" customFormat="1" ht="12.75" x14ac:dyDescent="0.2">
      <c r="B557" s="479"/>
      <c r="C557" s="474"/>
      <c r="P557" s="476" t="s">
        <v>245</v>
      </c>
      <c r="Q557" s="477" t="s">
        <v>888</v>
      </c>
    </row>
    <row r="558" spans="2:17" s="375" customFormat="1" ht="12.75" x14ac:dyDescent="0.2">
      <c r="B558" s="479"/>
      <c r="C558" s="474"/>
      <c r="P558" s="476" t="s">
        <v>245</v>
      </c>
      <c r="Q558" s="477" t="s">
        <v>889</v>
      </c>
    </row>
    <row r="559" spans="2:17" s="375" customFormat="1" ht="12.75" x14ac:dyDescent="0.2">
      <c r="B559" s="479"/>
      <c r="C559" s="474"/>
      <c r="P559" s="476" t="s">
        <v>245</v>
      </c>
      <c r="Q559" s="477" t="s">
        <v>890</v>
      </c>
    </row>
    <row r="560" spans="2:17" s="375" customFormat="1" ht="12.75" x14ac:dyDescent="0.2">
      <c r="B560" s="479"/>
      <c r="C560" s="474"/>
      <c r="P560" s="476" t="s">
        <v>245</v>
      </c>
      <c r="Q560" s="477" t="s">
        <v>597</v>
      </c>
    </row>
    <row r="561" spans="2:17" s="375" customFormat="1" ht="12.75" x14ac:dyDescent="0.2">
      <c r="B561" s="479"/>
      <c r="C561" s="474"/>
      <c r="P561" s="476" t="s">
        <v>245</v>
      </c>
      <c r="Q561" s="477" t="s">
        <v>891</v>
      </c>
    </row>
    <row r="562" spans="2:17" s="375" customFormat="1" ht="12.75" x14ac:dyDescent="0.2">
      <c r="B562" s="479"/>
      <c r="C562" s="474"/>
      <c r="P562" s="476" t="s">
        <v>245</v>
      </c>
      <c r="Q562" s="477" t="s">
        <v>160</v>
      </c>
    </row>
    <row r="563" spans="2:17" s="375" customFormat="1" ht="12.75" x14ac:dyDescent="0.2">
      <c r="B563" s="479"/>
      <c r="C563" s="474"/>
      <c r="P563" s="476" t="s">
        <v>245</v>
      </c>
      <c r="Q563" s="477" t="s">
        <v>892</v>
      </c>
    </row>
    <row r="564" spans="2:17" s="375" customFormat="1" ht="12.75" x14ac:dyDescent="0.2">
      <c r="B564" s="479"/>
      <c r="C564" s="474"/>
      <c r="P564" s="476" t="s">
        <v>245</v>
      </c>
      <c r="Q564" s="477" t="s">
        <v>893</v>
      </c>
    </row>
    <row r="565" spans="2:17" s="375" customFormat="1" ht="12.75" x14ac:dyDescent="0.2">
      <c r="B565" s="479"/>
      <c r="C565" s="474"/>
      <c r="P565" s="476" t="s">
        <v>245</v>
      </c>
      <c r="Q565" s="477" t="s">
        <v>1143</v>
      </c>
    </row>
    <row r="566" spans="2:17" s="375" customFormat="1" ht="12.75" x14ac:dyDescent="0.2">
      <c r="B566" s="479"/>
      <c r="C566" s="474"/>
      <c r="P566" s="476" t="s">
        <v>245</v>
      </c>
      <c r="Q566" s="477" t="s">
        <v>161</v>
      </c>
    </row>
    <row r="567" spans="2:17" s="375" customFormat="1" ht="12.75" x14ac:dyDescent="0.2">
      <c r="B567" s="479"/>
      <c r="C567" s="474"/>
      <c r="P567" s="476" t="s">
        <v>245</v>
      </c>
      <c r="Q567" s="477" t="s">
        <v>894</v>
      </c>
    </row>
    <row r="568" spans="2:17" s="375" customFormat="1" ht="12.75" x14ac:dyDescent="0.2">
      <c r="B568" s="479"/>
      <c r="C568" s="474"/>
      <c r="P568" s="476" t="s">
        <v>245</v>
      </c>
      <c r="Q568" s="477" t="s">
        <v>895</v>
      </c>
    </row>
    <row r="569" spans="2:17" s="375" customFormat="1" ht="12.75" x14ac:dyDescent="0.2">
      <c r="B569" s="479"/>
      <c r="C569" s="474"/>
      <c r="P569" s="476" t="s">
        <v>245</v>
      </c>
      <c r="Q569" s="477" t="s">
        <v>896</v>
      </c>
    </row>
    <row r="570" spans="2:17" s="375" customFormat="1" ht="12.75" x14ac:dyDescent="0.2">
      <c r="B570" s="479"/>
      <c r="C570" s="474"/>
      <c r="P570" s="476" t="s">
        <v>245</v>
      </c>
      <c r="Q570" s="477" t="s">
        <v>897</v>
      </c>
    </row>
    <row r="571" spans="2:17" s="375" customFormat="1" ht="12.75" x14ac:dyDescent="0.2">
      <c r="B571" s="479"/>
      <c r="C571" s="474"/>
      <c r="P571" s="476" t="s">
        <v>245</v>
      </c>
      <c r="Q571" s="477" t="s">
        <v>898</v>
      </c>
    </row>
    <row r="572" spans="2:17" s="375" customFormat="1" ht="12.75" x14ac:dyDescent="0.2">
      <c r="B572" s="479"/>
      <c r="C572" s="474"/>
      <c r="P572" s="476" t="s">
        <v>245</v>
      </c>
      <c r="Q572" s="477" t="s">
        <v>899</v>
      </c>
    </row>
    <row r="573" spans="2:17" s="375" customFormat="1" ht="12.75" x14ac:dyDescent="0.2">
      <c r="B573" s="479"/>
      <c r="C573" s="474"/>
      <c r="P573" s="476" t="s">
        <v>245</v>
      </c>
      <c r="Q573" s="477" t="s">
        <v>169</v>
      </c>
    </row>
    <row r="574" spans="2:17" s="375" customFormat="1" ht="12.75" x14ac:dyDescent="0.2">
      <c r="B574" s="479"/>
      <c r="C574" s="474"/>
      <c r="P574" s="476" t="s">
        <v>245</v>
      </c>
      <c r="Q574" s="477" t="s">
        <v>1402</v>
      </c>
    </row>
    <row r="575" spans="2:17" s="375" customFormat="1" ht="12.75" x14ac:dyDescent="0.2">
      <c r="B575" s="479"/>
      <c r="C575" s="474"/>
      <c r="P575" s="476" t="s">
        <v>245</v>
      </c>
      <c r="Q575" s="477" t="s">
        <v>1403</v>
      </c>
    </row>
    <row r="576" spans="2:17" s="375" customFormat="1" ht="12.75" x14ac:dyDescent="0.2">
      <c r="B576" s="479"/>
      <c r="C576" s="474"/>
      <c r="P576" s="476" t="s">
        <v>245</v>
      </c>
      <c r="Q576" s="477" t="s">
        <v>1404</v>
      </c>
    </row>
    <row r="577" spans="2:17" s="375" customFormat="1" ht="12.75" x14ac:dyDescent="0.2">
      <c r="B577" s="479"/>
      <c r="C577" s="474"/>
      <c r="P577" s="476" t="s">
        <v>245</v>
      </c>
      <c r="Q577" s="477" t="s">
        <v>1405</v>
      </c>
    </row>
    <row r="578" spans="2:17" s="375" customFormat="1" ht="12.75" x14ac:dyDescent="0.2">
      <c r="B578" s="479"/>
      <c r="C578" s="474"/>
      <c r="P578" s="476" t="s">
        <v>246</v>
      </c>
      <c r="Q578" s="477" t="s">
        <v>754</v>
      </c>
    </row>
    <row r="579" spans="2:17" s="375" customFormat="1" ht="12.75" x14ac:dyDescent="0.2">
      <c r="B579" s="479"/>
      <c r="C579" s="474"/>
      <c r="P579" s="476" t="s">
        <v>563</v>
      </c>
      <c r="Q579" s="477" t="s">
        <v>1289</v>
      </c>
    </row>
    <row r="580" spans="2:17" s="375" customFormat="1" ht="12.75" x14ac:dyDescent="0.2">
      <c r="B580" s="479"/>
      <c r="C580" s="474"/>
      <c r="P580" s="476" t="s">
        <v>563</v>
      </c>
      <c r="Q580" s="477" t="s">
        <v>1290</v>
      </c>
    </row>
    <row r="581" spans="2:17" s="375" customFormat="1" ht="12.75" x14ac:dyDescent="0.2">
      <c r="B581" s="479"/>
      <c r="C581" s="474"/>
      <c r="P581" s="476" t="s">
        <v>563</v>
      </c>
      <c r="Q581" s="477" t="s">
        <v>1291</v>
      </c>
    </row>
    <row r="582" spans="2:17" s="375" customFormat="1" ht="12.75" x14ac:dyDescent="0.2">
      <c r="B582" s="479"/>
      <c r="C582" s="474"/>
      <c r="P582" s="476" t="s">
        <v>563</v>
      </c>
      <c r="Q582" s="477" t="s">
        <v>1292</v>
      </c>
    </row>
    <row r="583" spans="2:17" s="375" customFormat="1" ht="12.75" x14ac:dyDescent="0.2">
      <c r="B583" s="479"/>
      <c r="C583" s="474"/>
      <c r="P583" s="476" t="s">
        <v>563</v>
      </c>
      <c r="Q583" s="477" t="s">
        <v>1293</v>
      </c>
    </row>
    <row r="584" spans="2:17" s="375" customFormat="1" ht="12.75" x14ac:dyDescent="0.2">
      <c r="B584" s="479"/>
      <c r="C584" s="474"/>
      <c r="P584" s="476" t="s">
        <v>563</v>
      </c>
      <c r="Q584" s="477" t="s">
        <v>1294</v>
      </c>
    </row>
    <row r="585" spans="2:17" s="375" customFormat="1" ht="12.75" x14ac:dyDescent="0.2">
      <c r="B585" s="479"/>
      <c r="C585" s="474"/>
      <c r="P585" s="476" t="s">
        <v>563</v>
      </c>
      <c r="Q585" s="477" t="s">
        <v>1295</v>
      </c>
    </row>
    <row r="586" spans="2:17" s="375" customFormat="1" ht="12.75" x14ac:dyDescent="0.2">
      <c r="B586" s="479"/>
      <c r="C586" s="474"/>
      <c r="P586" s="476" t="s">
        <v>563</v>
      </c>
      <c r="Q586" s="477" t="s">
        <v>1296</v>
      </c>
    </row>
    <row r="587" spans="2:17" s="375" customFormat="1" ht="12.75" x14ac:dyDescent="0.2">
      <c r="B587" s="479"/>
      <c r="C587" s="474"/>
      <c r="P587" s="476" t="s">
        <v>563</v>
      </c>
      <c r="Q587" s="477" t="s">
        <v>1297</v>
      </c>
    </row>
    <row r="588" spans="2:17" s="375" customFormat="1" ht="12.75" x14ac:dyDescent="0.2">
      <c r="B588" s="479"/>
      <c r="C588" s="474"/>
      <c r="P588" s="476" t="s">
        <v>563</v>
      </c>
      <c r="Q588" s="477" t="s">
        <v>1298</v>
      </c>
    </row>
    <row r="589" spans="2:17" s="375" customFormat="1" ht="12.75" x14ac:dyDescent="0.2">
      <c r="B589" s="479"/>
      <c r="C589" s="474"/>
      <c r="P589" s="476" t="s">
        <v>563</v>
      </c>
      <c r="Q589" s="477" t="s">
        <v>900</v>
      </c>
    </row>
    <row r="590" spans="2:17" s="375" customFormat="1" ht="12.75" x14ac:dyDescent="0.2">
      <c r="B590" s="479"/>
      <c r="C590" s="474"/>
      <c r="P590" s="476" t="s">
        <v>563</v>
      </c>
      <c r="Q590" s="477" t="s">
        <v>901</v>
      </c>
    </row>
    <row r="591" spans="2:17" s="375" customFormat="1" ht="12.75" x14ac:dyDescent="0.2">
      <c r="B591" s="479"/>
      <c r="C591" s="474"/>
      <c r="P591" s="476" t="s">
        <v>563</v>
      </c>
      <c r="Q591" s="477" t="s">
        <v>902</v>
      </c>
    </row>
    <row r="592" spans="2:17" s="375" customFormat="1" ht="12.75" x14ac:dyDescent="0.2">
      <c r="B592" s="479"/>
      <c r="C592" s="474"/>
      <c r="P592" s="476" t="s">
        <v>563</v>
      </c>
      <c r="Q592" s="477" t="s">
        <v>903</v>
      </c>
    </row>
    <row r="593" spans="2:17" s="375" customFormat="1" ht="12.75" x14ac:dyDescent="0.2">
      <c r="B593" s="479"/>
      <c r="C593" s="474"/>
      <c r="P593" s="476" t="s">
        <v>563</v>
      </c>
      <c r="Q593" s="477" t="s">
        <v>904</v>
      </c>
    </row>
    <row r="594" spans="2:17" s="375" customFormat="1" ht="12.75" x14ac:dyDescent="0.2">
      <c r="B594" s="479"/>
      <c r="C594" s="474"/>
      <c r="P594" s="476" t="s">
        <v>362</v>
      </c>
      <c r="Q594" s="477" t="s">
        <v>833</v>
      </c>
    </row>
    <row r="595" spans="2:17" s="375" customFormat="1" ht="12.75" x14ac:dyDescent="0.2">
      <c r="B595" s="479"/>
      <c r="C595" s="474"/>
      <c r="P595" s="476" t="s">
        <v>362</v>
      </c>
      <c r="Q595" s="477" t="s">
        <v>834</v>
      </c>
    </row>
    <row r="596" spans="2:17" s="375" customFormat="1" ht="12.75" x14ac:dyDescent="0.2">
      <c r="B596" s="479"/>
      <c r="C596" s="474"/>
      <c r="P596" s="476" t="s">
        <v>912</v>
      </c>
      <c r="Q596" s="477" t="s">
        <v>839</v>
      </c>
    </row>
    <row r="597" spans="2:17" s="375" customFormat="1" ht="12.75" x14ac:dyDescent="0.2">
      <c r="B597" s="479"/>
      <c r="C597" s="474"/>
      <c r="P597" s="476" t="s">
        <v>366</v>
      </c>
      <c r="Q597" s="477" t="s">
        <v>845</v>
      </c>
    </row>
    <row r="598" spans="2:17" s="375" customFormat="1" ht="12.75" x14ac:dyDescent="0.2">
      <c r="B598" s="479"/>
      <c r="C598" s="474"/>
      <c r="P598" s="476" t="s">
        <v>366</v>
      </c>
      <c r="Q598" s="477" t="s">
        <v>846</v>
      </c>
    </row>
    <row r="599" spans="2:17" s="375" customFormat="1" ht="12.75" x14ac:dyDescent="0.2">
      <c r="B599" s="479"/>
      <c r="C599" s="474"/>
      <c r="P599" s="476" t="s">
        <v>366</v>
      </c>
      <c r="Q599" s="477" t="s">
        <v>847</v>
      </c>
    </row>
    <row r="600" spans="2:17" s="375" customFormat="1" ht="12.75" x14ac:dyDescent="0.2">
      <c r="B600" s="479"/>
      <c r="C600" s="474"/>
      <c r="P600" s="476" t="s">
        <v>366</v>
      </c>
      <c r="Q600" s="477" t="s">
        <v>848</v>
      </c>
    </row>
    <row r="601" spans="2:17" s="375" customFormat="1" ht="12.75" x14ac:dyDescent="0.2">
      <c r="B601" s="479"/>
      <c r="C601" s="474"/>
      <c r="P601" s="476" t="s">
        <v>366</v>
      </c>
      <c r="Q601" s="477" t="s">
        <v>849</v>
      </c>
    </row>
    <row r="602" spans="2:17" s="375" customFormat="1" ht="12.75" x14ac:dyDescent="0.2">
      <c r="B602" s="479"/>
      <c r="C602" s="474"/>
      <c r="P602" s="476" t="s">
        <v>366</v>
      </c>
      <c r="Q602" s="477" t="s">
        <v>1406</v>
      </c>
    </row>
    <row r="603" spans="2:17" s="375" customFormat="1" ht="12.75" x14ac:dyDescent="0.2">
      <c r="B603" s="479"/>
      <c r="C603" s="474"/>
      <c r="P603" s="476" t="s">
        <v>366</v>
      </c>
      <c r="Q603" s="477" t="s">
        <v>1407</v>
      </c>
    </row>
    <row r="604" spans="2:17" s="375" customFormat="1" ht="12.75" x14ac:dyDescent="0.2">
      <c r="B604" s="479"/>
      <c r="C604" s="474"/>
      <c r="P604" s="482" t="s">
        <v>366</v>
      </c>
      <c r="Q604" s="477" t="s">
        <v>1408</v>
      </c>
    </row>
    <row r="605" spans="2:17" s="375" customFormat="1" ht="12.75" x14ac:dyDescent="0.2">
      <c r="B605" s="479"/>
      <c r="C605" s="474"/>
      <c r="P605" s="476" t="s">
        <v>366</v>
      </c>
      <c r="Q605" s="477" t="s">
        <v>1409</v>
      </c>
    </row>
    <row r="606" spans="2:17" s="375" customFormat="1" ht="12.75" x14ac:dyDescent="0.2">
      <c r="B606" s="479"/>
      <c r="C606" s="474"/>
      <c r="P606" s="476" t="s">
        <v>366</v>
      </c>
      <c r="Q606" s="477" t="s">
        <v>1410</v>
      </c>
    </row>
    <row r="607" spans="2:17" s="375" customFormat="1" ht="12.75" x14ac:dyDescent="0.2">
      <c r="B607" s="479"/>
      <c r="C607" s="474"/>
      <c r="P607" s="476" t="s">
        <v>366</v>
      </c>
      <c r="Q607" s="477" t="s">
        <v>1411</v>
      </c>
    </row>
    <row r="608" spans="2:17" s="375" customFormat="1" ht="12.75" x14ac:dyDescent="0.2">
      <c r="B608" s="479"/>
      <c r="C608" s="474"/>
      <c r="P608" s="476" t="s">
        <v>459</v>
      </c>
      <c r="Q608" s="477" t="s">
        <v>1076</v>
      </c>
    </row>
    <row r="609" spans="2:17" s="375" customFormat="1" ht="12.75" x14ac:dyDescent="0.2">
      <c r="B609" s="479"/>
      <c r="C609" s="474"/>
      <c r="P609" s="476" t="s">
        <v>443</v>
      </c>
      <c r="Q609" s="477" t="s">
        <v>1054</v>
      </c>
    </row>
    <row r="610" spans="2:17" s="375" customFormat="1" ht="12.75" x14ac:dyDescent="0.2">
      <c r="B610" s="479"/>
      <c r="C610" s="474"/>
      <c r="P610" s="476" t="s">
        <v>249</v>
      </c>
      <c r="Q610" s="477" t="s">
        <v>644</v>
      </c>
    </row>
    <row r="611" spans="2:17" s="375" customFormat="1" ht="12.75" x14ac:dyDescent="0.2">
      <c r="B611" s="479"/>
      <c r="C611" s="474"/>
      <c r="P611" s="476" t="s">
        <v>249</v>
      </c>
      <c r="Q611" s="477" t="s">
        <v>695</v>
      </c>
    </row>
    <row r="612" spans="2:17" s="375" customFormat="1" ht="12.75" x14ac:dyDescent="0.2">
      <c r="B612" s="479"/>
      <c r="C612" s="474"/>
      <c r="P612" s="476" t="s">
        <v>249</v>
      </c>
      <c r="Q612" s="477" t="s">
        <v>718</v>
      </c>
    </row>
    <row r="613" spans="2:17" s="375" customFormat="1" ht="12.75" x14ac:dyDescent="0.2">
      <c r="B613" s="479"/>
      <c r="C613" s="474"/>
      <c r="P613" s="476" t="s">
        <v>249</v>
      </c>
      <c r="Q613" s="477" t="s">
        <v>723</v>
      </c>
    </row>
    <row r="614" spans="2:17" s="375" customFormat="1" ht="12.75" x14ac:dyDescent="0.2">
      <c r="B614" s="479"/>
      <c r="C614" s="474"/>
      <c r="P614" s="476" t="s">
        <v>249</v>
      </c>
      <c r="Q614" s="477" t="s">
        <v>765</v>
      </c>
    </row>
    <row r="615" spans="2:17" s="375" customFormat="1" ht="12.75" x14ac:dyDescent="0.2">
      <c r="B615" s="479"/>
      <c r="C615" s="474"/>
      <c r="P615" s="476" t="s">
        <v>248</v>
      </c>
      <c r="Q615" s="477" t="s">
        <v>1055</v>
      </c>
    </row>
    <row r="616" spans="2:17" s="375" customFormat="1" ht="12.75" x14ac:dyDescent="0.2">
      <c r="B616" s="479"/>
      <c r="C616" s="474"/>
      <c r="P616" s="476" t="s">
        <v>248</v>
      </c>
      <c r="Q616" s="477" t="s">
        <v>852</v>
      </c>
    </row>
    <row r="617" spans="2:17" s="375" customFormat="1" ht="12.75" x14ac:dyDescent="0.2">
      <c r="B617" s="479"/>
      <c r="C617" s="474"/>
      <c r="P617" s="476" t="s">
        <v>248</v>
      </c>
      <c r="Q617" s="477" t="s">
        <v>1056</v>
      </c>
    </row>
    <row r="618" spans="2:17" s="375" customFormat="1" ht="12.75" x14ac:dyDescent="0.2">
      <c r="B618" s="479"/>
      <c r="C618" s="474"/>
      <c r="P618" s="476" t="s">
        <v>248</v>
      </c>
      <c r="Q618" s="477" t="s">
        <v>1057</v>
      </c>
    </row>
    <row r="619" spans="2:17" s="375" customFormat="1" ht="12.75" x14ac:dyDescent="0.2">
      <c r="B619" s="479"/>
      <c r="C619" s="474"/>
      <c r="P619" s="476" t="s">
        <v>248</v>
      </c>
      <c r="Q619" s="477" t="s">
        <v>853</v>
      </c>
    </row>
    <row r="620" spans="2:17" s="375" customFormat="1" ht="12.75" x14ac:dyDescent="0.2">
      <c r="B620" s="479"/>
      <c r="C620" s="474"/>
      <c r="P620" s="476" t="s">
        <v>248</v>
      </c>
      <c r="Q620" s="477" t="s">
        <v>854</v>
      </c>
    </row>
    <row r="621" spans="2:17" s="375" customFormat="1" ht="12.75" x14ac:dyDescent="0.2">
      <c r="B621" s="479"/>
      <c r="C621" s="474"/>
      <c r="P621" s="476" t="s">
        <v>248</v>
      </c>
      <c r="Q621" s="477" t="s">
        <v>1058</v>
      </c>
    </row>
    <row r="622" spans="2:17" s="375" customFormat="1" ht="12.75" x14ac:dyDescent="0.2">
      <c r="B622" s="479"/>
      <c r="C622" s="474"/>
      <c r="P622" s="476" t="s">
        <v>248</v>
      </c>
      <c r="Q622" s="477" t="s">
        <v>1059</v>
      </c>
    </row>
    <row r="623" spans="2:17" s="375" customFormat="1" ht="12.75" x14ac:dyDescent="0.2">
      <c r="B623" s="479"/>
      <c r="C623" s="474"/>
      <c r="P623" s="476" t="s">
        <v>248</v>
      </c>
      <c r="Q623" s="477" t="s">
        <v>1060</v>
      </c>
    </row>
    <row r="624" spans="2:17" s="375" customFormat="1" ht="12.75" x14ac:dyDescent="0.2">
      <c r="B624" s="479"/>
      <c r="C624" s="474"/>
      <c r="P624" s="476" t="s">
        <v>248</v>
      </c>
      <c r="Q624" s="477" t="s">
        <v>1061</v>
      </c>
    </row>
    <row r="625" spans="2:17" s="375" customFormat="1" ht="12.75" x14ac:dyDescent="0.2">
      <c r="B625" s="479"/>
      <c r="C625" s="474"/>
      <c r="P625" s="476" t="s">
        <v>248</v>
      </c>
      <c r="Q625" s="477" t="s">
        <v>855</v>
      </c>
    </row>
    <row r="626" spans="2:17" s="375" customFormat="1" ht="12.75" x14ac:dyDescent="0.2">
      <c r="B626" s="479"/>
      <c r="C626" s="474"/>
      <c r="P626" s="476" t="s">
        <v>248</v>
      </c>
      <c r="Q626" s="477" t="s">
        <v>1062</v>
      </c>
    </row>
    <row r="627" spans="2:17" s="375" customFormat="1" ht="12.75" x14ac:dyDescent="0.2">
      <c r="B627" s="479"/>
      <c r="C627" s="474"/>
      <c r="P627" s="476" t="s">
        <v>248</v>
      </c>
      <c r="Q627" s="477" t="s">
        <v>856</v>
      </c>
    </row>
    <row r="628" spans="2:17" s="375" customFormat="1" ht="12.75" x14ac:dyDescent="0.2">
      <c r="B628" s="479"/>
      <c r="C628" s="474"/>
      <c r="P628" s="476" t="s">
        <v>248</v>
      </c>
      <c r="Q628" s="477" t="s">
        <v>857</v>
      </c>
    </row>
    <row r="629" spans="2:17" s="375" customFormat="1" ht="12.75" x14ac:dyDescent="0.2">
      <c r="B629" s="479"/>
      <c r="C629" s="474"/>
      <c r="P629" s="476" t="s">
        <v>248</v>
      </c>
      <c r="Q629" s="477" t="s">
        <v>1063</v>
      </c>
    </row>
    <row r="630" spans="2:17" s="375" customFormat="1" ht="12.75" x14ac:dyDescent="0.2">
      <c r="B630" s="479"/>
      <c r="C630" s="474"/>
      <c r="P630" s="476" t="s">
        <v>248</v>
      </c>
      <c r="Q630" s="477" t="s">
        <v>1064</v>
      </c>
    </row>
    <row r="631" spans="2:17" s="375" customFormat="1" ht="12.75" x14ac:dyDescent="0.2">
      <c r="B631" s="479"/>
      <c r="C631" s="474"/>
      <c r="P631" s="476" t="s">
        <v>248</v>
      </c>
      <c r="Q631" s="477" t="s">
        <v>858</v>
      </c>
    </row>
    <row r="632" spans="2:17" s="375" customFormat="1" ht="12.75" x14ac:dyDescent="0.2">
      <c r="B632" s="479"/>
      <c r="C632" s="474"/>
      <c r="P632" s="476" t="s">
        <v>248</v>
      </c>
      <c r="Q632" s="477" t="s">
        <v>1065</v>
      </c>
    </row>
    <row r="633" spans="2:17" s="375" customFormat="1" ht="12.75" x14ac:dyDescent="0.2">
      <c r="B633" s="479"/>
      <c r="C633" s="474"/>
      <c r="P633" s="476" t="s">
        <v>248</v>
      </c>
      <c r="Q633" s="477" t="s">
        <v>1066</v>
      </c>
    </row>
    <row r="634" spans="2:17" s="375" customFormat="1" ht="12.75" x14ac:dyDescent="0.2">
      <c r="B634" s="479"/>
      <c r="C634" s="474"/>
      <c r="P634" s="476" t="s">
        <v>248</v>
      </c>
      <c r="Q634" s="477" t="s">
        <v>1067</v>
      </c>
    </row>
    <row r="635" spans="2:17" s="375" customFormat="1" ht="12.75" x14ac:dyDescent="0.2">
      <c r="B635" s="479"/>
      <c r="C635" s="474"/>
      <c r="P635" s="476" t="s">
        <v>248</v>
      </c>
      <c r="Q635" s="477" t="s">
        <v>1068</v>
      </c>
    </row>
    <row r="636" spans="2:17" s="375" customFormat="1" ht="12.75" x14ac:dyDescent="0.2">
      <c r="B636" s="479"/>
      <c r="C636" s="474"/>
      <c r="P636" s="476" t="s">
        <v>248</v>
      </c>
      <c r="Q636" s="477" t="s">
        <v>1069</v>
      </c>
    </row>
    <row r="637" spans="2:17" s="375" customFormat="1" ht="12.75" x14ac:dyDescent="0.2">
      <c r="B637" s="479"/>
      <c r="C637" s="474"/>
      <c r="P637" s="476" t="s">
        <v>248</v>
      </c>
      <c r="Q637" s="477" t="s">
        <v>859</v>
      </c>
    </row>
    <row r="638" spans="2:17" s="375" customFormat="1" ht="12.75" x14ac:dyDescent="0.2">
      <c r="B638" s="479"/>
      <c r="C638" s="474"/>
      <c r="P638" s="476" t="s">
        <v>248</v>
      </c>
      <c r="Q638" s="477" t="s">
        <v>1070</v>
      </c>
    </row>
    <row r="639" spans="2:17" s="375" customFormat="1" ht="12.75" x14ac:dyDescent="0.2">
      <c r="B639" s="479"/>
      <c r="C639" s="474"/>
      <c r="P639" s="476" t="s">
        <v>248</v>
      </c>
      <c r="Q639" s="477" t="s">
        <v>1071</v>
      </c>
    </row>
    <row r="640" spans="2:17" s="375" customFormat="1" ht="12.75" x14ac:dyDescent="0.2">
      <c r="B640" s="479"/>
      <c r="C640" s="474"/>
      <c r="P640" s="476" t="s">
        <v>248</v>
      </c>
      <c r="Q640" s="477" t="s">
        <v>860</v>
      </c>
    </row>
    <row r="641" spans="2:17" s="375" customFormat="1" ht="12.75" x14ac:dyDescent="0.2">
      <c r="B641" s="479"/>
      <c r="C641" s="474"/>
      <c r="P641" s="476" t="s">
        <v>248</v>
      </c>
      <c r="Q641" s="477" t="s">
        <v>1072</v>
      </c>
    </row>
    <row r="642" spans="2:17" s="375" customFormat="1" ht="12.75" x14ac:dyDescent="0.2">
      <c r="B642" s="479"/>
      <c r="C642" s="474"/>
      <c r="P642" s="476" t="s">
        <v>248</v>
      </c>
      <c r="Q642" s="477" t="s">
        <v>1547</v>
      </c>
    </row>
    <row r="643" spans="2:17" s="375" customFormat="1" ht="12.75" x14ac:dyDescent="0.2">
      <c r="B643" s="479"/>
      <c r="C643" s="474"/>
      <c r="P643" s="476" t="s">
        <v>248</v>
      </c>
      <c r="Q643" s="477" t="s">
        <v>1088</v>
      </c>
    </row>
    <row r="644" spans="2:17" s="375" customFormat="1" ht="12.75" x14ac:dyDescent="0.2">
      <c r="B644" s="479"/>
      <c r="C644" s="474"/>
      <c r="P644" s="476" t="s">
        <v>248</v>
      </c>
      <c r="Q644" s="477" t="s">
        <v>1089</v>
      </c>
    </row>
    <row r="645" spans="2:17" s="375" customFormat="1" ht="12.75" x14ac:dyDescent="0.2">
      <c r="B645" s="479"/>
      <c r="C645" s="474"/>
      <c r="P645" s="476" t="s">
        <v>248</v>
      </c>
      <c r="Q645" s="477" t="s">
        <v>1090</v>
      </c>
    </row>
    <row r="646" spans="2:17" s="375" customFormat="1" ht="12.75" x14ac:dyDescent="0.2">
      <c r="B646" s="479"/>
      <c r="C646" s="474"/>
      <c r="P646" s="476" t="s">
        <v>248</v>
      </c>
      <c r="Q646" s="477" t="s">
        <v>1091</v>
      </c>
    </row>
    <row r="647" spans="2:17" s="375" customFormat="1" ht="12.75" x14ac:dyDescent="0.2">
      <c r="B647" s="479"/>
      <c r="C647" s="474"/>
      <c r="P647" s="476" t="s">
        <v>248</v>
      </c>
      <c r="Q647" s="477" t="s">
        <v>1092</v>
      </c>
    </row>
    <row r="648" spans="2:17" s="375" customFormat="1" ht="12.75" x14ac:dyDescent="0.2">
      <c r="B648" s="479"/>
      <c r="C648" s="474"/>
      <c r="P648" s="476" t="s">
        <v>248</v>
      </c>
      <c r="Q648" s="477" t="s">
        <v>1093</v>
      </c>
    </row>
    <row r="649" spans="2:17" s="375" customFormat="1" ht="12.75" x14ac:dyDescent="0.2">
      <c r="B649" s="479"/>
      <c r="C649" s="474"/>
      <c r="P649" s="476" t="s">
        <v>248</v>
      </c>
      <c r="Q649" s="477" t="s">
        <v>1094</v>
      </c>
    </row>
    <row r="650" spans="2:17" s="375" customFormat="1" ht="12.75" x14ac:dyDescent="0.2">
      <c r="B650" s="479"/>
      <c r="C650" s="474"/>
      <c r="P650" s="476" t="s">
        <v>248</v>
      </c>
      <c r="Q650" s="477" t="s">
        <v>1095</v>
      </c>
    </row>
    <row r="651" spans="2:17" s="375" customFormat="1" ht="12.75" x14ac:dyDescent="0.2">
      <c r="B651" s="479"/>
      <c r="C651" s="474"/>
      <c r="P651" s="476" t="s">
        <v>248</v>
      </c>
      <c r="Q651" s="477" t="s">
        <v>1096</v>
      </c>
    </row>
    <row r="652" spans="2:17" s="375" customFormat="1" ht="12.75" x14ac:dyDescent="0.2">
      <c r="B652" s="479"/>
      <c r="C652" s="474"/>
      <c r="P652" s="476" t="s">
        <v>248</v>
      </c>
      <c r="Q652" s="477" t="s">
        <v>1097</v>
      </c>
    </row>
    <row r="653" spans="2:17" s="375" customFormat="1" ht="12.75" x14ac:dyDescent="0.2">
      <c r="B653" s="479"/>
      <c r="C653" s="474"/>
      <c r="P653" s="476" t="s">
        <v>248</v>
      </c>
      <c r="Q653" s="477" t="s">
        <v>1098</v>
      </c>
    </row>
    <row r="654" spans="2:17" s="375" customFormat="1" ht="12.75" x14ac:dyDescent="0.2">
      <c r="B654" s="479"/>
      <c r="C654" s="474"/>
      <c r="P654" s="476" t="s">
        <v>248</v>
      </c>
      <c r="Q654" s="477" t="s">
        <v>1099</v>
      </c>
    </row>
    <row r="655" spans="2:17" s="375" customFormat="1" ht="12.75" x14ac:dyDescent="0.2">
      <c r="B655" s="479"/>
      <c r="C655" s="474"/>
      <c r="P655" s="476" t="s">
        <v>248</v>
      </c>
      <c r="Q655" s="477" t="s">
        <v>1100</v>
      </c>
    </row>
    <row r="656" spans="2:17" s="375" customFormat="1" ht="12.75" x14ac:dyDescent="0.2">
      <c r="B656" s="479"/>
      <c r="C656" s="474"/>
      <c r="P656" s="476" t="s">
        <v>248</v>
      </c>
      <c r="Q656" s="477" t="s">
        <v>1101</v>
      </c>
    </row>
    <row r="657" spans="2:17" s="375" customFormat="1" ht="12.75" x14ac:dyDescent="0.2">
      <c r="B657" s="479"/>
      <c r="C657" s="474"/>
      <c r="P657" s="476" t="s">
        <v>248</v>
      </c>
      <c r="Q657" s="477" t="s">
        <v>1102</v>
      </c>
    </row>
    <row r="658" spans="2:17" s="375" customFormat="1" ht="12.75" x14ac:dyDescent="0.2">
      <c r="B658" s="479"/>
      <c r="C658" s="474"/>
      <c r="P658" s="476" t="s">
        <v>248</v>
      </c>
      <c r="Q658" s="477" t="s">
        <v>1103</v>
      </c>
    </row>
    <row r="659" spans="2:17" s="375" customFormat="1" ht="12.75" x14ac:dyDescent="0.2">
      <c r="B659" s="479"/>
      <c r="C659" s="474"/>
      <c r="P659" s="476" t="s">
        <v>248</v>
      </c>
      <c r="Q659" s="477" t="s">
        <v>1104</v>
      </c>
    </row>
    <row r="660" spans="2:17" s="375" customFormat="1" ht="12.75" x14ac:dyDescent="0.2">
      <c r="B660" s="479"/>
      <c r="C660" s="474"/>
      <c r="P660" s="476" t="s">
        <v>248</v>
      </c>
      <c r="Q660" s="477" t="s">
        <v>1105</v>
      </c>
    </row>
    <row r="661" spans="2:17" s="375" customFormat="1" ht="12.75" x14ac:dyDescent="0.2">
      <c r="B661" s="479"/>
      <c r="C661" s="474"/>
      <c r="P661" s="476" t="s">
        <v>248</v>
      </c>
      <c r="Q661" s="477" t="s">
        <v>1106</v>
      </c>
    </row>
    <row r="662" spans="2:17" s="375" customFormat="1" ht="12.75" x14ac:dyDescent="0.2">
      <c r="B662" s="479"/>
      <c r="C662" s="474"/>
      <c r="P662" s="476" t="s">
        <v>248</v>
      </c>
      <c r="Q662" s="477" t="s">
        <v>1107</v>
      </c>
    </row>
    <row r="663" spans="2:17" s="375" customFormat="1" ht="12.75" x14ac:dyDescent="0.2">
      <c r="B663" s="479"/>
      <c r="C663" s="474"/>
      <c r="P663" s="476" t="s">
        <v>248</v>
      </c>
      <c r="Q663" s="477" t="s">
        <v>1108</v>
      </c>
    </row>
    <row r="664" spans="2:17" s="375" customFormat="1" ht="12.75" x14ac:dyDescent="0.2">
      <c r="B664" s="479"/>
      <c r="C664" s="474"/>
      <c r="P664" s="476" t="s">
        <v>248</v>
      </c>
      <c r="Q664" s="477" t="s">
        <v>1109</v>
      </c>
    </row>
    <row r="665" spans="2:17" s="375" customFormat="1" ht="12.75" x14ac:dyDescent="0.2">
      <c r="B665" s="479"/>
      <c r="C665" s="474"/>
      <c r="P665" s="476" t="s">
        <v>248</v>
      </c>
      <c r="Q665" s="477" t="s">
        <v>1110</v>
      </c>
    </row>
    <row r="666" spans="2:17" s="375" customFormat="1" ht="12.75" x14ac:dyDescent="0.2">
      <c r="B666" s="479"/>
      <c r="C666" s="474"/>
      <c r="P666" s="476" t="s">
        <v>248</v>
      </c>
      <c r="Q666" s="477" t="s">
        <v>1111</v>
      </c>
    </row>
    <row r="667" spans="2:17" s="375" customFormat="1" ht="12.75" x14ac:dyDescent="0.2">
      <c r="B667" s="479"/>
      <c r="C667" s="474"/>
      <c r="P667" s="476" t="s">
        <v>248</v>
      </c>
      <c r="Q667" s="477" t="s">
        <v>1112</v>
      </c>
    </row>
    <row r="668" spans="2:17" s="375" customFormat="1" ht="12.75" x14ac:dyDescent="0.2">
      <c r="B668" s="479"/>
      <c r="C668" s="474"/>
      <c r="P668" s="476" t="s">
        <v>248</v>
      </c>
      <c r="Q668" s="477" t="s">
        <v>1113</v>
      </c>
    </row>
    <row r="669" spans="2:17" s="375" customFormat="1" ht="12.75" x14ac:dyDescent="0.2">
      <c r="B669" s="479"/>
      <c r="C669" s="474"/>
      <c r="P669" s="476" t="s">
        <v>248</v>
      </c>
      <c r="Q669" s="477" t="s">
        <v>1114</v>
      </c>
    </row>
    <row r="670" spans="2:17" s="375" customFormat="1" ht="12.75" x14ac:dyDescent="0.2">
      <c r="B670" s="479"/>
      <c r="C670" s="474"/>
      <c r="P670" s="476" t="s">
        <v>444</v>
      </c>
      <c r="Q670" s="477" t="s">
        <v>621</v>
      </c>
    </row>
    <row r="671" spans="2:17" s="375" customFormat="1" ht="12.75" x14ac:dyDescent="0.2">
      <c r="B671" s="479"/>
      <c r="C671" s="474"/>
      <c r="P671" s="476" t="e">
        <v>#N/A</v>
      </c>
      <c r="Q671" s="477" t="s">
        <v>148</v>
      </c>
    </row>
    <row r="672" spans="2:17" s="375" customFormat="1" ht="12.75" x14ac:dyDescent="0.2">
      <c r="B672" s="479"/>
      <c r="C672" s="474"/>
      <c r="P672" s="476" t="s">
        <v>367</v>
      </c>
      <c r="Q672" s="477" t="s">
        <v>612</v>
      </c>
    </row>
    <row r="673" spans="2:17" s="375" customFormat="1" ht="12.75" x14ac:dyDescent="0.2">
      <c r="B673" s="479"/>
      <c r="C673" s="474"/>
      <c r="P673" s="476" t="s">
        <v>367</v>
      </c>
      <c r="Q673" s="477" t="s">
        <v>1412</v>
      </c>
    </row>
    <row r="674" spans="2:17" s="375" customFormat="1" ht="12.75" x14ac:dyDescent="0.2">
      <c r="B674" s="479"/>
      <c r="C674" s="474"/>
      <c r="P674" s="476" t="s">
        <v>368</v>
      </c>
      <c r="Q674" s="477" t="s">
        <v>645</v>
      </c>
    </row>
    <row r="675" spans="2:17" s="375" customFormat="1" ht="12.75" x14ac:dyDescent="0.2">
      <c r="B675" s="479"/>
      <c r="C675" s="474"/>
      <c r="P675" s="476" t="s">
        <v>368</v>
      </c>
      <c r="Q675" s="477" t="s">
        <v>654</v>
      </c>
    </row>
    <row r="676" spans="2:17" s="375" customFormat="1" ht="12.75" x14ac:dyDescent="0.2">
      <c r="B676" s="479"/>
      <c r="C676" s="474"/>
      <c r="P676" s="476" t="s">
        <v>368</v>
      </c>
      <c r="Q676" s="477" t="s">
        <v>738</v>
      </c>
    </row>
    <row r="677" spans="2:17" s="375" customFormat="1" ht="12.75" x14ac:dyDescent="0.2">
      <c r="B677" s="479"/>
      <c r="C677" s="474"/>
      <c r="P677" s="476" t="s">
        <v>250</v>
      </c>
      <c r="Q677" s="477" t="s">
        <v>614</v>
      </c>
    </row>
    <row r="678" spans="2:17" s="375" customFormat="1" ht="12.75" x14ac:dyDescent="0.2">
      <c r="B678" s="479"/>
      <c r="C678" s="474"/>
      <c r="P678" s="476" t="s">
        <v>250</v>
      </c>
      <c r="Q678" s="477" t="s">
        <v>250</v>
      </c>
    </row>
    <row r="679" spans="2:17" s="375" customFormat="1" ht="12.75" x14ac:dyDescent="0.2">
      <c r="B679" s="479"/>
      <c r="C679" s="474"/>
      <c r="P679" s="476" t="s">
        <v>445</v>
      </c>
      <c r="Q679" s="477" t="s">
        <v>1074</v>
      </c>
    </row>
    <row r="680" spans="2:17" s="375" customFormat="1" ht="12.75" x14ac:dyDescent="0.2">
      <c r="B680" s="479"/>
      <c r="C680" s="474"/>
      <c r="P680" s="476" t="s">
        <v>1134</v>
      </c>
      <c r="Q680" s="477" t="s">
        <v>616</v>
      </c>
    </row>
    <row r="681" spans="2:17" s="375" customFormat="1" ht="12.75" x14ac:dyDescent="0.2">
      <c r="B681" s="479"/>
      <c r="C681" s="474"/>
      <c r="P681" s="476" t="s">
        <v>446</v>
      </c>
      <c r="Q681" s="477" t="s">
        <v>1075</v>
      </c>
    </row>
    <row r="682" spans="2:17" s="375" customFormat="1" ht="12.75" x14ac:dyDescent="0.2">
      <c r="B682" s="479"/>
      <c r="C682" s="474"/>
      <c r="P682" s="476" t="s">
        <v>447</v>
      </c>
      <c r="Q682" s="477" t="s">
        <v>1076</v>
      </c>
    </row>
    <row r="683" spans="2:17" s="375" customFormat="1" ht="12.75" x14ac:dyDescent="0.2">
      <c r="B683" s="479"/>
      <c r="C683" s="474"/>
      <c r="P683" s="476" t="s">
        <v>448</v>
      </c>
      <c r="Q683" s="477" t="s">
        <v>1077</v>
      </c>
    </row>
    <row r="684" spans="2:17" s="375" customFormat="1" ht="12.75" x14ac:dyDescent="0.2">
      <c r="B684" s="479"/>
      <c r="C684" s="474"/>
      <c r="P684" s="476" t="s">
        <v>791</v>
      </c>
      <c r="Q684" s="477" t="s">
        <v>1053</v>
      </c>
    </row>
    <row r="685" spans="2:17" s="375" customFormat="1" ht="12.75" x14ac:dyDescent="0.2">
      <c r="B685" s="479"/>
      <c r="C685" s="474"/>
      <c r="P685" s="476" t="s">
        <v>449</v>
      </c>
      <c r="Q685" s="477" t="s">
        <v>1051</v>
      </c>
    </row>
    <row r="686" spans="2:17" s="375" customFormat="1" ht="12.75" x14ac:dyDescent="0.2">
      <c r="B686" s="479"/>
      <c r="C686" s="474"/>
      <c r="P686" s="476" t="s">
        <v>369</v>
      </c>
      <c r="Q686" s="477" t="s">
        <v>616</v>
      </c>
    </row>
    <row r="687" spans="2:17" s="375" customFormat="1" ht="12.75" x14ac:dyDescent="0.2">
      <c r="B687" s="479"/>
      <c r="C687" s="474"/>
      <c r="P687" s="476" t="s">
        <v>369</v>
      </c>
      <c r="Q687" s="477" t="s">
        <v>913</v>
      </c>
    </row>
    <row r="688" spans="2:17" s="375" customFormat="1" ht="12.75" x14ac:dyDescent="0.2">
      <c r="B688" s="479"/>
      <c r="C688" s="474"/>
      <c r="P688" s="476" t="s">
        <v>369</v>
      </c>
      <c r="Q688" s="477" t="s">
        <v>914</v>
      </c>
    </row>
    <row r="689" spans="2:17" s="375" customFormat="1" ht="12.75" x14ac:dyDescent="0.2">
      <c r="B689" s="479"/>
      <c r="C689" s="474"/>
      <c r="P689" s="476" t="s">
        <v>821</v>
      </c>
      <c r="Q689" s="477" t="s">
        <v>1051</v>
      </c>
    </row>
    <row r="690" spans="2:17" s="375" customFormat="1" ht="12.75" x14ac:dyDescent="0.2">
      <c r="B690" s="479"/>
      <c r="C690" s="474"/>
      <c r="P690" s="476" t="s">
        <v>915</v>
      </c>
      <c r="Q690" s="477" t="s">
        <v>916</v>
      </c>
    </row>
    <row r="691" spans="2:17" s="375" customFormat="1" ht="12.75" x14ac:dyDescent="0.2">
      <c r="B691" s="479"/>
      <c r="C691" s="474"/>
      <c r="P691" s="476" t="e">
        <v>#N/A</v>
      </c>
      <c r="Q691" s="477" t="s">
        <v>917</v>
      </c>
    </row>
    <row r="692" spans="2:17" s="375" customFormat="1" ht="12.75" x14ac:dyDescent="0.2">
      <c r="B692" s="479"/>
      <c r="C692" s="474"/>
      <c r="P692" s="476" t="s">
        <v>370</v>
      </c>
      <c r="Q692" s="477" t="s">
        <v>1413</v>
      </c>
    </row>
    <row r="693" spans="2:17" s="375" customFormat="1" ht="12.75" x14ac:dyDescent="0.2">
      <c r="B693" s="479"/>
      <c r="C693" s="474"/>
      <c r="P693" s="476" t="s">
        <v>370</v>
      </c>
      <c r="Q693" s="477" t="s">
        <v>1414</v>
      </c>
    </row>
    <row r="694" spans="2:17" s="375" customFormat="1" ht="12.75" x14ac:dyDescent="0.2">
      <c r="B694" s="479"/>
      <c r="C694" s="474"/>
      <c r="P694" s="476" t="s">
        <v>370</v>
      </c>
      <c r="Q694" s="477" t="s">
        <v>1415</v>
      </c>
    </row>
    <row r="695" spans="2:17" s="375" customFormat="1" ht="12.75" x14ac:dyDescent="0.2">
      <c r="B695" s="479"/>
      <c r="C695" s="474"/>
      <c r="P695" s="476" t="s">
        <v>370</v>
      </c>
      <c r="Q695" s="477" t="s">
        <v>1416</v>
      </c>
    </row>
    <row r="696" spans="2:17" s="375" customFormat="1" ht="12.75" x14ac:dyDescent="0.2">
      <c r="B696" s="479"/>
      <c r="C696" s="474"/>
      <c r="P696" s="476" t="s">
        <v>370</v>
      </c>
      <c r="Q696" s="477" t="s">
        <v>1417</v>
      </c>
    </row>
    <row r="697" spans="2:17" s="375" customFormat="1" ht="12.75" x14ac:dyDescent="0.2">
      <c r="B697" s="479"/>
      <c r="C697" s="474"/>
      <c r="P697" s="476" t="s">
        <v>370</v>
      </c>
      <c r="Q697" s="477" t="s">
        <v>1418</v>
      </c>
    </row>
    <row r="698" spans="2:17" s="375" customFormat="1" ht="12.75" x14ac:dyDescent="0.2">
      <c r="B698" s="479"/>
      <c r="C698" s="474"/>
      <c r="P698" s="476" t="s">
        <v>370</v>
      </c>
      <c r="Q698" s="477" t="s">
        <v>1479</v>
      </c>
    </row>
    <row r="699" spans="2:17" s="375" customFormat="1" ht="12.75" x14ac:dyDescent="0.2">
      <c r="B699" s="479"/>
      <c r="C699" s="474"/>
      <c r="P699" s="476" t="s">
        <v>370</v>
      </c>
      <c r="Q699" s="477" t="s">
        <v>1480</v>
      </c>
    </row>
    <row r="700" spans="2:17" s="375" customFormat="1" ht="12.75" x14ac:dyDescent="0.2">
      <c r="B700" s="479"/>
      <c r="C700" s="474"/>
      <c r="P700" s="476" t="s">
        <v>370</v>
      </c>
      <c r="Q700" s="477" t="s">
        <v>917</v>
      </c>
    </row>
    <row r="701" spans="2:17" s="375" customFormat="1" ht="12.75" x14ac:dyDescent="0.2">
      <c r="B701" s="479"/>
      <c r="C701" s="474"/>
      <c r="P701" s="476" t="s">
        <v>371</v>
      </c>
      <c r="Q701" s="477" t="s">
        <v>609</v>
      </c>
    </row>
    <row r="702" spans="2:17" s="375" customFormat="1" ht="12.75" x14ac:dyDescent="0.2">
      <c r="B702" s="479"/>
      <c r="C702" s="474"/>
      <c r="P702" s="476" t="s">
        <v>450</v>
      </c>
      <c r="Q702" s="477" t="s">
        <v>1076</v>
      </c>
    </row>
    <row r="703" spans="2:17" s="375" customFormat="1" ht="12.75" x14ac:dyDescent="0.2">
      <c r="B703" s="479"/>
      <c r="C703" s="474"/>
      <c r="P703" s="476" t="s">
        <v>451</v>
      </c>
      <c r="Q703" s="477" t="s">
        <v>1079</v>
      </c>
    </row>
    <row r="704" spans="2:17" s="375" customFormat="1" ht="12.75" x14ac:dyDescent="0.2">
      <c r="B704" s="479"/>
      <c r="C704" s="474"/>
      <c r="P704" s="476" t="s">
        <v>372</v>
      </c>
      <c r="Q704" s="477" t="s">
        <v>1141</v>
      </c>
    </row>
    <row r="705" spans="2:17" s="375" customFormat="1" ht="12.75" x14ac:dyDescent="0.2">
      <c r="B705" s="479"/>
      <c r="C705" s="474"/>
      <c r="P705" s="476" t="s">
        <v>372</v>
      </c>
      <c r="Q705" s="477" t="s">
        <v>918</v>
      </c>
    </row>
    <row r="706" spans="2:17" s="375" customFormat="1" ht="12.75" x14ac:dyDescent="0.2">
      <c r="B706" s="479"/>
      <c r="C706" s="474"/>
      <c r="P706" s="476" t="s">
        <v>372</v>
      </c>
      <c r="Q706" s="477" t="s">
        <v>919</v>
      </c>
    </row>
    <row r="707" spans="2:17" s="375" customFormat="1" ht="12.75" x14ac:dyDescent="0.2">
      <c r="B707" s="479"/>
      <c r="C707" s="474"/>
      <c r="P707" s="476" t="s">
        <v>372</v>
      </c>
      <c r="Q707" s="477" t="s">
        <v>920</v>
      </c>
    </row>
    <row r="708" spans="2:17" s="375" customFormat="1" ht="12.75" x14ac:dyDescent="0.2">
      <c r="B708" s="479"/>
      <c r="C708" s="474"/>
      <c r="P708" s="476" t="s">
        <v>372</v>
      </c>
      <c r="Q708" s="477" t="s">
        <v>921</v>
      </c>
    </row>
    <row r="709" spans="2:17" s="375" customFormat="1" ht="12.75" x14ac:dyDescent="0.2">
      <c r="B709" s="479"/>
      <c r="C709" s="474"/>
      <c r="P709" s="476" t="s">
        <v>372</v>
      </c>
      <c r="Q709" s="477" t="s">
        <v>922</v>
      </c>
    </row>
    <row r="710" spans="2:17" s="375" customFormat="1" ht="12.75" x14ac:dyDescent="0.2">
      <c r="B710" s="479"/>
      <c r="C710" s="474"/>
      <c r="P710" s="476" t="s">
        <v>372</v>
      </c>
      <c r="Q710" s="477" t="s">
        <v>923</v>
      </c>
    </row>
    <row r="711" spans="2:17" s="375" customFormat="1" ht="12.75" x14ac:dyDescent="0.2">
      <c r="B711" s="479"/>
      <c r="C711" s="474"/>
      <c r="P711" s="476" t="s">
        <v>372</v>
      </c>
      <c r="Q711" s="477" t="s">
        <v>924</v>
      </c>
    </row>
    <row r="712" spans="2:17" s="375" customFormat="1" ht="12.75" x14ac:dyDescent="0.2">
      <c r="B712" s="479"/>
      <c r="C712" s="474"/>
      <c r="P712" s="476" t="s">
        <v>372</v>
      </c>
      <c r="Q712" s="477" t="s">
        <v>925</v>
      </c>
    </row>
    <row r="713" spans="2:17" s="375" customFormat="1" ht="12.75" x14ac:dyDescent="0.2">
      <c r="B713" s="479"/>
      <c r="C713" s="474"/>
      <c r="P713" s="476" t="s">
        <v>372</v>
      </c>
      <c r="Q713" s="477" t="s">
        <v>926</v>
      </c>
    </row>
    <row r="714" spans="2:17" s="375" customFormat="1" ht="12.75" x14ac:dyDescent="0.2">
      <c r="B714" s="479"/>
      <c r="C714" s="474"/>
      <c r="P714" s="476" t="s">
        <v>372</v>
      </c>
      <c r="Q714" s="477" t="s">
        <v>927</v>
      </c>
    </row>
    <row r="715" spans="2:17" s="375" customFormat="1" ht="12.75" x14ac:dyDescent="0.2">
      <c r="B715" s="479"/>
      <c r="C715" s="474"/>
      <c r="P715" s="476" t="s">
        <v>372</v>
      </c>
      <c r="Q715" s="477" t="s">
        <v>617</v>
      </c>
    </row>
    <row r="716" spans="2:17" s="375" customFormat="1" ht="12.75" x14ac:dyDescent="0.2">
      <c r="B716" s="479"/>
      <c r="C716" s="474"/>
      <c r="P716" s="476" t="s">
        <v>372</v>
      </c>
      <c r="Q716" s="477" t="s">
        <v>649</v>
      </c>
    </row>
    <row r="717" spans="2:17" s="375" customFormat="1" ht="12.75" x14ac:dyDescent="0.2">
      <c r="B717" s="479"/>
      <c r="C717" s="474"/>
      <c r="P717" s="476" t="s">
        <v>372</v>
      </c>
      <c r="Q717" s="477" t="s">
        <v>1142</v>
      </c>
    </row>
    <row r="718" spans="2:17" s="375" customFormat="1" ht="12.75" x14ac:dyDescent="0.2">
      <c r="B718" s="479"/>
      <c r="C718" s="474"/>
      <c r="P718" s="476" t="s">
        <v>452</v>
      </c>
      <c r="Q718" s="477" t="s">
        <v>1080</v>
      </c>
    </row>
    <row r="719" spans="2:17" s="375" customFormat="1" ht="12.75" x14ac:dyDescent="0.2">
      <c r="B719" s="479"/>
      <c r="C719" s="474"/>
      <c r="P719" s="476" t="s">
        <v>564</v>
      </c>
      <c r="Q719" s="477" t="s">
        <v>1299</v>
      </c>
    </row>
    <row r="720" spans="2:17" s="375" customFormat="1" ht="12.75" x14ac:dyDescent="0.2">
      <c r="B720" s="479"/>
      <c r="C720" s="474"/>
      <c r="P720" s="476" t="s">
        <v>564</v>
      </c>
      <c r="Q720" s="477" t="s">
        <v>1300</v>
      </c>
    </row>
    <row r="721" spans="2:17" s="375" customFormat="1" ht="12.75" x14ac:dyDescent="0.2">
      <c r="B721" s="479"/>
      <c r="C721" s="474"/>
      <c r="P721" s="476" t="s">
        <v>564</v>
      </c>
      <c r="Q721" s="477" t="s">
        <v>1301</v>
      </c>
    </row>
    <row r="722" spans="2:17" s="375" customFormat="1" ht="12.75" x14ac:dyDescent="0.2">
      <c r="B722" s="479"/>
      <c r="C722" s="474"/>
      <c r="P722" s="476" t="s">
        <v>564</v>
      </c>
      <c r="Q722" s="477" t="s">
        <v>1302</v>
      </c>
    </row>
    <row r="723" spans="2:17" s="375" customFormat="1" ht="12.75" x14ac:dyDescent="0.2">
      <c r="B723" s="479"/>
      <c r="C723" s="474"/>
      <c r="P723" s="476" t="s">
        <v>564</v>
      </c>
      <c r="Q723" s="477" t="s">
        <v>1303</v>
      </c>
    </row>
    <row r="724" spans="2:17" s="375" customFormat="1" ht="12.75" x14ac:dyDescent="0.2">
      <c r="B724" s="479"/>
      <c r="C724" s="474"/>
      <c r="P724" s="476" t="s">
        <v>564</v>
      </c>
      <c r="Q724" s="477" t="s">
        <v>1304</v>
      </c>
    </row>
    <row r="725" spans="2:17" s="375" customFormat="1" ht="12.75" x14ac:dyDescent="0.2">
      <c r="B725" s="479"/>
      <c r="C725" s="474"/>
      <c r="P725" s="476" t="s">
        <v>564</v>
      </c>
      <c r="Q725" s="477" t="s">
        <v>1305</v>
      </c>
    </row>
    <row r="726" spans="2:17" s="375" customFormat="1" ht="12.75" x14ac:dyDescent="0.2">
      <c r="B726" s="479"/>
      <c r="C726" s="474"/>
      <c r="P726" s="476" t="s">
        <v>564</v>
      </c>
      <c r="Q726" s="477" t="s">
        <v>1306</v>
      </c>
    </row>
    <row r="727" spans="2:17" s="375" customFormat="1" ht="12.75" x14ac:dyDescent="0.2">
      <c r="B727" s="479"/>
      <c r="C727" s="474"/>
      <c r="P727" s="476" t="s">
        <v>564</v>
      </c>
      <c r="Q727" s="477" t="s">
        <v>1307</v>
      </c>
    </row>
    <row r="728" spans="2:17" s="375" customFormat="1" ht="12.75" x14ac:dyDescent="0.2">
      <c r="B728" s="479"/>
      <c r="C728" s="474"/>
      <c r="P728" s="476" t="s">
        <v>564</v>
      </c>
      <c r="Q728" s="477" t="s">
        <v>1308</v>
      </c>
    </row>
    <row r="729" spans="2:17" s="375" customFormat="1" ht="12.75" x14ac:dyDescent="0.2">
      <c r="B729" s="479"/>
      <c r="C729" s="474"/>
      <c r="P729" s="476" t="s">
        <v>564</v>
      </c>
      <c r="Q729" s="477" t="s">
        <v>1309</v>
      </c>
    </row>
    <row r="730" spans="2:17" s="375" customFormat="1" ht="12.75" x14ac:dyDescent="0.2">
      <c r="B730" s="479"/>
      <c r="C730" s="474"/>
      <c r="P730" s="476" t="s">
        <v>564</v>
      </c>
      <c r="Q730" s="477" t="s">
        <v>1310</v>
      </c>
    </row>
    <row r="731" spans="2:17" s="375" customFormat="1" ht="12.75" x14ac:dyDescent="0.2">
      <c r="B731" s="479"/>
      <c r="C731" s="474"/>
      <c r="P731" s="476" t="s">
        <v>564</v>
      </c>
      <c r="Q731" s="477" t="s">
        <v>1311</v>
      </c>
    </row>
    <row r="732" spans="2:17" s="375" customFormat="1" ht="12.75" x14ac:dyDescent="0.2">
      <c r="B732" s="479"/>
      <c r="C732" s="474"/>
      <c r="P732" s="476" t="s">
        <v>564</v>
      </c>
      <c r="Q732" s="477" t="s">
        <v>1312</v>
      </c>
    </row>
    <row r="733" spans="2:17" s="375" customFormat="1" ht="12.75" x14ac:dyDescent="0.2">
      <c r="B733" s="479"/>
      <c r="C733" s="474"/>
      <c r="P733" s="476" t="s">
        <v>564</v>
      </c>
      <c r="Q733" s="477" t="s">
        <v>1313</v>
      </c>
    </row>
    <row r="734" spans="2:17" s="375" customFormat="1" ht="12.75" x14ac:dyDescent="0.2">
      <c r="B734" s="479"/>
      <c r="C734" s="474"/>
      <c r="P734" s="476" t="s">
        <v>564</v>
      </c>
      <c r="Q734" s="477" t="s">
        <v>1314</v>
      </c>
    </row>
    <row r="735" spans="2:17" s="375" customFormat="1" ht="12.75" x14ac:dyDescent="0.2">
      <c r="B735" s="479"/>
      <c r="C735" s="474"/>
      <c r="P735" s="476" t="s">
        <v>564</v>
      </c>
      <c r="Q735" s="477" t="s">
        <v>1315</v>
      </c>
    </row>
    <row r="736" spans="2:17" s="375" customFormat="1" ht="12.75" x14ac:dyDescent="0.2">
      <c r="B736" s="479"/>
      <c r="C736" s="474"/>
      <c r="P736" s="476" t="s">
        <v>564</v>
      </c>
      <c r="Q736" s="477" t="s">
        <v>1316</v>
      </c>
    </row>
    <row r="737" spans="2:17" s="375" customFormat="1" ht="12.75" x14ac:dyDescent="0.2">
      <c r="B737" s="479"/>
      <c r="C737" s="474"/>
      <c r="P737" s="476" t="s">
        <v>564</v>
      </c>
      <c r="Q737" s="477" t="s">
        <v>1317</v>
      </c>
    </row>
    <row r="738" spans="2:17" s="375" customFormat="1" ht="12.75" x14ac:dyDescent="0.2">
      <c r="B738" s="479"/>
      <c r="C738" s="474"/>
      <c r="P738" s="476" t="s">
        <v>564</v>
      </c>
      <c r="Q738" s="477" t="s">
        <v>1318</v>
      </c>
    </row>
    <row r="739" spans="2:17" s="375" customFormat="1" ht="12.75" x14ac:dyDescent="0.2">
      <c r="B739" s="479"/>
      <c r="C739" s="474"/>
      <c r="P739" s="476" t="s">
        <v>564</v>
      </c>
      <c r="Q739" s="477" t="s">
        <v>1319</v>
      </c>
    </row>
    <row r="740" spans="2:17" s="375" customFormat="1" ht="12.75" x14ac:dyDescent="0.2">
      <c r="B740" s="479"/>
      <c r="C740" s="474"/>
      <c r="P740" s="476" t="s">
        <v>564</v>
      </c>
      <c r="Q740" s="477" t="s">
        <v>1320</v>
      </c>
    </row>
    <row r="741" spans="2:17" s="375" customFormat="1" ht="12.75" x14ac:dyDescent="0.2">
      <c r="B741" s="479"/>
      <c r="C741" s="474"/>
      <c r="P741" s="476" t="s">
        <v>564</v>
      </c>
      <c r="Q741" s="477" t="s">
        <v>928</v>
      </c>
    </row>
    <row r="742" spans="2:17" s="375" customFormat="1" ht="12.75" x14ac:dyDescent="0.2">
      <c r="B742" s="479"/>
      <c r="C742" s="474"/>
      <c r="P742" s="476" t="s">
        <v>564</v>
      </c>
      <c r="Q742" s="477" t="s">
        <v>929</v>
      </c>
    </row>
    <row r="743" spans="2:17" s="375" customFormat="1" ht="12.75" x14ac:dyDescent="0.2">
      <c r="B743" s="479"/>
      <c r="C743" s="474"/>
      <c r="P743" s="476" t="s">
        <v>453</v>
      </c>
      <c r="Q743" s="477" t="s">
        <v>1081</v>
      </c>
    </row>
    <row r="744" spans="2:17" s="375" customFormat="1" ht="12.75" x14ac:dyDescent="0.2">
      <c r="B744" s="479"/>
      <c r="C744" s="474"/>
      <c r="P744" s="476" t="s">
        <v>454</v>
      </c>
      <c r="Q744" s="477" t="s">
        <v>1085</v>
      </c>
    </row>
    <row r="745" spans="2:17" s="375" customFormat="1" ht="12.75" x14ac:dyDescent="0.2">
      <c r="B745" s="479"/>
      <c r="C745" s="474"/>
      <c r="P745" s="476" t="s">
        <v>792</v>
      </c>
      <c r="Q745" s="477" t="s">
        <v>629</v>
      </c>
    </row>
    <row r="746" spans="2:17" s="375" customFormat="1" ht="12.75" x14ac:dyDescent="0.2">
      <c r="B746" s="479"/>
      <c r="C746" s="474"/>
      <c r="P746" s="476" t="s">
        <v>792</v>
      </c>
      <c r="Q746" s="477" t="s">
        <v>641</v>
      </c>
    </row>
    <row r="747" spans="2:17" s="375" customFormat="1" ht="12.75" x14ac:dyDescent="0.2">
      <c r="B747" s="479"/>
      <c r="C747" s="474"/>
      <c r="P747" s="476" t="s">
        <v>251</v>
      </c>
      <c r="Q747" s="477" t="s">
        <v>624</v>
      </c>
    </row>
    <row r="748" spans="2:17" s="375" customFormat="1" ht="12.75" x14ac:dyDescent="0.2">
      <c r="B748" s="479"/>
      <c r="C748" s="474"/>
      <c r="P748" s="476" t="s">
        <v>251</v>
      </c>
      <c r="Q748" s="477" t="s">
        <v>626</v>
      </c>
    </row>
    <row r="749" spans="2:17" s="375" customFormat="1" ht="12.75" x14ac:dyDescent="0.2">
      <c r="B749" s="479"/>
      <c r="C749" s="474"/>
      <c r="P749" s="476" t="s">
        <v>251</v>
      </c>
      <c r="Q749" s="477" t="s">
        <v>631</v>
      </c>
    </row>
    <row r="750" spans="2:17" s="375" customFormat="1" ht="12.75" x14ac:dyDescent="0.2">
      <c r="B750" s="479"/>
      <c r="C750" s="474"/>
      <c r="P750" s="476" t="s">
        <v>456</v>
      </c>
      <c r="Q750" s="477" t="s">
        <v>1076</v>
      </c>
    </row>
    <row r="751" spans="2:17" s="375" customFormat="1" ht="12.75" x14ac:dyDescent="0.2">
      <c r="B751" s="479"/>
      <c r="C751" s="474"/>
      <c r="P751" s="476" t="s">
        <v>793</v>
      </c>
      <c r="Q751" s="477" t="s">
        <v>1076</v>
      </c>
    </row>
    <row r="752" spans="2:17" s="375" customFormat="1" ht="12.75" x14ac:dyDescent="0.2">
      <c r="B752" s="479"/>
      <c r="C752" s="474"/>
      <c r="P752" s="476" t="s">
        <v>457</v>
      </c>
      <c r="Q752" s="477" t="s">
        <v>1076</v>
      </c>
    </row>
    <row r="753" spans="2:17" s="375" customFormat="1" ht="12.75" x14ac:dyDescent="0.2">
      <c r="B753" s="479"/>
      <c r="C753" s="474"/>
      <c r="P753" s="476" t="s">
        <v>455</v>
      </c>
      <c r="Q753" s="477" t="s">
        <v>1076</v>
      </c>
    </row>
    <row r="754" spans="2:17" s="375" customFormat="1" ht="12.75" x14ac:dyDescent="0.2">
      <c r="B754" s="479"/>
      <c r="C754" s="474"/>
      <c r="P754" s="476" t="s">
        <v>373</v>
      </c>
      <c r="Q754" s="477" t="s">
        <v>646</v>
      </c>
    </row>
    <row r="755" spans="2:17" s="375" customFormat="1" ht="12.75" x14ac:dyDescent="0.2">
      <c r="B755" s="479"/>
      <c r="C755" s="474"/>
      <c r="P755" s="476" t="s">
        <v>374</v>
      </c>
      <c r="Q755" s="477" t="s">
        <v>930</v>
      </c>
    </row>
    <row r="756" spans="2:17" s="375" customFormat="1" ht="12.75" x14ac:dyDescent="0.2">
      <c r="B756" s="479"/>
      <c r="C756" s="474"/>
      <c r="P756" s="476" t="s">
        <v>374</v>
      </c>
      <c r="Q756" s="477" t="s">
        <v>931</v>
      </c>
    </row>
    <row r="757" spans="2:17" s="375" customFormat="1" ht="12.75" x14ac:dyDescent="0.2">
      <c r="B757" s="479"/>
      <c r="C757" s="474"/>
      <c r="P757" s="476" t="s">
        <v>374</v>
      </c>
      <c r="Q757" s="477" t="s">
        <v>648</v>
      </c>
    </row>
    <row r="758" spans="2:17" s="375" customFormat="1" ht="12.75" x14ac:dyDescent="0.2">
      <c r="B758" s="479"/>
      <c r="C758" s="474"/>
      <c r="P758" s="476" t="s">
        <v>252</v>
      </c>
      <c r="Q758" s="477" t="s">
        <v>642</v>
      </c>
    </row>
    <row r="759" spans="2:17" s="375" customFormat="1" ht="12.75" x14ac:dyDescent="0.2">
      <c r="B759" s="479"/>
      <c r="C759" s="474"/>
      <c r="P759" s="476" t="s">
        <v>252</v>
      </c>
      <c r="Q759" s="477" t="s">
        <v>643</v>
      </c>
    </row>
    <row r="760" spans="2:17" s="375" customFormat="1" ht="12.75" x14ac:dyDescent="0.2">
      <c r="B760" s="479"/>
      <c r="C760" s="474"/>
      <c r="P760" s="476" t="s">
        <v>252</v>
      </c>
      <c r="Q760" s="477" t="s">
        <v>655</v>
      </c>
    </row>
    <row r="761" spans="2:17" s="375" customFormat="1" ht="12.75" x14ac:dyDescent="0.2">
      <c r="B761" s="479"/>
      <c r="C761" s="474"/>
      <c r="P761" s="476" t="s">
        <v>253</v>
      </c>
      <c r="Q761" s="477" t="s">
        <v>1481</v>
      </c>
    </row>
    <row r="762" spans="2:17" s="375" customFormat="1" ht="12.75" x14ac:dyDescent="0.2">
      <c r="B762" s="479"/>
      <c r="C762" s="474"/>
      <c r="P762" s="476" t="s">
        <v>253</v>
      </c>
      <c r="Q762" s="477" t="s">
        <v>1482</v>
      </c>
    </row>
    <row r="763" spans="2:17" s="375" customFormat="1" ht="12.75" x14ac:dyDescent="0.2">
      <c r="B763" s="479"/>
      <c r="C763" s="474"/>
      <c r="P763" s="476" t="s">
        <v>253</v>
      </c>
      <c r="Q763" s="477" t="s">
        <v>1483</v>
      </c>
    </row>
    <row r="764" spans="2:17" s="375" customFormat="1" ht="12.75" x14ac:dyDescent="0.2">
      <c r="B764" s="479"/>
      <c r="C764" s="474"/>
      <c r="P764" s="476" t="s">
        <v>253</v>
      </c>
      <c r="Q764" s="477" t="s">
        <v>1548</v>
      </c>
    </row>
    <row r="765" spans="2:17" s="375" customFormat="1" ht="12.75" x14ac:dyDescent="0.2">
      <c r="B765" s="479"/>
      <c r="C765" s="474"/>
      <c r="P765" s="476" t="s">
        <v>253</v>
      </c>
      <c r="Q765" s="477" t="s">
        <v>1549</v>
      </c>
    </row>
    <row r="766" spans="2:17" s="375" customFormat="1" ht="12.75" x14ac:dyDescent="0.2">
      <c r="B766" s="479"/>
      <c r="C766" s="474"/>
      <c r="P766" s="476" t="s">
        <v>253</v>
      </c>
      <c r="Q766" s="477" t="s">
        <v>1550</v>
      </c>
    </row>
    <row r="767" spans="2:17" s="375" customFormat="1" ht="12.75" x14ac:dyDescent="0.2">
      <c r="B767" s="479"/>
      <c r="C767" s="474"/>
      <c r="P767" s="476" t="s">
        <v>253</v>
      </c>
      <c r="Q767" s="477" t="s">
        <v>1551</v>
      </c>
    </row>
    <row r="768" spans="2:17" s="375" customFormat="1" ht="12.75" x14ac:dyDescent="0.2">
      <c r="B768" s="479"/>
      <c r="C768" s="474"/>
      <c r="P768" s="476" t="s">
        <v>253</v>
      </c>
      <c r="Q768" s="477" t="s">
        <v>932</v>
      </c>
    </row>
    <row r="769" spans="2:17" s="375" customFormat="1" ht="12.75" x14ac:dyDescent="0.2">
      <c r="B769" s="479"/>
      <c r="C769" s="474"/>
      <c r="P769" s="476" t="s">
        <v>253</v>
      </c>
      <c r="Q769" s="477" t="s">
        <v>1419</v>
      </c>
    </row>
    <row r="770" spans="2:17" s="375" customFormat="1" ht="12.75" x14ac:dyDescent="0.2">
      <c r="B770" s="479"/>
      <c r="C770" s="474"/>
      <c r="P770" s="476" t="s">
        <v>253</v>
      </c>
      <c r="Q770" s="477" t="s">
        <v>191</v>
      </c>
    </row>
    <row r="771" spans="2:17" s="375" customFormat="1" ht="12.75" x14ac:dyDescent="0.2">
      <c r="B771" s="479"/>
      <c r="C771" s="474"/>
      <c r="P771" s="476" t="s">
        <v>253</v>
      </c>
      <c r="Q771" s="477" t="s">
        <v>933</v>
      </c>
    </row>
    <row r="772" spans="2:17" s="375" customFormat="1" ht="12.75" x14ac:dyDescent="0.2">
      <c r="B772" s="479"/>
      <c r="C772" s="474"/>
      <c r="P772" s="476" t="s">
        <v>253</v>
      </c>
      <c r="Q772" s="477" t="s">
        <v>934</v>
      </c>
    </row>
    <row r="773" spans="2:17" s="375" customFormat="1" ht="12.75" x14ac:dyDescent="0.2">
      <c r="B773" s="479"/>
      <c r="C773" s="474"/>
      <c r="P773" s="476" t="s">
        <v>253</v>
      </c>
      <c r="Q773" s="477" t="s">
        <v>935</v>
      </c>
    </row>
    <row r="774" spans="2:17" s="375" customFormat="1" ht="12.75" x14ac:dyDescent="0.2">
      <c r="B774" s="479"/>
      <c r="C774" s="474"/>
      <c r="P774" s="476" t="s">
        <v>253</v>
      </c>
      <c r="Q774" s="477" t="s">
        <v>936</v>
      </c>
    </row>
    <row r="775" spans="2:17" s="375" customFormat="1" ht="12.75" x14ac:dyDescent="0.2">
      <c r="B775" s="479"/>
      <c r="C775" s="474"/>
      <c r="P775" s="476" t="s">
        <v>253</v>
      </c>
      <c r="Q775" s="477" t="s">
        <v>937</v>
      </c>
    </row>
    <row r="776" spans="2:17" s="375" customFormat="1" ht="12.75" x14ac:dyDescent="0.2">
      <c r="B776" s="479"/>
      <c r="C776" s="474"/>
      <c r="P776" s="476" t="s">
        <v>253</v>
      </c>
      <c r="Q776" s="477" t="s">
        <v>736</v>
      </c>
    </row>
    <row r="777" spans="2:17" s="375" customFormat="1" ht="12.75" x14ac:dyDescent="0.2">
      <c r="B777" s="479"/>
      <c r="C777" s="474"/>
      <c r="P777" s="476" t="s">
        <v>253</v>
      </c>
      <c r="Q777" s="477" t="s">
        <v>737</v>
      </c>
    </row>
    <row r="778" spans="2:17" s="375" customFormat="1" ht="12.75" x14ac:dyDescent="0.2">
      <c r="B778" s="479"/>
      <c r="C778" s="474"/>
      <c r="P778" s="476" t="s">
        <v>253</v>
      </c>
      <c r="Q778" s="477" t="s">
        <v>938</v>
      </c>
    </row>
    <row r="779" spans="2:17" s="375" customFormat="1" ht="12.75" x14ac:dyDescent="0.2">
      <c r="B779" s="479"/>
      <c r="C779" s="474"/>
      <c r="P779" s="476" t="s">
        <v>253</v>
      </c>
      <c r="Q779" s="477" t="s">
        <v>939</v>
      </c>
    </row>
    <row r="780" spans="2:17" s="375" customFormat="1" ht="12.75" x14ac:dyDescent="0.2">
      <c r="B780" s="479"/>
      <c r="C780" s="474"/>
      <c r="P780" s="476" t="s">
        <v>253</v>
      </c>
      <c r="Q780" s="477" t="s">
        <v>940</v>
      </c>
    </row>
    <row r="781" spans="2:17" s="375" customFormat="1" ht="12.75" x14ac:dyDescent="0.2">
      <c r="B781" s="479"/>
      <c r="C781" s="474"/>
      <c r="P781" s="476" t="s">
        <v>253</v>
      </c>
      <c r="Q781" s="477" t="s">
        <v>194</v>
      </c>
    </row>
    <row r="782" spans="2:17" s="375" customFormat="1" ht="12.75" x14ac:dyDescent="0.2">
      <c r="B782" s="479"/>
      <c r="C782" s="474"/>
      <c r="P782" s="476" t="s">
        <v>253</v>
      </c>
      <c r="Q782" s="477" t="s">
        <v>195</v>
      </c>
    </row>
    <row r="783" spans="2:17" s="375" customFormat="1" ht="12.75" x14ac:dyDescent="0.2">
      <c r="B783" s="479"/>
      <c r="C783" s="474"/>
      <c r="P783" s="476" t="s">
        <v>253</v>
      </c>
      <c r="Q783" s="477" t="s">
        <v>959</v>
      </c>
    </row>
    <row r="784" spans="2:17" s="375" customFormat="1" ht="12.75" x14ac:dyDescent="0.2">
      <c r="B784" s="479"/>
      <c r="C784" s="474"/>
      <c r="P784" s="476" t="s">
        <v>253</v>
      </c>
      <c r="Q784" s="477" t="s">
        <v>1420</v>
      </c>
    </row>
    <row r="785" spans="2:17" s="375" customFormat="1" ht="12.75" x14ac:dyDescent="0.2">
      <c r="B785" s="479"/>
      <c r="C785" s="474"/>
      <c r="P785" s="476" t="s">
        <v>253</v>
      </c>
      <c r="Q785" s="477" t="s">
        <v>775</v>
      </c>
    </row>
    <row r="786" spans="2:17" s="375" customFormat="1" ht="12.75" x14ac:dyDescent="0.2">
      <c r="B786" s="479"/>
      <c r="C786" s="474"/>
      <c r="P786" s="476" t="s">
        <v>253</v>
      </c>
      <c r="Q786" s="477" t="s">
        <v>960</v>
      </c>
    </row>
    <row r="787" spans="2:17" s="375" customFormat="1" ht="12.75" x14ac:dyDescent="0.2">
      <c r="B787" s="479"/>
      <c r="C787" s="474"/>
      <c r="P787" s="476" t="s">
        <v>253</v>
      </c>
      <c r="Q787" s="477" t="s">
        <v>961</v>
      </c>
    </row>
    <row r="788" spans="2:17" s="375" customFormat="1" ht="12.75" x14ac:dyDescent="0.2">
      <c r="B788" s="479"/>
      <c r="C788" s="474"/>
      <c r="P788" s="476" t="s">
        <v>253</v>
      </c>
      <c r="Q788" s="477" t="s">
        <v>962</v>
      </c>
    </row>
    <row r="789" spans="2:17" s="375" customFormat="1" ht="12.75" x14ac:dyDescent="0.2">
      <c r="B789" s="479"/>
      <c r="C789" s="474"/>
      <c r="P789" s="476" t="s">
        <v>253</v>
      </c>
      <c r="Q789" s="477" t="s">
        <v>963</v>
      </c>
    </row>
    <row r="790" spans="2:17" s="375" customFormat="1" ht="12.75" x14ac:dyDescent="0.2">
      <c r="B790" s="479"/>
      <c r="C790" s="474"/>
      <c r="P790" s="476" t="s">
        <v>253</v>
      </c>
      <c r="Q790" s="477" t="s">
        <v>964</v>
      </c>
    </row>
    <row r="791" spans="2:17" s="375" customFormat="1" ht="12.75" x14ac:dyDescent="0.2">
      <c r="B791" s="479"/>
      <c r="C791" s="474"/>
      <c r="P791" s="476" t="s">
        <v>253</v>
      </c>
      <c r="Q791" s="477" t="s">
        <v>776</v>
      </c>
    </row>
    <row r="792" spans="2:17" s="375" customFormat="1" ht="12.75" x14ac:dyDescent="0.2">
      <c r="B792" s="479"/>
      <c r="C792" s="474"/>
      <c r="P792" s="476" t="s">
        <v>253</v>
      </c>
      <c r="Q792" s="477" t="s">
        <v>777</v>
      </c>
    </row>
    <row r="793" spans="2:17" s="375" customFormat="1" ht="12.75" x14ac:dyDescent="0.2">
      <c r="B793" s="479"/>
      <c r="C793" s="474"/>
      <c r="P793" s="476" t="s">
        <v>253</v>
      </c>
      <c r="Q793" s="477" t="s">
        <v>965</v>
      </c>
    </row>
    <row r="794" spans="2:17" s="375" customFormat="1" ht="12.75" x14ac:dyDescent="0.2">
      <c r="B794" s="479"/>
      <c r="C794" s="474"/>
      <c r="P794" s="476" t="s">
        <v>253</v>
      </c>
      <c r="Q794" s="477" t="s">
        <v>966</v>
      </c>
    </row>
    <row r="795" spans="2:17" s="375" customFormat="1" ht="12.75" x14ac:dyDescent="0.2">
      <c r="B795" s="479"/>
      <c r="C795" s="474"/>
      <c r="P795" s="476" t="s">
        <v>253</v>
      </c>
      <c r="Q795" s="477" t="s">
        <v>967</v>
      </c>
    </row>
    <row r="796" spans="2:17" s="375" customFormat="1" ht="12.75" x14ac:dyDescent="0.2">
      <c r="B796" s="479"/>
      <c r="C796" s="474"/>
      <c r="P796" s="476" t="s">
        <v>254</v>
      </c>
      <c r="Q796" s="477" t="s">
        <v>671</v>
      </c>
    </row>
    <row r="797" spans="2:17" s="375" customFormat="1" ht="12.75" x14ac:dyDescent="0.2">
      <c r="B797" s="479"/>
      <c r="C797" s="474"/>
      <c r="P797" s="476" t="s">
        <v>254</v>
      </c>
      <c r="Q797" s="477" t="s">
        <v>684</v>
      </c>
    </row>
    <row r="798" spans="2:17" s="375" customFormat="1" ht="12.75" x14ac:dyDescent="0.2">
      <c r="B798" s="479"/>
      <c r="C798" s="474"/>
      <c r="P798" s="476" t="s">
        <v>458</v>
      </c>
      <c r="Q798" s="477" t="s">
        <v>1082</v>
      </c>
    </row>
    <row r="799" spans="2:17" s="375" customFormat="1" ht="12.75" x14ac:dyDescent="0.2">
      <c r="B799" s="479"/>
      <c r="C799" s="474"/>
      <c r="P799" s="476" t="s">
        <v>256</v>
      </c>
      <c r="Q799" s="477" t="s">
        <v>1552</v>
      </c>
    </row>
    <row r="800" spans="2:17" s="375" customFormat="1" ht="12.75" x14ac:dyDescent="0.2">
      <c r="B800" s="479"/>
      <c r="C800" s="474"/>
      <c r="P800" s="476" t="s">
        <v>256</v>
      </c>
      <c r="Q800" s="477" t="s">
        <v>1553</v>
      </c>
    </row>
    <row r="801" spans="2:17" s="375" customFormat="1" ht="12.75" x14ac:dyDescent="0.2">
      <c r="B801" s="479"/>
      <c r="C801" s="474"/>
      <c r="P801" s="476" t="s">
        <v>256</v>
      </c>
      <c r="Q801" s="477" t="s">
        <v>1554</v>
      </c>
    </row>
    <row r="802" spans="2:17" s="375" customFormat="1" ht="12.75" x14ac:dyDescent="0.2">
      <c r="B802" s="479"/>
      <c r="C802" s="474"/>
      <c r="P802" s="476" t="s">
        <v>256</v>
      </c>
      <c r="Q802" s="477" t="s">
        <v>1555</v>
      </c>
    </row>
    <row r="803" spans="2:17" s="375" customFormat="1" ht="12.75" x14ac:dyDescent="0.2">
      <c r="B803" s="479"/>
      <c r="C803" s="474"/>
      <c r="P803" s="476" t="s">
        <v>256</v>
      </c>
      <c r="Q803" s="477" t="s">
        <v>1556</v>
      </c>
    </row>
    <row r="804" spans="2:17" s="375" customFormat="1" ht="12.75" x14ac:dyDescent="0.2">
      <c r="B804" s="479"/>
      <c r="C804" s="474"/>
      <c r="P804" s="476" t="s">
        <v>256</v>
      </c>
      <c r="Q804" s="477" t="s">
        <v>1557</v>
      </c>
    </row>
    <row r="805" spans="2:17" s="375" customFormat="1" ht="12.75" x14ac:dyDescent="0.2">
      <c r="B805" s="479"/>
      <c r="C805" s="474"/>
      <c r="P805" s="476" t="s">
        <v>256</v>
      </c>
      <c r="Q805" s="477" t="s">
        <v>1558</v>
      </c>
    </row>
    <row r="806" spans="2:17" s="375" customFormat="1" ht="12.75" x14ac:dyDescent="0.2">
      <c r="B806" s="479"/>
      <c r="C806" s="474"/>
      <c r="P806" s="476" t="s">
        <v>256</v>
      </c>
      <c r="Q806" s="477" t="s">
        <v>1559</v>
      </c>
    </row>
    <row r="807" spans="2:17" s="375" customFormat="1" ht="12.75" x14ac:dyDescent="0.2">
      <c r="B807" s="479"/>
      <c r="C807" s="474"/>
      <c r="P807" s="476" t="s">
        <v>256</v>
      </c>
      <c r="Q807" s="477" t="s">
        <v>1560</v>
      </c>
    </row>
    <row r="808" spans="2:17" s="375" customFormat="1" ht="12.75" x14ac:dyDescent="0.2">
      <c r="B808" s="479"/>
      <c r="C808" s="474"/>
      <c r="P808" s="476" t="s">
        <v>256</v>
      </c>
      <c r="Q808" s="477" t="s">
        <v>1561</v>
      </c>
    </row>
    <row r="809" spans="2:17" s="375" customFormat="1" ht="12.75" x14ac:dyDescent="0.2">
      <c r="B809" s="479"/>
      <c r="C809" s="474"/>
      <c r="P809" s="476" t="s">
        <v>256</v>
      </c>
      <c r="Q809" s="477" t="s">
        <v>1562</v>
      </c>
    </row>
    <row r="810" spans="2:17" s="375" customFormat="1" ht="12.75" x14ac:dyDescent="0.2">
      <c r="B810" s="479"/>
      <c r="C810" s="474"/>
      <c r="P810" s="476" t="s">
        <v>256</v>
      </c>
      <c r="Q810" s="477" t="s">
        <v>1563</v>
      </c>
    </row>
    <row r="811" spans="2:17" s="375" customFormat="1" ht="12.75" x14ac:dyDescent="0.2">
      <c r="B811" s="479"/>
      <c r="C811" s="474"/>
      <c r="P811" s="476" t="s">
        <v>256</v>
      </c>
      <c r="Q811" s="477" t="s">
        <v>1564</v>
      </c>
    </row>
    <row r="812" spans="2:17" s="375" customFormat="1" ht="12.75" x14ac:dyDescent="0.2">
      <c r="B812" s="479"/>
      <c r="C812" s="474"/>
      <c r="P812" s="476" t="s">
        <v>256</v>
      </c>
      <c r="Q812" s="477" t="s">
        <v>1565</v>
      </c>
    </row>
    <row r="813" spans="2:17" s="375" customFormat="1" ht="12.75" x14ac:dyDescent="0.2">
      <c r="B813" s="479"/>
      <c r="C813" s="474"/>
      <c r="P813" s="476" t="s">
        <v>255</v>
      </c>
      <c r="Q813" s="477" t="s">
        <v>994</v>
      </c>
    </row>
    <row r="814" spans="2:17" s="375" customFormat="1" ht="12.75" x14ac:dyDescent="0.2">
      <c r="B814" s="479"/>
      <c r="C814" s="474"/>
      <c r="P814" s="476" t="s">
        <v>255</v>
      </c>
      <c r="Q814" s="477" t="s">
        <v>995</v>
      </c>
    </row>
    <row r="815" spans="2:17" s="375" customFormat="1" ht="12.75" x14ac:dyDescent="0.2">
      <c r="B815" s="479"/>
      <c r="C815" s="474"/>
      <c r="P815" s="476" t="s">
        <v>255</v>
      </c>
      <c r="Q815" s="477" t="s">
        <v>1421</v>
      </c>
    </row>
    <row r="816" spans="2:17" s="375" customFormat="1" ht="12.75" x14ac:dyDescent="0.2">
      <c r="B816" s="479"/>
      <c r="C816" s="474"/>
      <c r="P816" s="476" t="s">
        <v>255</v>
      </c>
      <c r="Q816" s="477" t="s">
        <v>1422</v>
      </c>
    </row>
    <row r="817" spans="2:17" s="375" customFormat="1" ht="12.75" x14ac:dyDescent="0.2">
      <c r="B817" s="479"/>
      <c r="C817" s="474"/>
      <c r="P817" s="476" t="s">
        <v>255</v>
      </c>
      <c r="Q817" s="477" t="s">
        <v>579</v>
      </c>
    </row>
    <row r="818" spans="2:17" s="375" customFormat="1" ht="12.75" x14ac:dyDescent="0.2">
      <c r="B818" s="479"/>
      <c r="C818" s="474"/>
      <c r="P818" s="476" t="s">
        <v>255</v>
      </c>
      <c r="Q818" s="477" t="s">
        <v>580</v>
      </c>
    </row>
    <row r="819" spans="2:17" s="375" customFormat="1" ht="12.75" x14ac:dyDescent="0.2">
      <c r="B819" s="479"/>
      <c r="C819" s="474"/>
      <c r="P819" s="476" t="s">
        <v>255</v>
      </c>
      <c r="Q819" s="477" t="s">
        <v>996</v>
      </c>
    </row>
    <row r="820" spans="2:17" s="375" customFormat="1" ht="12.75" x14ac:dyDescent="0.2">
      <c r="B820" s="479"/>
      <c r="C820" s="474"/>
      <c r="P820" s="476" t="s">
        <v>255</v>
      </c>
      <c r="Q820" s="477" t="s">
        <v>997</v>
      </c>
    </row>
    <row r="821" spans="2:17" s="375" customFormat="1" ht="12.75" x14ac:dyDescent="0.2">
      <c r="B821" s="479"/>
      <c r="C821" s="474"/>
      <c r="P821" s="476" t="s">
        <v>255</v>
      </c>
      <c r="Q821" s="477" t="s">
        <v>998</v>
      </c>
    </row>
    <row r="822" spans="2:17" s="375" customFormat="1" ht="12.75" x14ac:dyDescent="0.2">
      <c r="B822" s="479"/>
      <c r="C822" s="474"/>
      <c r="P822" s="476" t="s">
        <v>255</v>
      </c>
      <c r="Q822" s="477" t="s">
        <v>999</v>
      </c>
    </row>
    <row r="823" spans="2:17" s="375" customFormat="1" ht="12.75" x14ac:dyDescent="0.2">
      <c r="B823" s="479"/>
      <c r="C823" s="474"/>
      <c r="P823" s="476" t="s">
        <v>255</v>
      </c>
      <c r="Q823" s="477" t="s">
        <v>1144</v>
      </c>
    </row>
    <row r="824" spans="2:17" s="375" customFormat="1" ht="12.75" x14ac:dyDescent="0.2">
      <c r="B824" s="479"/>
      <c r="C824" s="474"/>
      <c r="P824" s="476" t="s">
        <v>255</v>
      </c>
      <c r="Q824" s="477" t="s">
        <v>1000</v>
      </c>
    </row>
    <row r="825" spans="2:17" s="375" customFormat="1" ht="12.75" x14ac:dyDescent="0.2">
      <c r="B825" s="479"/>
      <c r="C825" s="474"/>
      <c r="P825" s="476" t="s">
        <v>255</v>
      </c>
      <c r="Q825" s="477" t="s">
        <v>1001</v>
      </c>
    </row>
    <row r="826" spans="2:17" s="375" customFormat="1" ht="12.75" x14ac:dyDescent="0.2">
      <c r="B826" s="479"/>
      <c r="C826" s="474"/>
      <c r="P826" s="476" t="s">
        <v>255</v>
      </c>
      <c r="Q826" s="477" t="s">
        <v>1002</v>
      </c>
    </row>
    <row r="827" spans="2:17" s="375" customFormat="1" ht="12.75" x14ac:dyDescent="0.2">
      <c r="B827" s="479"/>
      <c r="C827" s="474"/>
      <c r="P827" s="476" t="s">
        <v>255</v>
      </c>
      <c r="Q827" s="477" t="s">
        <v>1003</v>
      </c>
    </row>
    <row r="828" spans="2:17" s="375" customFormat="1" ht="12.75" x14ac:dyDescent="0.2">
      <c r="B828" s="479"/>
      <c r="C828" s="474"/>
      <c r="P828" s="476" t="s">
        <v>255</v>
      </c>
      <c r="Q828" s="477" t="s">
        <v>1004</v>
      </c>
    </row>
    <row r="829" spans="2:17" s="375" customFormat="1" ht="12.75" x14ac:dyDescent="0.2">
      <c r="B829" s="479"/>
      <c r="C829" s="474"/>
      <c r="P829" s="476" t="s">
        <v>255</v>
      </c>
      <c r="Q829" s="477" t="s">
        <v>581</v>
      </c>
    </row>
    <row r="830" spans="2:17" s="375" customFormat="1" ht="12.75" x14ac:dyDescent="0.2">
      <c r="B830" s="479"/>
      <c r="C830" s="474"/>
      <c r="P830" s="476" t="s">
        <v>255</v>
      </c>
      <c r="Q830" s="477" t="s">
        <v>1005</v>
      </c>
    </row>
    <row r="831" spans="2:17" s="375" customFormat="1" ht="12.75" x14ac:dyDescent="0.2">
      <c r="B831" s="479"/>
      <c r="C831" s="474"/>
      <c r="P831" s="476" t="s">
        <v>255</v>
      </c>
      <c r="Q831" s="477" t="s">
        <v>1006</v>
      </c>
    </row>
    <row r="832" spans="2:17" s="375" customFormat="1" ht="12.75" x14ac:dyDescent="0.2">
      <c r="B832" s="479"/>
      <c r="C832" s="474"/>
      <c r="P832" s="476" t="s">
        <v>255</v>
      </c>
      <c r="Q832" s="477" t="s">
        <v>1423</v>
      </c>
    </row>
    <row r="833" spans="2:17" s="375" customFormat="1" ht="12.75" x14ac:dyDescent="0.2">
      <c r="B833" s="479"/>
      <c r="C833" s="474"/>
      <c r="P833" s="476" t="s">
        <v>255</v>
      </c>
      <c r="Q833" s="477" t="s">
        <v>1007</v>
      </c>
    </row>
    <row r="834" spans="2:17" s="375" customFormat="1" ht="12.75" x14ac:dyDescent="0.2">
      <c r="B834" s="479"/>
      <c r="C834" s="474"/>
      <c r="P834" s="476" t="s">
        <v>255</v>
      </c>
      <c r="Q834" s="477" t="s">
        <v>1008</v>
      </c>
    </row>
    <row r="835" spans="2:17" s="375" customFormat="1" ht="12.75" x14ac:dyDescent="0.2">
      <c r="B835" s="479"/>
      <c r="C835" s="474"/>
      <c r="P835" s="476" t="s">
        <v>255</v>
      </c>
      <c r="Q835" s="477" t="s">
        <v>582</v>
      </c>
    </row>
    <row r="836" spans="2:17" s="375" customFormat="1" ht="12.75" x14ac:dyDescent="0.2">
      <c r="B836" s="479"/>
      <c r="C836" s="474"/>
      <c r="P836" s="476" t="s">
        <v>255</v>
      </c>
      <c r="Q836" s="477" t="s">
        <v>1009</v>
      </c>
    </row>
    <row r="837" spans="2:17" s="375" customFormat="1" ht="12.75" x14ac:dyDescent="0.2">
      <c r="B837" s="479"/>
      <c r="C837" s="474"/>
      <c r="P837" s="476" t="s">
        <v>255</v>
      </c>
      <c r="Q837" s="477" t="s">
        <v>1424</v>
      </c>
    </row>
    <row r="838" spans="2:17" s="375" customFormat="1" ht="12.75" x14ac:dyDescent="0.2">
      <c r="B838" s="479"/>
      <c r="C838" s="474"/>
      <c r="P838" s="476" t="s">
        <v>255</v>
      </c>
      <c r="Q838" s="477" t="s">
        <v>1010</v>
      </c>
    </row>
    <row r="839" spans="2:17" s="375" customFormat="1" ht="12.75" x14ac:dyDescent="0.2">
      <c r="B839" s="479"/>
      <c r="C839" s="474"/>
      <c r="P839" s="476" t="s">
        <v>255</v>
      </c>
      <c r="Q839" s="477" t="s">
        <v>1145</v>
      </c>
    </row>
    <row r="840" spans="2:17" s="375" customFormat="1" ht="12.75" x14ac:dyDescent="0.2">
      <c r="B840" s="479"/>
      <c r="C840" s="474"/>
      <c r="P840" s="476" t="s">
        <v>255</v>
      </c>
      <c r="Q840" s="477" t="s">
        <v>1011</v>
      </c>
    </row>
    <row r="841" spans="2:17" s="375" customFormat="1" ht="12.75" x14ac:dyDescent="0.2">
      <c r="B841" s="479"/>
      <c r="C841" s="474"/>
      <c r="P841" s="476" t="s">
        <v>255</v>
      </c>
      <c r="Q841" s="477" t="s">
        <v>1012</v>
      </c>
    </row>
    <row r="842" spans="2:17" s="375" customFormat="1" ht="12.75" x14ac:dyDescent="0.2">
      <c r="B842" s="479"/>
      <c r="C842" s="474"/>
      <c r="P842" s="476" t="s">
        <v>255</v>
      </c>
      <c r="Q842" s="477" t="s">
        <v>1146</v>
      </c>
    </row>
    <row r="843" spans="2:17" s="375" customFormat="1" ht="12.75" x14ac:dyDescent="0.2">
      <c r="B843" s="479"/>
      <c r="C843" s="474"/>
      <c r="P843" s="476" t="s">
        <v>255</v>
      </c>
      <c r="Q843" s="477" t="s">
        <v>1013</v>
      </c>
    </row>
    <row r="844" spans="2:17" s="375" customFormat="1" ht="12.75" x14ac:dyDescent="0.2">
      <c r="B844" s="479"/>
      <c r="C844" s="474"/>
      <c r="P844" s="476" t="s">
        <v>255</v>
      </c>
      <c r="Q844" s="477" t="s">
        <v>1014</v>
      </c>
    </row>
    <row r="845" spans="2:17" s="375" customFormat="1" ht="12.75" x14ac:dyDescent="0.2">
      <c r="B845" s="479"/>
      <c r="C845" s="474"/>
      <c r="P845" s="476" t="s">
        <v>255</v>
      </c>
      <c r="Q845" s="477" t="s">
        <v>1015</v>
      </c>
    </row>
    <row r="846" spans="2:17" s="375" customFormat="1" ht="12.75" x14ac:dyDescent="0.2">
      <c r="B846" s="479"/>
      <c r="C846" s="474"/>
      <c r="P846" s="476" t="s">
        <v>255</v>
      </c>
      <c r="Q846" s="477" t="s">
        <v>1016</v>
      </c>
    </row>
    <row r="847" spans="2:17" s="375" customFormat="1" ht="12.75" x14ac:dyDescent="0.2">
      <c r="B847" s="479"/>
      <c r="C847" s="474"/>
      <c r="P847" s="476" t="s">
        <v>255</v>
      </c>
      <c r="Q847" s="477" t="s">
        <v>1484</v>
      </c>
    </row>
    <row r="848" spans="2:17" s="375" customFormat="1" ht="12.75" x14ac:dyDescent="0.2">
      <c r="B848" s="479"/>
      <c r="C848" s="474"/>
      <c r="P848" s="476" t="s">
        <v>255</v>
      </c>
      <c r="Q848" s="477" t="s">
        <v>1017</v>
      </c>
    </row>
    <row r="849" spans="2:17" s="375" customFormat="1" ht="12.75" x14ac:dyDescent="0.2">
      <c r="B849" s="479"/>
      <c r="C849" s="474"/>
      <c r="P849" s="476" t="s">
        <v>255</v>
      </c>
      <c r="Q849" s="477" t="s">
        <v>1018</v>
      </c>
    </row>
    <row r="850" spans="2:17" s="375" customFormat="1" ht="12.75" x14ac:dyDescent="0.2">
      <c r="B850" s="479"/>
      <c r="C850" s="474"/>
      <c r="P850" s="476" t="s">
        <v>255</v>
      </c>
      <c r="Q850" s="477" t="s">
        <v>1566</v>
      </c>
    </row>
    <row r="851" spans="2:17" s="375" customFormat="1" ht="12.75" x14ac:dyDescent="0.2">
      <c r="B851" s="479"/>
      <c r="C851" s="474"/>
      <c r="P851" s="476" t="s">
        <v>255</v>
      </c>
      <c r="Q851" s="477" t="s">
        <v>1485</v>
      </c>
    </row>
    <row r="852" spans="2:17" s="375" customFormat="1" ht="12.75" x14ac:dyDescent="0.2">
      <c r="B852" s="479"/>
      <c r="C852" s="474"/>
      <c r="P852" s="476" t="s">
        <v>255</v>
      </c>
      <c r="Q852" s="477" t="s">
        <v>1552</v>
      </c>
    </row>
    <row r="853" spans="2:17" s="375" customFormat="1" ht="12.75" x14ac:dyDescent="0.2">
      <c r="B853" s="479"/>
      <c r="C853" s="474"/>
      <c r="P853" s="476" t="s">
        <v>255</v>
      </c>
      <c r="Q853" s="477" t="s">
        <v>1553</v>
      </c>
    </row>
    <row r="854" spans="2:17" s="375" customFormat="1" ht="12.75" x14ac:dyDescent="0.2">
      <c r="B854" s="479"/>
      <c r="C854" s="474"/>
      <c r="P854" s="476" t="s">
        <v>255</v>
      </c>
      <c r="Q854" s="477" t="s">
        <v>1554</v>
      </c>
    </row>
    <row r="855" spans="2:17" s="375" customFormat="1" ht="12.75" x14ac:dyDescent="0.2">
      <c r="B855" s="479"/>
      <c r="C855" s="474"/>
      <c r="P855" s="482" t="s">
        <v>255</v>
      </c>
      <c r="Q855" s="477" t="s">
        <v>1555</v>
      </c>
    </row>
    <row r="856" spans="2:17" s="375" customFormat="1" ht="12.75" x14ac:dyDescent="0.2">
      <c r="B856" s="479"/>
      <c r="C856" s="474"/>
      <c r="P856" s="476" t="s">
        <v>255</v>
      </c>
      <c r="Q856" s="477" t="s">
        <v>1556</v>
      </c>
    </row>
    <row r="857" spans="2:17" s="375" customFormat="1" ht="12.75" x14ac:dyDescent="0.2">
      <c r="B857" s="479"/>
      <c r="C857" s="474"/>
      <c r="P857" s="476" t="s">
        <v>255</v>
      </c>
      <c r="Q857" s="477" t="s">
        <v>1557</v>
      </c>
    </row>
    <row r="858" spans="2:17" s="375" customFormat="1" ht="12.75" x14ac:dyDescent="0.2">
      <c r="B858" s="479"/>
      <c r="C858" s="474"/>
      <c r="P858" s="476" t="s">
        <v>255</v>
      </c>
      <c r="Q858" s="477" t="s">
        <v>1558</v>
      </c>
    </row>
    <row r="859" spans="2:17" s="375" customFormat="1" ht="12.75" x14ac:dyDescent="0.2">
      <c r="B859" s="479"/>
      <c r="C859" s="474"/>
      <c r="P859" s="476" t="s">
        <v>255</v>
      </c>
      <c r="Q859" s="477" t="s">
        <v>1559</v>
      </c>
    </row>
    <row r="860" spans="2:17" s="375" customFormat="1" ht="12.75" x14ac:dyDescent="0.2">
      <c r="B860" s="479"/>
      <c r="C860" s="474"/>
      <c r="P860" s="476" t="s">
        <v>255</v>
      </c>
      <c r="Q860" s="477" t="s">
        <v>1560</v>
      </c>
    </row>
    <row r="861" spans="2:17" s="375" customFormat="1" ht="12.75" x14ac:dyDescent="0.2">
      <c r="B861" s="479"/>
      <c r="C861" s="474"/>
      <c r="P861" s="476" t="s">
        <v>255</v>
      </c>
      <c r="Q861" s="477" t="s">
        <v>1561</v>
      </c>
    </row>
    <row r="862" spans="2:17" s="375" customFormat="1" ht="12.75" x14ac:dyDescent="0.2">
      <c r="B862" s="479"/>
      <c r="C862" s="474"/>
      <c r="P862" s="476" t="s">
        <v>255</v>
      </c>
      <c r="Q862" s="477" t="s">
        <v>1562</v>
      </c>
    </row>
    <row r="863" spans="2:17" s="375" customFormat="1" ht="12.75" x14ac:dyDescent="0.2">
      <c r="B863" s="479"/>
      <c r="C863" s="474"/>
      <c r="P863" s="476" t="s">
        <v>255</v>
      </c>
      <c r="Q863" s="477" t="s">
        <v>1563</v>
      </c>
    </row>
    <row r="864" spans="2:17" s="375" customFormat="1" ht="12.75" x14ac:dyDescent="0.2">
      <c r="B864" s="479"/>
      <c r="C864" s="474"/>
      <c r="P864" s="476" t="s">
        <v>255</v>
      </c>
      <c r="Q864" s="477" t="s">
        <v>1564</v>
      </c>
    </row>
    <row r="865" spans="2:17" s="375" customFormat="1" ht="12.75" x14ac:dyDescent="0.2">
      <c r="B865" s="479"/>
      <c r="C865" s="474"/>
      <c r="P865" s="476" t="s">
        <v>255</v>
      </c>
      <c r="Q865" s="477" t="s">
        <v>1565</v>
      </c>
    </row>
    <row r="866" spans="2:17" s="375" customFormat="1" ht="12.75" x14ac:dyDescent="0.2">
      <c r="B866" s="479"/>
      <c r="C866" s="474"/>
      <c r="P866" s="476" t="s">
        <v>255</v>
      </c>
      <c r="Q866" s="477" t="s">
        <v>1147</v>
      </c>
    </row>
    <row r="867" spans="2:17" s="375" customFormat="1" ht="12.75" x14ac:dyDescent="0.2">
      <c r="B867" s="479"/>
      <c r="C867" s="474"/>
      <c r="P867" s="476" t="s">
        <v>255</v>
      </c>
      <c r="Q867" s="477" t="s">
        <v>1425</v>
      </c>
    </row>
    <row r="868" spans="2:17" s="375" customFormat="1" ht="12.75" x14ac:dyDescent="0.2">
      <c r="B868" s="479"/>
      <c r="C868" s="474"/>
      <c r="P868" s="476" t="s">
        <v>255</v>
      </c>
      <c r="Q868" s="477" t="s">
        <v>703</v>
      </c>
    </row>
    <row r="869" spans="2:17" s="375" customFormat="1" ht="12.75" x14ac:dyDescent="0.2">
      <c r="B869" s="479"/>
      <c r="C869" s="474"/>
      <c r="P869" s="476" t="s">
        <v>255</v>
      </c>
      <c r="Q869" s="477" t="s">
        <v>1148</v>
      </c>
    </row>
    <row r="870" spans="2:17" s="375" customFormat="1" ht="12.75" x14ac:dyDescent="0.2">
      <c r="B870" s="479"/>
      <c r="C870" s="474"/>
      <c r="P870" s="476" t="s">
        <v>255</v>
      </c>
      <c r="Q870" s="477" t="s">
        <v>970</v>
      </c>
    </row>
    <row r="871" spans="2:17" s="375" customFormat="1" ht="12.75" x14ac:dyDescent="0.2">
      <c r="B871" s="479"/>
      <c r="C871" s="474"/>
      <c r="P871" s="476" t="s">
        <v>255</v>
      </c>
      <c r="Q871" s="477" t="s">
        <v>1149</v>
      </c>
    </row>
    <row r="872" spans="2:17" s="375" customFormat="1" ht="12.75" x14ac:dyDescent="0.2">
      <c r="B872" s="479"/>
      <c r="C872" s="474"/>
      <c r="P872" s="476" t="s">
        <v>255</v>
      </c>
      <c r="Q872" s="477" t="s">
        <v>971</v>
      </c>
    </row>
    <row r="873" spans="2:17" s="375" customFormat="1" ht="12.75" x14ac:dyDescent="0.2">
      <c r="B873" s="479"/>
      <c r="C873" s="474"/>
      <c r="P873" s="476" t="s">
        <v>255</v>
      </c>
      <c r="Q873" s="477" t="s">
        <v>972</v>
      </c>
    </row>
    <row r="874" spans="2:17" s="375" customFormat="1" ht="12.75" x14ac:dyDescent="0.2">
      <c r="B874" s="479"/>
      <c r="C874" s="474"/>
      <c r="P874" s="476" t="s">
        <v>255</v>
      </c>
      <c r="Q874" s="477" t="s">
        <v>973</v>
      </c>
    </row>
    <row r="875" spans="2:17" s="375" customFormat="1" ht="12.75" x14ac:dyDescent="0.2">
      <c r="B875" s="479"/>
      <c r="C875" s="474"/>
      <c r="P875" s="476" t="s">
        <v>255</v>
      </c>
      <c r="Q875" s="477" t="s">
        <v>974</v>
      </c>
    </row>
    <row r="876" spans="2:17" s="375" customFormat="1" ht="12.75" x14ac:dyDescent="0.2">
      <c r="B876" s="479"/>
      <c r="C876" s="474"/>
      <c r="P876" s="476" t="s">
        <v>255</v>
      </c>
      <c r="Q876" s="477" t="s">
        <v>706</v>
      </c>
    </row>
    <row r="877" spans="2:17" s="375" customFormat="1" ht="12.75" x14ac:dyDescent="0.2">
      <c r="B877" s="479"/>
      <c r="C877" s="474"/>
      <c r="P877" s="476" t="s">
        <v>255</v>
      </c>
      <c r="Q877" s="477" t="s">
        <v>707</v>
      </c>
    </row>
    <row r="878" spans="2:17" s="375" customFormat="1" ht="12.75" x14ac:dyDescent="0.2">
      <c r="B878" s="479"/>
      <c r="C878" s="474"/>
      <c r="P878" s="476" t="s">
        <v>255</v>
      </c>
      <c r="Q878" s="477" t="s">
        <v>975</v>
      </c>
    </row>
    <row r="879" spans="2:17" s="375" customFormat="1" ht="12.75" x14ac:dyDescent="0.2">
      <c r="B879" s="479"/>
      <c r="C879" s="474"/>
      <c r="P879" s="476" t="s">
        <v>255</v>
      </c>
      <c r="Q879" s="477" t="s">
        <v>976</v>
      </c>
    </row>
    <row r="880" spans="2:17" s="375" customFormat="1" ht="12.75" x14ac:dyDescent="0.2">
      <c r="B880" s="479"/>
      <c r="C880" s="474"/>
      <c r="P880" s="476" t="s">
        <v>255</v>
      </c>
      <c r="Q880" s="477" t="s">
        <v>709</v>
      </c>
    </row>
    <row r="881" spans="2:17" s="375" customFormat="1" ht="12.75" x14ac:dyDescent="0.2">
      <c r="B881" s="479"/>
      <c r="C881" s="474"/>
      <c r="P881" s="476" t="s">
        <v>255</v>
      </c>
      <c r="Q881" s="477" t="s">
        <v>977</v>
      </c>
    </row>
    <row r="882" spans="2:17" s="375" customFormat="1" ht="12.75" x14ac:dyDescent="0.2">
      <c r="B882" s="479"/>
      <c r="C882" s="474"/>
      <c r="P882" s="476" t="s">
        <v>255</v>
      </c>
      <c r="Q882" s="477" t="s">
        <v>1150</v>
      </c>
    </row>
    <row r="883" spans="2:17" s="375" customFormat="1" ht="12.75" x14ac:dyDescent="0.2">
      <c r="B883" s="479"/>
      <c r="C883" s="474"/>
      <c r="P883" s="476" t="s">
        <v>255</v>
      </c>
      <c r="Q883" s="477" t="s">
        <v>710</v>
      </c>
    </row>
    <row r="884" spans="2:17" s="375" customFormat="1" ht="12.75" x14ac:dyDescent="0.2">
      <c r="B884" s="479"/>
      <c r="C884" s="474"/>
      <c r="P884" s="476" t="s">
        <v>255</v>
      </c>
      <c r="Q884" s="477" t="s">
        <v>711</v>
      </c>
    </row>
    <row r="885" spans="2:17" s="375" customFormat="1" ht="12.75" x14ac:dyDescent="0.2">
      <c r="B885" s="479"/>
      <c r="C885" s="474"/>
      <c r="P885" s="476" t="s">
        <v>255</v>
      </c>
      <c r="Q885" s="477" t="s">
        <v>1151</v>
      </c>
    </row>
    <row r="886" spans="2:17" s="375" customFormat="1" ht="12.75" x14ac:dyDescent="0.2">
      <c r="B886" s="479"/>
      <c r="C886" s="474"/>
      <c r="P886" s="476" t="s">
        <v>255</v>
      </c>
      <c r="Q886" s="477" t="s">
        <v>713</v>
      </c>
    </row>
    <row r="887" spans="2:17" s="375" customFormat="1" ht="12.75" x14ac:dyDescent="0.2">
      <c r="B887" s="479"/>
      <c r="C887" s="474"/>
      <c r="P887" s="476" t="s">
        <v>255</v>
      </c>
      <c r="Q887" s="477" t="s">
        <v>978</v>
      </c>
    </row>
    <row r="888" spans="2:17" s="375" customFormat="1" ht="12.75" x14ac:dyDescent="0.2">
      <c r="B888" s="479"/>
      <c r="C888" s="474"/>
      <c r="P888" s="476" t="s">
        <v>255</v>
      </c>
      <c r="Q888" s="477" t="s">
        <v>1152</v>
      </c>
    </row>
    <row r="889" spans="2:17" s="375" customFormat="1" ht="12.75" x14ac:dyDescent="0.2">
      <c r="B889" s="479"/>
      <c r="C889" s="474"/>
      <c r="P889" s="476" t="s">
        <v>255</v>
      </c>
      <c r="Q889" s="477" t="s">
        <v>1153</v>
      </c>
    </row>
    <row r="890" spans="2:17" s="375" customFormat="1" ht="12.75" x14ac:dyDescent="0.2">
      <c r="B890" s="479"/>
      <c r="C890" s="474"/>
      <c r="P890" s="476" t="s">
        <v>255</v>
      </c>
      <c r="Q890" s="477" t="s">
        <v>714</v>
      </c>
    </row>
    <row r="891" spans="2:17" s="375" customFormat="1" ht="12.75" x14ac:dyDescent="0.2">
      <c r="B891" s="479"/>
      <c r="C891" s="474"/>
      <c r="P891" s="476" t="s">
        <v>255</v>
      </c>
      <c r="Q891" s="477" t="s">
        <v>979</v>
      </c>
    </row>
    <row r="892" spans="2:17" s="375" customFormat="1" ht="12.75" x14ac:dyDescent="0.2">
      <c r="B892" s="479"/>
      <c r="C892" s="474"/>
      <c r="P892" s="476" t="s">
        <v>255</v>
      </c>
      <c r="Q892" s="477" t="s">
        <v>980</v>
      </c>
    </row>
    <row r="893" spans="2:17" s="375" customFormat="1" ht="12.75" x14ac:dyDescent="0.2">
      <c r="B893" s="479"/>
      <c r="C893" s="474"/>
      <c r="P893" s="476" t="s">
        <v>255</v>
      </c>
      <c r="Q893" s="477" t="s">
        <v>981</v>
      </c>
    </row>
    <row r="894" spans="2:17" s="375" customFormat="1" ht="12.75" x14ac:dyDescent="0.2">
      <c r="B894" s="479"/>
      <c r="C894" s="474"/>
      <c r="P894" s="476" t="s">
        <v>255</v>
      </c>
      <c r="Q894" s="477" t="s">
        <v>982</v>
      </c>
    </row>
    <row r="895" spans="2:17" s="375" customFormat="1" ht="12.75" x14ac:dyDescent="0.2">
      <c r="B895" s="479"/>
      <c r="C895" s="474"/>
      <c r="P895" s="476" t="s">
        <v>255</v>
      </c>
      <c r="Q895" s="477" t="s">
        <v>969</v>
      </c>
    </row>
    <row r="896" spans="2:17" s="375" customFormat="1" ht="12.75" x14ac:dyDescent="0.2">
      <c r="B896" s="479"/>
      <c r="C896" s="474"/>
      <c r="P896" s="476" t="s">
        <v>255</v>
      </c>
      <c r="Q896" s="477" t="s">
        <v>770</v>
      </c>
    </row>
    <row r="897" spans="2:17" s="375" customFormat="1" ht="12.75" x14ac:dyDescent="0.2">
      <c r="B897" s="479"/>
      <c r="C897" s="474"/>
      <c r="P897" s="476" t="s">
        <v>255</v>
      </c>
      <c r="Q897" s="477" t="s">
        <v>1154</v>
      </c>
    </row>
    <row r="898" spans="2:17" s="375" customFormat="1" ht="12.75" x14ac:dyDescent="0.2">
      <c r="B898" s="479"/>
      <c r="C898" s="474"/>
      <c r="P898" s="476" t="s">
        <v>255</v>
      </c>
      <c r="Q898" s="477" t="s">
        <v>1426</v>
      </c>
    </row>
    <row r="899" spans="2:17" s="375" customFormat="1" ht="12.75" x14ac:dyDescent="0.2">
      <c r="B899" s="479"/>
      <c r="C899" s="474"/>
      <c r="P899" s="476" t="s">
        <v>255</v>
      </c>
      <c r="Q899" s="477" t="s">
        <v>779</v>
      </c>
    </row>
    <row r="900" spans="2:17" s="375" customFormat="1" ht="12.75" x14ac:dyDescent="0.2">
      <c r="B900" s="479"/>
      <c r="C900" s="474"/>
      <c r="P900" s="476" t="s">
        <v>255</v>
      </c>
      <c r="Q900" s="477" t="s">
        <v>1155</v>
      </c>
    </row>
    <row r="901" spans="2:17" s="375" customFormat="1" ht="12.75" x14ac:dyDescent="0.2">
      <c r="B901" s="479"/>
      <c r="C901" s="474"/>
      <c r="P901" s="476" t="s">
        <v>255</v>
      </c>
      <c r="Q901" s="477" t="s">
        <v>1156</v>
      </c>
    </row>
    <row r="902" spans="2:17" s="375" customFormat="1" ht="12.75" x14ac:dyDescent="0.2">
      <c r="B902" s="479"/>
      <c r="C902" s="474"/>
      <c r="P902" s="476" t="s">
        <v>255</v>
      </c>
      <c r="Q902" s="477" t="s">
        <v>1157</v>
      </c>
    </row>
    <row r="903" spans="2:17" s="375" customFormat="1" ht="12.75" x14ac:dyDescent="0.2">
      <c r="B903" s="479"/>
      <c r="C903" s="474"/>
      <c r="P903" s="476" t="s">
        <v>255</v>
      </c>
      <c r="Q903" s="477" t="s">
        <v>1158</v>
      </c>
    </row>
    <row r="904" spans="2:17" s="375" customFormat="1" ht="12.75" x14ac:dyDescent="0.2">
      <c r="B904" s="479"/>
      <c r="C904" s="474"/>
      <c r="P904" s="476" t="s">
        <v>255</v>
      </c>
      <c r="Q904" s="477" t="s">
        <v>1159</v>
      </c>
    </row>
    <row r="905" spans="2:17" s="375" customFormat="1" ht="12.75" x14ac:dyDescent="0.2">
      <c r="B905" s="479"/>
      <c r="C905" s="474"/>
      <c r="P905" s="476" t="s">
        <v>255</v>
      </c>
      <c r="Q905" s="477" t="s">
        <v>1160</v>
      </c>
    </row>
    <row r="906" spans="2:17" s="375" customFormat="1" ht="12.75" x14ac:dyDescent="0.2">
      <c r="B906" s="479"/>
      <c r="C906" s="474"/>
      <c r="P906" s="476" t="s">
        <v>255</v>
      </c>
      <c r="Q906" s="477" t="s">
        <v>197</v>
      </c>
    </row>
    <row r="907" spans="2:17" s="375" customFormat="1" ht="12.75" x14ac:dyDescent="0.2">
      <c r="B907" s="479"/>
      <c r="C907" s="474"/>
      <c r="P907" s="476" t="s">
        <v>255</v>
      </c>
      <c r="Q907" s="477" t="s">
        <v>941</v>
      </c>
    </row>
    <row r="908" spans="2:17" s="375" customFormat="1" ht="12.75" x14ac:dyDescent="0.2">
      <c r="B908" s="479"/>
      <c r="C908" s="474"/>
      <c r="P908" s="476" t="s">
        <v>255</v>
      </c>
      <c r="Q908" s="477" t="s">
        <v>781</v>
      </c>
    </row>
    <row r="909" spans="2:17" s="375" customFormat="1" ht="12.75" x14ac:dyDescent="0.2">
      <c r="B909" s="479"/>
      <c r="C909" s="474"/>
      <c r="P909" s="476" t="s">
        <v>255</v>
      </c>
      <c r="Q909" s="477" t="s">
        <v>942</v>
      </c>
    </row>
    <row r="910" spans="2:17" s="375" customFormat="1" ht="12.75" x14ac:dyDescent="0.2">
      <c r="B910" s="479"/>
      <c r="C910" s="474"/>
      <c r="P910" s="476" t="s">
        <v>255</v>
      </c>
      <c r="Q910" s="477" t="s">
        <v>1161</v>
      </c>
    </row>
    <row r="911" spans="2:17" s="375" customFormat="1" ht="12.75" x14ac:dyDescent="0.2">
      <c r="B911" s="479"/>
      <c r="C911" s="474"/>
      <c r="P911" s="476" t="s">
        <v>255</v>
      </c>
      <c r="Q911" s="477" t="s">
        <v>1162</v>
      </c>
    </row>
    <row r="912" spans="2:17" s="375" customFormat="1" ht="12.75" x14ac:dyDescent="0.2">
      <c r="B912" s="479"/>
      <c r="C912" s="474"/>
      <c r="P912" s="476" t="s">
        <v>255</v>
      </c>
      <c r="Q912" s="477" t="s">
        <v>943</v>
      </c>
    </row>
    <row r="913" spans="2:17" s="375" customFormat="1" ht="12.75" x14ac:dyDescent="0.2">
      <c r="B913" s="479"/>
      <c r="C913" s="474"/>
      <c r="P913" s="476" t="s">
        <v>255</v>
      </c>
      <c r="Q913" s="477" t="s">
        <v>1163</v>
      </c>
    </row>
    <row r="914" spans="2:17" s="375" customFormat="1" ht="12.75" x14ac:dyDescent="0.2">
      <c r="B914" s="479"/>
      <c r="C914" s="474"/>
      <c r="P914" s="476" t="s">
        <v>255</v>
      </c>
      <c r="Q914" s="477" t="s">
        <v>944</v>
      </c>
    </row>
    <row r="915" spans="2:17" s="375" customFormat="1" ht="12.75" x14ac:dyDescent="0.2">
      <c r="B915" s="479"/>
      <c r="C915" s="474"/>
      <c r="P915" s="476" t="s">
        <v>255</v>
      </c>
      <c r="Q915" s="477" t="s">
        <v>1164</v>
      </c>
    </row>
    <row r="916" spans="2:17" s="375" customFormat="1" ht="12.75" x14ac:dyDescent="0.2">
      <c r="B916" s="479"/>
      <c r="C916" s="474"/>
      <c r="P916" s="476" t="s">
        <v>255</v>
      </c>
      <c r="Q916" s="477" t="s">
        <v>945</v>
      </c>
    </row>
    <row r="917" spans="2:17" s="375" customFormat="1" ht="12.75" x14ac:dyDescent="0.2">
      <c r="B917" s="479"/>
      <c r="C917" s="474"/>
      <c r="P917" s="476" t="s">
        <v>255</v>
      </c>
      <c r="Q917" s="477" t="s">
        <v>1165</v>
      </c>
    </row>
    <row r="918" spans="2:17" s="375" customFormat="1" ht="12.75" x14ac:dyDescent="0.2">
      <c r="B918" s="479"/>
      <c r="C918" s="474"/>
      <c r="P918" s="476" t="s">
        <v>255</v>
      </c>
      <c r="Q918" s="477" t="s">
        <v>928</v>
      </c>
    </row>
    <row r="919" spans="2:17" s="375" customFormat="1" ht="12.75" x14ac:dyDescent="0.2">
      <c r="B919" s="479"/>
      <c r="C919" s="474"/>
      <c r="P919" s="476" t="s">
        <v>255</v>
      </c>
      <c r="Q919" s="477" t="s">
        <v>929</v>
      </c>
    </row>
    <row r="920" spans="2:17" s="375" customFormat="1" ht="12.75" x14ac:dyDescent="0.2">
      <c r="B920" s="479"/>
      <c r="C920" s="474"/>
      <c r="P920" s="476" t="s">
        <v>258</v>
      </c>
      <c r="Q920" s="477" t="s">
        <v>754</v>
      </c>
    </row>
    <row r="921" spans="2:17" s="375" customFormat="1" ht="12.75" x14ac:dyDescent="0.2">
      <c r="B921" s="479"/>
      <c r="C921" s="474"/>
      <c r="P921" s="476" t="s">
        <v>460</v>
      </c>
      <c r="Q921" s="477" t="s">
        <v>1075</v>
      </c>
    </row>
    <row r="922" spans="2:17" s="375" customFormat="1" ht="12.75" x14ac:dyDescent="0.2">
      <c r="B922" s="479"/>
      <c r="C922" s="474"/>
      <c r="P922" s="476" t="s">
        <v>261</v>
      </c>
      <c r="Q922" s="477" t="s">
        <v>754</v>
      </c>
    </row>
    <row r="923" spans="2:17" s="375" customFormat="1" ht="12.75" x14ac:dyDescent="0.2">
      <c r="B923" s="479"/>
      <c r="C923" s="474"/>
      <c r="P923" s="476" t="s">
        <v>472</v>
      </c>
      <c r="Q923" s="477" t="s">
        <v>1053</v>
      </c>
    </row>
    <row r="924" spans="2:17" s="375" customFormat="1" ht="12.75" x14ac:dyDescent="0.2">
      <c r="B924" s="479"/>
      <c r="C924" s="474"/>
      <c r="P924" s="476" t="s">
        <v>473</v>
      </c>
      <c r="Q924" s="477" t="s">
        <v>1053</v>
      </c>
    </row>
    <row r="925" spans="2:17" s="375" customFormat="1" ht="12.75" x14ac:dyDescent="0.2">
      <c r="B925" s="479"/>
      <c r="C925" s="474"/>
      <c r="P925" s="476" t="s">
        <v>474</v>
      </c>
      <c r="Q925" s="477" t="s">
        <v>1053</v>
      </c>
    </row>
    <row r="926" spans="2:17" s="375" customFormat="1" ht="12.75" x14ac:dyDescent="0.2">
      <c r="B926" s="479"/>
      <c r="C926" s="474"/>
      <c r="P926" s="476" t="s">
        <v>475</v>
      </c>
      <c r="Q926" s="477" t="s">
        <v>1053</v>
      </c>
    </row>
    <row r="927" spans="2:17" s="375" customFormat="1" ht="12.75" x14ac:dyDescent="0.2">
      <c r="B927" s="479"/>
      <c r="C927" s="474"/>
      <c r="P927" s="476" t="s">
        <v>463</v>
      </c>
      <c r="Q927" s="477" t="s">
        <v>1054</v>
      </c>
    </row>
    <row r="928" spans="2:17" s="375" customFormat="1" ht="12.75" x14ac:dyDescent="0.2">
      <c r="B928" s="479"/>
      <c r="C928" s="474"/>
      <c r="P928" s="476" t="s">
        <v>263</v>
      </c>
      <c r="Q928" s="477" t="s">
        <v>585</v>
      </c>
    </row>
    <row r="929" spans="2:17" s="375" customFormat="1" ht="12.75" x14ac:dyDescent="0.2">
      <c r="B929" s="479"/>
      <c r="C929" s="474"/>
      <c r="P929" s="476" t="s">
        <v>263</v>
      </c>
      <c r="Q929" s="477" t="s">
        <v>644</v>
      </c>
    </row>
    <row r="930" spans="2:17" s="375" customFormat="1" ht="12.75" x14ac:dyDescent="0.2">
      <c r="B930" s="479"/>
      <c r="C930" s="474"/>
      <c r="P930" s="476" t="s">
        <v>263</v>
      </c>
      <c r="Q930" s="477" t="s">
        <v>656</v>
      </c>
    </row>
    <row r="931" spans="2:17" s="375" customFormat="1" ht="12.75" x14ac:dyDescent="0.2">
      <c r="B931" s="479"/>
      <c r="C931" s="474"/>
      <c r="P931" s="476" t="s">
        <v>263</v>
      </c>
      <c r="Q931" s="477" t="s">
        <v>695</v>
      </c>
    </row>
    <row r="932" spans="2:17" s="375" customFormat="1" ht="12.75" x14ac:dyDescent="0.2">
      <c r="B932" s="479"/>
      <c r="C932" s="474"/>
      <c r="P932" s="476" t="s">
        <v>263</v>
      </c>
      <c r="Q932" s="477" t="s">
        <v>718</v>
      </c>
    </row>
    <row r="933" spans="2:17" s="375" customFormat="1" ht="12.75" x14ac:dyDescent="0.2">
      <c r="B933" s="479"/>
      <c r="C933" s="474"/>
      <c r="P933" s="476" t="s">
        <v>263</v>
      </c>
      <c r="Q933" s="477" t="s">
        <v>723</v>
      </c>
    </row>
    <row r="934" spans="2:17" s="375" customFormat="1" ht="12.75" x14ac:dyDescent="0.2">
      <c r="B934" s="479"/>
      <c r="C934" s="474"/>
      <c r="P934" s="476" t="s">
        <v>262</v>
      </c>
      <c r="Q934" s="477" t="s">
        <v>1055</v>
      </c>
    </row>
    <row r="935" spans="2:17" s="375" customFormat="1" ht="12.75" x14ac:dyDescent="0.2">
      <c r="B935" s="479"/>
      <c r="C935" s="474"/>
      <c r="P935" s="476" t="s">
        <v>262</v>
      </c>
      <c r="Q935" s="477" t="s">
        <v>852</v>
      </c>
    </row>
    <row r="936" spans="2:17" s="375" customFormat="1" ht="12.75" x14ac:dyDescent="0.2">
      <c r="B936" s="479"/>
      <c r="C936" s="474"/>
      <c r="P936" s="476" t="s">
        <v>262</v>
      </c>
      <c r="Q936" s="477" t="s">
        <v>1056</v>
      </c>
    </row>
    <row r="937" spans="2:17" s="375" customFormat="1" ht="12.75" x14ac:dyDescent="0.2">
      <c r="B937" s="479"/>
      <c r="C937" s="474"/>
      <c r="P937" s="476" t="s">
        <v>262</v>
      </c>
      <c r="Q937" s="477" t="s">
        <v>1057</v>
      </c>
    </row>
    <row r="938" spans="2:17" s="375" customFormat="1" ht="12.75" x14ac:dyDescent="0.2">
      <c r="B938" s="479"/>
      <c r="C938" s="474"/>
      <c r="P938" s="476" t="s">
        <v>262</v>
      </c>
      <c r="Q938" s="477" t="s">
        <v>853</v>
      </c>
    </row>
    <row r="939" spans="2:17" s="375" customFormat="1" ht="12.75" x14ac:dyDescent="0.2">
      <c r="B939" s="479"/>
      <c r="C939" s="474"/>
      <c r="P939" s="476" t="s">
        <v>262</v>
      </c>
      <c r="Q939" s="477" t="s">
        <v>854</v>
      </c>
    </row>
    <row r="940" spans="2:17" s="375" customFormat="1" ht="12.75" x14ac:dyDescent="0.2">
      <c r="B940" s="479"/>
      <c r="C940" s="474"/>
      <c r="P940" s="476" t="s">
        <v>262</v>
      </c>
      <c r="Q940" s="477" t="s">
        <v>1058</v>
      </c>
    </row>
    <row r="941" spans="2:17" s="375" customFormat="1" ht="12.75" x14ac:dyDescent="0.2">
      <c r="B941" s="479"/>
      <c r="C941" s="474"/>
      <c r="P941" s="476" t="s">
        <v>262</v>
      </c>
      <c r="Q941" s="477" t="s">
        <v>1059</v>
      </c>
    </row>
    <row r="942" spans="2:17" s="375" customFormat="1" ht="12.75" x14ac:dyDescent="0.2">
      <c r="B942" s="479"/>
      <c r="C942" s="474"/>
      <c r="P942" s="476" t="s">
        <v>262</v>
      </c>
      <c r="Q942" s="477" t="s">
        <v>1060</v>
      </c>
    </row>
    <row r="943" spans="2:17" s="375" customFormat="1" ht="12.75" x14ac:dyDescent="0.2">
      <c r="B943" s="479"/>
      <c r="C943" s="474"/>
      <c r="P943" s="476" t="s">
        <v>262</v>
      </c>
      <c r="Q943" s="477" t="s">
        <v>1061</v>
      </c>
    </row>
    <row r="944" spans="2:17" s="375" customFormat="1" ht="12.75" x14ac:dyDescent="0.2">
      <c r="B944" s="479"/>
      <c r="C944" s="474"/>
      <c r="P944" s="476" t="s">
        <v>262</v>
      </c>
      <c r="Q944" s="477" t="s">
        <v>855</v>
      </c>
    </row>
    <row r="945" spans="2:17" s="375" customFormat="1" ht="12.75" x14ac:dyDescent="0.2">
      <c r="B945" s="479"/>
      <c r="C945" s="474"/>
      <c r="P945" s="476" t="s">
        <v>262</v>
      </c>
      <c r="Q945" s="477" t="s">
        <v>1062</v>
      </c>
    </row>
    <row r="946" spans="2:17" s="375" customFormat="1" ht="12.75" x14ac:dyDescent="0.2">
      <c r="B946" s="479"/>
      <c r="C946" s="474"/>
      <c r="P946" s="476" t="s">
        <v>262</v>
      </c>
      <c r="Q946" s="477" t="s">
        <v>856</v>
      </c>
    </row>
    <row r="947" spans="2:17" s="375" customFormat="1" ht="12.75" x14ac:dyDescent="0.2">
      <c r="B947" s="479"/>
      <c r="C947" s="474"/>
      <c r="P947" s="476" t="s">
        <v>262</v>
      </c>
      <c r="Q947" s="477" t="s">
        <v>857</v>
      </c>
    </row>
    <row r="948" spans="2:17" s="375" customFormat="1" ht="12.75" x14ac:dyDescent="0.2">
      <c r="B948" s="479"/>
      <c r="C948" s="474"/>
      <c r="P948" s="476" t="s">
        <v>262</v>
      </c>
      <c r="Q948" s="477" t="s">
        <v>1063</v>
      </c>
    </row>
    <row r="949" spans="2:17" s="375" customFormat="1" ht="12.75" x14ac:dyDescent="0.2">
      <c r="B949" s="479"/>
      <c r="C949" s="474"/>
      <c r="P949" s="476" t="s">
        <v>262</v>
      </c>
      <c r="Q949" s="477" t="s">
        <v>1064</v>
      </c>
    </row>
    <row r="950" spans="2:17" s="375" customFormat="1" ht="12.75" x14ac:dyDescent="0.2">
      <c r="B950" s="479"/>
      <c r="C950" s="474"/>
      <c r="P950" s="476" t="s">
        <v>262</v>
      </c>
      <c r="Q950" s="477" t="s">
        <v>858</v>
      </c>
    </row>
    <row r="951" spans="2:17" s="375" customFormat="1" ht="12.75" x14ac:dyDescent="0.2">
      <c r="B951" s="479"/>
      <c r="C951" s="474"/>
      <c r="P951" s="476" t="s">
        <v>262</v>
      </c>
      <c r="Q951" s="477" t="s">
        <v>1065</v>
      </c>
    </row>
    <row r="952" spans="2:17" s="375" customFormat="1" ht="12.75" x14ac:dyDescent="0.2">
      <c r="B952" s="479"/>
      <c r="C952" s="474"/>
      <c r="P952" s="476" t="s">
        <v>262</v>
      </c>
      <c r="Q952" s="477" t="s">
        <v>1066</v>
      </c>
    </row>
    <row r="953" spans="2:17" s="375" customFormat="1" ht="12.75" x14ac:dyDescent="0.2">
      <c r="B953" s="479"/>
      <c r="C953" s="474"/>
      <c r="P953" s="476" t="s">
        <v>262</v>
      </c>
      <c r="Q953" s="477" t="s">
        <v>1067</v>
      </c>
    </row>
    <row r="954" spans="2:17" s="375" customFormat="1" ht="12.75" x14ac:dyDescent="0.2">
      <c r="B954" s="479"/>
      <c r="C954" s="474"/>
      <c r="P954" s="476" t="s">
        <v>262</v>
      </c>
      <c r="Q954" s="477" t="s">
        <v>1068</v>
      </c>
    </row>
    <row r="955" spans="2:17" s="375" customFormat="1" ht="12.75" x14ac:dyDescent="0.2">
      <c r="B955" s="479"/>
      <c r="C955" s="474"/>
      <c r="P955" s="476" t="s">
        <v>262</v>
      </c>
      <c r="Q955" s="477" t="s">
        <v>1069</v>
      </c>
    </row>
    <row r="956" spans="2:17" s="375" customFormat="1" ht="12.75" x14ac:dyDescent="0.2">
      <c r="B956" s="479"/>
      <c r="C956" s="474"/>
      <c r="P956" s="476" t="s">
        <v>262</v>
      </c>
      <c r="Q956" s="477" t="s">
        <v>859</v>
      </c>
    </row>
    <row r="957" spans="2:17" s="375" customFormat="1" ht="12.75" x14ac:dyDescent="0.2">
      <c r="B957" s="479"/>
      <c r="C957" s="474"/>
      <c r="P957" s="476" t="s">
        <v>262</v>
      </c>
      <c r="Q957" s="477" t="s">
        <v>1070</v>
      </c>
    </row>
    <row r="958" spans="2:17" s="375" customFormat="1" ht="12.75" x14ac:dyDescent="0.2">
      <c r="B958" s="479"/>
      <c r="C958" s="474"/>
      <c r="P958" s="476" t="s">
        <v>262</v>
      </c>
      <c r="Q958" s="477" t="s">
        <v>1071</v>
      </c>
    </row>
    <row r="959" spans="2:17" s="375" customFormat="1" ht="12.75" x14ac:dyDescent="0.2">
      <c r="B959" s="479"/>
      <c r="C959" s="474"/>
      <c r="P959" s="476" t="s">
        <v>262</v>
      </c>
      <c r="Q959" s="477" t="s">
        <v>860</v>
      </c>
    </row>
    <row r="960" spans="2:17" s="375" customFormat="1" ht="12.75" x14ac:dyDescent="0.2">
      <c r="B960" s="479"/>
      <c r="C960" s="474"/>
      <c r="P960" s="476" t="s">
        <v>262</v>
      </c>
      <c r="Q960" s="477" t="s">
        <v>1072</v>
      </c>
    </row>
    <row r="961" spans="2:17" s="375" customFormat="1" ht="12.75" x14ac:dyDescent="0.2">
      <c r="B961" s="479"/>
      <c r="C961" s="474"/>
      <c r="P961" s="476" t="s">
        <v>262</v>
      </c>
      <c r="Q961" s="477" t="s">
        <v>1567</v>
      </c>
    </row>
    <row r="962" spans="2:17" s="375" customFormat="1" ht="12.75" x14ac:dyDescent="0.2">
      <c r="B962" s="479"/>
      <c r="C962" s="474"/>
      <c r="P962" s="476" t="s">
        <v>464</v>
      </c>
      <c r="Q962" s="477" t="s">
        <v>621</v>
      </c>
    </row>
    <row r="963" spans="2:17" s="375" customFormat="1" ht="12.75" x14ac:dyDescent="0.2">
      <c r="B963" s="479"/>
      <c r="C963" s="474"/>
      <c r="P963" s="476" t="s">
        <v>377</v>
      </c>
      <c r="Q963" s="477" t="s">
        <v>645</v>
      </c>
    </row>
    <row r="964" spans="2:17" s="375" customFormat="1" ht="12.75" x14ac:dyDescent="0.2">
      <c r="B964" s="479"/>
      <c r="C964" s="474"/>
      <c r="P964" s="476" t="s">
        <v>377</v>
      </c>
      <c r="Q964" s="477" t="s">
        <v>654</v>
      </c>
    </row>
    <row r="965" spans="2:17" s="375" customFormat="1" ht="12.75" x14ac:dyDescent="0.2">
      <c r="B965" s="479"/>
      <c r="C965" s="474"/>
      <c r="P965" s="476" t="s">
        <v>377</v>
      </c>
      <c r="Q965" s="477" t="s">
        <v>738</v>
      </c>
    </row>
    <row r="966" spans="2:17" s="375" customFormat="1" ht="12.75" x14ac:dyDescent="0.2">
      <c r="B966" s="479"/>
      <c r="C966" s="474"/>
      <c r="P966" s="476" t="s">
        <v>264</v>
      </c>
      <c r="Q966" s="477" t="s">
        <v>946</v>
      </c>
    </row>
    <row r="967" spans="2:17" s="375" customFormat="1" ht="12.75" x14ac:dyDescent="0.2">
      <c r="B967" s="479"/>
      <c r="C967" s="474"/>
      <c r="P967" s="476" t="s">
        <v>264</v>
      </c>
      <c r="Q967" s="477" t="s">
        <v>696</v>
      </c>
    </row>
    <row r="968" spans="2:17" s="375" customFormat="1" ht="12.75" x14ac:dyDescent="0.2">
      <c r="B968" s="479"/>
      <c r="C968" s="474"/>
      <c r="P968" s="476" t="s">
        <v>264</v>
      </c>
      <c r="Q968" s="477" t="s">
        <v>697</v>
      </c>
    </row>
    <row r="969" spans="2:17" s="375" customFormat="1" ht="12.75" x14ac:dyDescent="0.2">
      <c r="B969" s="479"/>
      <c r="C969" s="474"/>
      <c r="P969" s="476" t="s">
        <v>264</v>
      </c>
      <c r="Q969" s="477" t="s">
        <v>698</v>
      </c>
    </row>
    <row r="970" spans="2:17" s="375" customFormat="1" ht="12.75" x14ac:dyDescent="0.2">
      <c r="B970" s="479"/>
      <c r="C970" s="474"/>
      <c r="P970" s="476" t="s">
        <v>264</v>
      </c>
      <c r="Q970" s="477" t="s">
        <v>699</v>
      </c>
    </row>
    <row r="971" spans="2:17" s="375" customFormat="1" ht="12.75" x14ac:dyDescent="0.2">
      <c r="B971" s="479"/>
      <c r="C971" s="474"/>
      <c r="P971" s="476" t="s">
        <v>264</v>
      </c>
      <c r="Q971" s="477" t="s">
        <v>701</v>
      </c>
    </row>
    <row r="972" spans="2:17" s="375" customFormat="1" ht="12.75" x14ac:dyDescent="0.2">
      <c r="B972" s="479"/>
      <c r="C972" s="474"/>
      <c r="P972" s="476" t="s">
        <v>265</v>
      </c>
      <c r="Q972" s="477" t="s">
        <v>946</v>
      </c>
    </row>
    <row r="973" spans="2:17" s="375" customFormat="1" ht="12.75" x14ac:dyDescent="0.2">
      <c r="B973" s="479"/>
      <c r="C973" s="474"/>
      <c r="P973" s="476" t="s">
        <v>265</v>
      </c>
      <c r="Q973" s="477" t="s">
        <v>696</v>
      </c>
    </row>
    <row r="974" spans="2:17" s="375" customFormat="1" ht="12.75" x14ac:dyDescent="0.2">
      <c r="B974" s="479"/>
      <c r="C974" s="474"/>
      <c r="P974" s="476" t="s">
        <v>265</v>
      </c>
      <c r="Q974" s="477" t="s">
        <v>697</v>
      </c>
    </row>
    <row r="975" spans="2:17" s="375" customFormat="1" ht="12.75" x14ac:dyDescent="0.2">
      <c r="B975" s="479"/>
      <c r="C975" s="474"/>
      <c r="P975" s="476" t="s">
        <v>265</v>
      </c>
      <c r="Q975" s="477" t="s">
        <v>698</v>
      </c>
    </row>
    <row r="976" spans="2:17" s="375" customFormat="1" ht="12.75" x14ac:dyDescent="0.2">
      <c r="B976" s="479"/>
      <c r="C976" s="474"/>
      <c r="P976" s="476" t="s">
        <v>265</v>
      </c>
      <c r="Q976" s="477" t="s">
        <v>699</v>
      </c>
    </row>
    <row r="977" spans="2:17" s="375" customFormat="1" ht="12.75" x14ac:dyDescent="0.2">
      <c r="B977" s="479"/>
      <c r="C977" s="474"/>
      <c r="P977" s="476" t="s">
        <v>265</v>
      </c>
      <c r="Q977" s="477" t="s">
        <v>701</v>
      </c>
    </row>
    <row r="978" spans="2:17" s="375" customFormat="1" ht="12.75" x14ac:dyDescent="0.2">
      <c r="B978" s="479"/>
      <c r="C978" s="474"/>
      <c r="P978" s="476" t="s">
        <v>465</v>
      </c>
      <c r="Q978" s="477" t="s">
        <v>1073</v>
      </c>
    </row>
    <row r="979" spans="2:17" s="375" customFormat="1" ht="12.75" x14ac:dyDescent="0.2">
      <c r="B979" s="479"/>
      <c r="C979" s="474"/>
      <c r="P979" s="476" t="s">
        <v>466</v>
      </c>
      <c r="Q979" s="477" t="s">
        <v>1075</v>
      </c>
    </row>
    <row r="980" spans="2:17" s="375" customFormat="1" ht="12.75" x14ac:dyDescent="0.2">
      <c r="B980" s="479"/>
      <c r="C980" s="474"/>
      <c r="P980" s="476" t="s">
        <v>467</v>
      </c>
      <c r="Q980" s="477" t="s">
        <v>1076</v>
      </c>
    </row>
    <row r="981" spans="2:17" s="375" customFormat="1" ht="12.75" x14ac:dyDescent="0.2">
      <c r="B981" s="479"/>
      <c r="C981" s="474"/>
      <c r="P981" s="476" t="s">
        <v>469</v>
      </c>
      <c r="Q981" s="477" t="s">
        <v>1077</v>
      </c>
    </row>
    <row r="982" spans="2:17" s="375" customFormat="1" ht="12.75" x14ac:dyDescent="0.2">
      <c r="B982" s="479"/>
      <c r="C982" s="474"/>
      <c r="P982" s="476" t="s">
        <v>468</v>
      </c>
      <c r="Q982" s="477" t="s">
        <v>1077</v>
      </c>
    </row>
    <row r="983" spans="2:17" s="375" customFormat="1" ht="12.75" x14ac:dyDescent="0.2">
      <c r="B983" s="479"/>
      <c r="C983" s="474"/>
      <c r="P983" s="476" t="s">
        <v>471</v>
      </c>
      <c r="Q983" s="477" t="s">
        <v>1053</v>
      </c>
    </row>
    <row r="984" spans="2:17" s="375" customFormat="1" ht="12.75" x14ac:dyDescent="0.2">
      <c r="B984" s="479"/>
      <c r="C984" s="474"/>
      <c r="P984" s="476" t="s">
        <v>794</v>
      </c>
      <c r="Q984" s="477" t="s">
        <v>1053</v>
      </c>
    </row>
    <row r="985" spans="2:17" s="375" customFormat="1" ht="12.75" x14ac:dyDescent="0.2">
      <c r="B985" s="479"/>
      <c r="C985" s="474"/>
      <c r="P985" s="476" t="s">
        <v>470</v>
      </c>
      <c r="Q985" s="477" t="s">
        <v>1051</v>
      </c>
    </row>
    <row r="986" spans="2:17" s="375" customFormat="1" ht="12.75" x14ac:dyDescent="0.2">
      <c r="B986" s="479"/>
      <c r="C986" s="474"/>
      <c r="P986" s="476" t="s">
        <v>822</v>
      </c>
      <c r="Q986" s="477" t="s">
        <v>1051</v>
      </c>
    </row>
    <row r="987" spans="2:17" s="375" customFormat="1" ht="12.75" x14ac:dyDescent="0.2">
      <c r="B987" s="479"/>
      <c r="C987" s="474"/>
      <c r="P987" s="476" t="s">
        <v>266</v>
      </c>
      <c r="Q987" s="477" t="s">
        <v>1529</v>
      </c>
    </row>
    <row r="988" spans="2:17" s="375" customFormat="1" ht="12.75" x14ac:dyDescent="0.2">
      <c r="B988" s="479"/>
      <c r="C988" s="474"/>
      <c r="P988" s="476" t="s">
        <v>266</v>
      </c>
      <c r="Q988" s="477" t="s">
        <v>1568</v>
      </c>
    </row>
    <row r="989" spans="2:17" s="375" customFormat="1" ht="12.75" x14ac:dyDescent="0.2">
      <c r="B989" s="479"/>
      <c r="C989" s="474"/>
      <c r="P989" s="476" t="s">
        <v>266</v>
      </c>
      <c r="Q989" s="477" t="s">
        <v>715</v>
      </c>
    </row>
    <row r="990" spans="2:17" s="375" customFormat="1" ht="12.75" x14ac:dyDescent="0.2">
      <c r="B990" s="479"/>
      <c r="C990" s="474"/>
      <c r="P990" s="476" t="s">
        <v>266</v>
      </c>
      <c r="Q990" s="477" t="s">
        <v>1115</v>
      </c>
    </row>
    <row r="991" spans="2:17" s="375" customFormat="1" ht="12.75" x14ac:dyDescent="0.2">
      <c r="B991" s="479"/>
      <c r="C991" s="474"/>
      <c r="P991" s="476" t="s">
        <v>266</v>
      </c>
      <c r="Q991" s="477" t="s">
        <v>947</v>
      </c>
    </row>
    <row r="992" spans="2:17" s="375" customFormat="1" ht="12.75" x14ac:dyDescent="0.2">
      <c r="B992" s="479"/>
      <c r="C992" s="474"/>
      <c r="P992" s="476" t="s">
        <v>266</v>
      </c>
      <c r="Q992" s="477" t="s">
        <v>948</v>
      </c>
    </row>
    <row r="993" spans="2:17" s="375" customFormat="1" ht="12.75" x14ac:dyDescent="0.2">
      <c r="B993" s="479"/>
      <c r="C993" s="474"/>
      <c r="P993" s="476" t="s">
        <v>266</v>
      </c>
      <c r="Q993" s="477" t="s">
        <v>1569</v>
      </c>
    </row>
    <row r="994" spans="2:17" s="375" customFormat="1" ht="12.75" x14ac:dyDescent="0.2">
      <c r="B994" s="479"/>
      <c r="C994" s="474"/>
      <c r="P994" s="476" t="s">
        <v>267</v>
      </c>
      <c r="Q994" s="477" t="s">
        <v>1529</v>
      </c>
    </row>
    <row r="995" spans="2:17" s="375" customFormat="1" ht="12.75" x14ac:dyDescent="0.2">
      <c r="B995" s="479"/>
      <c r="C995" s="474"/>
      <c r="P995" s="476" t="s">
        <v>267</v>
      </c>
      <c r="Q995" s="477" t="s">
        <v>949</v>
      </c>
    </row>
    <row r="996" spans="2:17" s="375" customFormat="1" ht="12.75" x14ac:dyDescent="0.2">
      <c r="B996" s="479"/>
      <c r="C996" s="474"/>
      <c r="P996" s="476" t="s">
        <v>267</v>
      </c>
      <c r="Q996" s="477" t="s">
        <v>1568</v>
      </c>
    </row>
    <row r="997" spans="2:17" s="375" customFormat="1" ht="12.75" x14ac:dyDescent="0.2">
      <c r="B997" s="479"/>
      <c r="C997" s="474"/>
      <c r="P997" s="476" t="s">
        <v>267</v>
      </c>
      <c r="Q997" s="477" t="s">
        <v>715</v>
      </c>
    </row>
    <row r="998" spans="2:17" s="375" customFormat="1" ht="12.75" x14ac:dyDescent="0.2">
      <c r="B998" s="479"/>
      <c r="C998" s="474"/>
      <c r="P998" s="476" t="s">
        <v>267</v>
      </c>
      <c r="Q998" s="477" t="s">
        <v>1115</v>
      </c>
    </row>
    <row r="999" spans="2:17" s="375" customFormat="1" ht="12.75" x14ac:dyDescent="0.2">
      <c r="B999" s="479"/>
      <c r="C999" s="474"/>
      <c r="P999" s="476" t="s">
        <v>267</v>
      </c>
      <c r="Q999" s="477" t="s">
        <v>947</v>
      </c>
    </row>
    <row r="1000" spans="2:17" s="375" customFormat="1" ht="12.75" x14ac:dyDescent="0.2">
      <c r="B1000" s="479"/>
      <c r="C1000" s="474"/>
      <c r="P1000" s="476" t="s">
        <v>267</v>
      </c>
      <c r="Q1000" s="477" t="s">
        <v>948</v>
      </c>
    </row>
    <row r="1001" spans="2:17" s="375" customFormat="1" ht="12.75" x14ac:dyDescent="0.2">
      <c r="B1001" s="479"/>
      <c r="C1001" s="474"/>
      <c r="P1001" s="476" t="s">
        <v>267</v>
      </c>
      <c r="Q1001" s="477" t="s">
        <v>1569</v>
      </c>
    </row>
    <row r="1002" spans="2:17" s="375" customFormat="1" ht="12.75" x14ac:dyDescent="0.2">
      <c r="B1002" s="479"/>
      <c r="C1002" s="474"/>
      <c r="P1002" s="476" t="s">
        <v>476</v>
      </c>
      <c r="Q1002" s="477" t="s">
        <v>1076</v>
      </c>
    </row>
    <row r="1003" spans="2:17" s="375" customFormat="1" ht="12.75" x14ac:dyDescent="0.2">
      <c r="B1003" s="479"/>
      <c r="C1003" s="474"/>
      <c r="P1003" s="476" t="s">
        <v>477</v>
      </c>
      <c r="Q1003" s="477" t="s">
        <v>1079</v>
      </c>
    </row>
    <row r="1004" spans="2:17" s="375" customFormat="1" ht="12.75" x14ac:dyDescent="0.2">
      <c r="B1004" s="479"/>
      <c r="C1004" s="474"/>
      <c r="P1004" s="476" t="s">
        <v>378</v>
      </c>
      <c r="Q1004" s="477" t="s">
        <v>574</v>
      </c>
    </row>
    <row r="1005" spans="2:17" s="375" customFormat="1" ht="12.75" x14ac:dyDescent="0.2">
      <c r="B1005" s="479"/>
      <c r="C1005" s="474"/>
      <c r="P1005" s="476" t="s">
        <v>378</v>
      </c>
      <c r="Q1005" s="477" t="s">
        <v>575</v>
      </c>
    </row>
    <row r="1006" spans="2:17" s="375" customFormat="1" ht="12.75" x14ac:dyDescent="0.2">
      <c r="B1006" s="479"/>
      <c r="C1006" s="474"/>
      <c r="P1006" s="476" t="s">
        <v>378</v>
      </c>
      <c r="Q1006" s="477" t="s">
        <v>868</v>
      </c>
    </row>
    <row r="1007" spans="2:17" s="375" customFormat="1" ht="12.75" x14ac:dyDescent="0.2">
      <c r="B1007" s="479"/>
      <c r="C1007" s="474"/>
      <c r="P1007" s="476" t="s">
        <v>378</v>
      </c>
      <c r="Q1007" s="477" t="s">
        <v>869</v>
      </c>
    </row>
    <row r="1008" spans="2:17" s="375" customFormat="1" ht="12.75" x14ac:dyDescent="0.2">
      <c r="B1008" s="479"/>
      <c r="C1008" s="474"/>
      <c r="P1008" s="476" t="s">
        <v>378</v>
      </c>
      <c r="Q1008" s="477" t="s">
        <v>870</v>
      </c>
    </row>
    <row r="1009" spans="2:17" s="375" customFormat="1" ht="12.75" x14ac:dyDescent="0.2">
      <c r="B1009" s="479"/>
      <c r="C1009" s="474"/>
      <c r="P1009" s="476" t="s">
        <v>378</v>
      </c>
      <c r="Q1009" s="477" t="s">
        <v>871</v>
      </c>
    </row>
    <row r="1010" spans="2:17" s="375" customFormat="1" ht="12.75" x14ac:dyDescent="0.2">
      <c r="B1010" s="479"/>
      <c r="C1010" s="474"/>
      <c r="P1010" s="476" t="s">
        <v>378</v>
      </c>
      <c r="Q1010" s="477" t="s">
        <v>872</v>
      </c>
    </row>
    <row r="1011" spans="2:17" s="375" customFormat="1" ht="12.75" x14ac:dyDescent="0.2">
      <c r="B1011" s="479"/>
      <c r="C1011" s="474"/>
      <c r="P1011" s="476" t="s">
        <v>378</v>
      </c>
      <c r="Q1011" s="477" t="s">
        <v>873</v>
      </c>
    </row>
    <row r="1012" spans="2:17" s="375" customFormat="1" ht="12.75" x14ac:dyDescent="0.2">
      <c r="B1012" s="479"/>
      <c r="C1012" s="474"/>
      <c r="P1012" s="476" t="s">
        <v>378</v>
      </c>
      <c r="Q1012" s="477" t="s">
        <v>874</v>
      </c>
    </row>
    <row r="1013" spans="2:17" s="375" customFormat="1" ht="12.75" x14ac:dyDescent="0.2">
      <c r="B1013" s="479"/>
      <c r="C1013" s="474"/>
      <c r="P1013" s="476" t="s">
        <v>378</v>
      </c>
      <c r="Q1013" s="477" t="s">
        <v>577</v>
      </c>
    </row>
    <row r="1014" spans="2:17" s="375" customFormat="1" ht="12.75" x14ac:dyDescent="0.2">
      <c r="B1014" s="479"/>
      <c r="C1014" s="474"/>
      <c r="P1014" s="476" t="s">
        <v>378</v>
      </c>
      <c r="Q1014" s="477" t="s">
        <v>578</v>
      </c>
    </row>
    <row r="1015" spans="2:17" s="375" customFormat="1" ht="12.75" x14ac:dyDescent="0.2">
      <c r="B1015" s="479"/>
      <c r="C1015" s="474"/>
      <c r="P1015" s="476" t="s">
        <v>378</v>
      </c>
      <c r="Q1015" s="477" t="s">
        <v>1141</v>
      </c>
    </row>
    <row r="1016" spans="2:17" s="375" customFormat="1" ht="12.75" x14ac:dyDescent="0.2">
      <c r="B1016" s="479"/>
      <c r="C1016" s="474"/>
      <c r="P1016" s="476" t="s">
        <v>378</v>
      </c>
      <c r="Q1016" s="477" t="s">
        <v>1142</v>
      </c>
    </row>
    <row r="1017" spans="2:17" s="375" customFormat="1" ht="12.75" x14ac:dyDescent="0.2">
      <c r="B1017" s="479"/>
      <c r="C1017" s="474"/>
      <c r="P1017" s="476" t="s">
        <v>478</v>
      </c>
      <c r="Q1017" s="477" t="s">
        <v>1080</v>
      </c>
    </row>
    <row r="1018" spans="2:17" s="375" customFormat="1" ht="12.75" x14ac:dyDescent="0.2">
      <c r="B1018" s="479"/>
      <c r="C1018" s="474"/>
      <c r="P1018" s="476" t="s">
        <v>182</v>
      </c>
      <c r="Q1018" s="477" t="s">
        <v>182</v>
      </c>
    </row>
    <row r="1019" spans="2:17" s="375" customFormat="1" ht="12.75" x14ac:dyDescent="0.2">
      <c r="B1019" s="479"/>
      <c r="C1019" s="474"/>
      <c r="P1019" s="476" t="s">
        <v>479</v>
      </c>
      <c r="Q1019" s="477" t="s">
        <v>1081</v>
      </c>
    </row>
    <row r="1020" spans="2:17" s="375" customFormat="1" ht="12.75" x14ac:dyDescent="0.2">
      <c r="B1020" s="479"/>
      <c r="C1020" s="474"/>
      <c r="P1020" s="476" t="s">
        <v>268</v>
      </c>
      <c r="Q1020" s="477" t="s">
        <v>635</v>
      </c>
    </row>
    <row r="1021" spans="2:17" s="375" customFormat="1" ht="12.75" x14ac:dyDescent="0.2">
      <c r="B1021" s="479"/>
      <c r="C1021" s="474"/>
      <c r="P1021" s="476" t="s">
        <v>268</v>
      </c>
      <c r="Q1021" s="477" t="s">
        <v>636</v>
      </c>
    </row>
    <row r="1022" spans="2:17" s="375" customFormat="1" ht="12.75" x14ac:dyDescent="0.2">
      <c r="B1022" s="479"/>
      <c r="C1022" s="474"/>
      <c r="P1022" s="476" t="s">
        <v>268</v>
      </c>
      <c r="Q1022" s="477" t="s">
        <v>638</v>
      </c>
    </row>
    <row r="1023" spans="2:17" s="375" customFormat="1" ht="12.75" x14ac:dyDescent="0.2">
      <c r="B1023" s="479"/>
      <c r="C1023" s="474"/>
      <c r="P1023" s="476" t="s">
        <v>269</v>
      </c>
      <c r="Q1023" s="477" t="s">
        <v>635</v>
      </c>
    </row>
    <row r="1024" spans="2:17" s="375" customFormat="1" ht="12.75" x14ac:dyDescent="0.2">
      <c r="B1024" s="479"/>
      <c r="C1024" s="474"/>
      <c r="P1024" s="476" t="s">
        <v>269</v>
      </c>
      <c r="Q1024" s="477" t="s">
        <v>636</v>
      </c>
    </row>
    <row r="1025" spans="2:17" s="375" customFormat="1" ht="12.75" x14ac:dyDescent="0.2">
      <c r="B1025" s="479"/>
      <c r="C1025" s="474"/>
      <c r="P1025" s="476" t="s">
        <v>269</v>
      </c>
      <c r="Q1025" s="477" t="s">
        <v>638</v>
      </c>
    </row>
    <row r="1026" spans="2:17" s="375" customFormat="1" ht="12.75" x14ac:dyDescent="0.2">
      <c r="B1026" s="479"/>
      <c r="C1026" s="474"/>
      <c r="P1026" s="476" t="s">
        <v>795</v>
      </c>
      <c r="Q1026" s="477" t="s">
        <v>1076</v>
      </c>
    </row>
    <row r="1027" spans="2:17" s="375" customFormat="1" ht="12.75" x14ac:dyDescent="0.2">
      <c r="B1027" s="479"/>
      <c r="C1027" s="474"/>
      <c r="P1027" s="476" t="s">
        <v>796</v>
      </c>
      <c r="Q1027" s="477" t="s">
        <v>1076</v>
      </c>
    </row>
    <row r="1028" spans="2:17" s="375" customFormat="1" ht="12.75" x14ac:dyDescent="0.2">
      <c r="B1028" s="479"/>
      <c r="C1028" s="474"/>
      <c r="P1028" s="476" t="s">
        <v>797</v>
      </c>
      <c r="Q1028" s="477" t="s">
        <v>1076</v>
      </c>
    </row>
    <row r="1029" spans="2:17" s="375" customFormat="1" ht="12.75" x14ac:dyDescent="0.2">
      <c r="B1029" s="479"/>
      <c r="C1029" s="474"/>
      <c r="P1029" s="476" t="s">
        <v>480</v>
      </c>
      <c r="Q1029" s="477" t="s">
        <v>1076</v>
      </c>
    </row>
    <row r="1030" spans="2:17" s="375" customFormat="1" ht="12.75" x14ac:dyDescent="0.2">
      <c r="B1030" s="479"/>
      <c r="C1030" s="474"/>
      <c r="P1030" s="476" t="s">
        <v>270</v>
      </c>
      <c r="Q1030" s="477" t="s">
        <v>878</v>
      </c>
    </row>
    <row r="1031" spans="2:17" s="375" customFormat="1" ht="12.75" x14ac:dyDescent="0.2">
      <c r="B1031" s="479"/>
      <c r="C1031" s="474"/>
      <c r="P1031" s="476" t="s">
        <v>270</v>
      </c>
      <c r="Q1031" s="477" t="s">
        <v>1486</v>
      </c>
    </row>
    <row r="1032" spans="2:17" s="375" customFormat="1" ht="12.75" x14ac:dyDescent="0.2">
      <c r="B1032" s="479"/>
      <c r="C1032" s="474"/>
      <c r="P1032" s="476" t="s">
        <v>270</v>
      </c>
      <c r="Q1032" s="477" t="s">
        <v>1570</v>
      </c>
    </row>
    <row r="1033" spans="2:17" s="375" customFormat="1" ht="12.75" x14ac:dyDescent="0.2">
      <c r="B1033" s="479"/>
      <c r="C1033" s="474"/>
      <c r="P1033" s="476" t="s">
        <v>270</v>
      </c>
      <c r="Q1033" s="477" t="s">
        <v>1571</v>
      </c>
    </row>
    <row r="1034" spans="2:17" s="375" customFormat="1" ht="12.75" x14ac:dyDescent="0.2">
      <c r="B1034" s="479"/>
      <c r="C1034" s="474"/>
      <c r="P1034" s="476" t="s">
        <v>270</v>
      </c>
      <c r="Q1034" s="477" t="s">
        <v>1572</v>
      </c>
    </row>
    <row r="1035" spans="2:17" s="375" customFormat="1" ht="12.75" x14ac:dyDescent="0.2">
      <c r="B1035" s="479"/>
      <c r="C1035" s="474"/>
      <c r="P1035" s="476" t="s">
        <v>270</v>
      </c>
      <c r="Q1035" s="477" t="s">
        <v>702</v>
      </c>
    </row>
    <row r="1036" spans="2:17" s="375" customFormat="1" ht="12.75" x14ac:dyDescent="0.2">
      <c r="B1036" s="479"/>
      <c r="C1036" s="474"/>
      <c r="P1036" s="476" t="s">
        <v>270</v>
      </c>
      <c r="Q1036" s="477" t="s">
        <v>704</v>
      </c>
    </row>
    <row r="1037" spans="2:17" s="375" customFormat="1" ht="12.75" x14ac:dyDescent="0.2">
      <c r="B1037" s="479"/>
      <c r="C1037" s="474"/>
      <c r="P1037" s="476" t="s">
        <v>270</v>
      </c>
      <c r="Q1037" s="477" t="s">
        <v>705</v>
      </c>
    </row>
    <row r="1038" spans="2:17" s="375" customFormat="1" ht="12.75" x14ac:dyDescent="0.2">
      <c r="B1038" s="479"/>
      <c r="C1038" s="474"/>
      <c r="P1038" s="476" t="s">
        <v>270</v>
      </c>
      <c r="Q1038" s="477" t="s">
        <v>707</v>
      </c>
    </row>
    <row r="1039" spans="2:17" s="375" customFormat="1" ht="12.75" x14ac:dyDescent="0.2">
      <c r="B1039" s="479"/>
      <c r="C1039" s="474"/>
      <c r="P1039" s="476" t="s">
        <v>270</v>
      </c>
      <c r="Q1039" s="477" t="s">
        <v>709</v>
      </c>
    </row>
    <row r="1040" spans="2:17" s="375" customFormat="1" ht="12.75" x14ac:dyDescent="0.2">
      <c r="B1040" s="479"/>
      <c r="C1040" s="474"/>
      <c r="P1040" s="476" t="s">
        <v>270</v>
      </c>
      <c r="Q1040" s="477" t="s">
        <v>711</v>
      </c>
    </row>
    <row r="1041" spans="2:17" s="375" customFormat="1" ht="12.75" x14ac:dyDescent="0.2">
      <c r="B1041" s="479"/>
      <c r="C1041" s="474"/>
      <c r="P1041" s="476" t="s">
        <v>270</v>
      </c>
      <c r="Q1041" s="477" t="s">
        <v>712</v>
      </c>
    </row>
    <row r="1042" spans="2:17" s="375" customFormat="1" ht="12.75" x14ac:dyDescent="0.2">
      <c r="B1042" s="479"/>
      <c r="C1042" s="474"/>
      <c r="P1042" s="476" t="s">
        <v>270</v>
      </c>
      <c r="Q1042" s="477" t="s">
        <v>713</v>
      </c>
    </row>
    <row r="1043" spans="2:17" s="375" customFormat="1" ht="12.75" x14ac:dyDescent="0.2">
      <c r="B1043" s="479"/>
      <c r="C1043" s="474"/>
      <c r="P1043" s="476" t="s">
        <v>270</v>
      </c>
      <c r="Q1043" s="477" t="s">
        <v>714</v>
      </c>
    </row>
    <row r="1044" spans="2:17" s="375" customFormat="1" ht="12.75" x14ac:dyDescent="0.2">
      <c r="B1044" s="479"/>
      <c r="C1044" s="474"/>
      <c r="P1044" s="476" t="s">
        <v>270</v>
      </c>
      <c r="Q1044" s="477" t="s">
        <v>1569</v>
      </c>
    </row>
    <row r="1045" spans="2:17" s="375" customFormat="1" ht="12.75" x14ac:dyDescent="0.2">
      <c r="B1045" s="479"/>
      <c r="C1045" s="474"/>
      <c r="P1045" s="476" t="s">
        <v>270</v>
      </c>
      <c r="Q1045" s="477" t="s">
        <v>749</v>
      </c>
    </row>
    <row r="1046" spans="2:17" s="375" customFormat="1" ht="12.75" x14ac:dyDescent="0.2">
      <c r="B1046" s="479"/>
      <c r="C1046" s="474"/>
      <c r="P1046" s="476" t="s">
        <v>270</v>
      </c>
      <c r="Q1046" s="477" t="s">
        <v>750</v>
      </c>
    </row>
    <row r="1047" spans="2:17" s="375" customFormat="1" ht="12.75" x14ac:dyDescent="0.2">
      <c r="B1047" s="479"/>
      <c r="C1047" s="474"/>
      <c r="P1047" s="476" t="s">
        <v>270</v>
      </c>
      <c r="Q1047" s="477" t="s">
        <v>751</v>
      </c>
    </row>
    <row r="1048" spans="2:17" s="375" customFormat="1" ht="12.75" x14ac:dyDescent="0.2">
      <c r="B1048" s="479"/>
      <c r="C1048" s="474"/>
      <c r="P1048" s="476" t="s">
        <v>270</v>
      </c>
      <c r="Q1048" s="477" t="s">
        <v>752</v>
      </c>
    </row>
    <row r="1049" spans="2:17" s="375" customFormat="1" ht="12.75" x14ac:dyDescent="0.2">
      <c r="B1049" s="479"/>
      <c r="C1049" s="474"/>
      <c r="P1049" s="476" t="s">
        <v>271</v>
      </c>
      <c r="Q1049" s="477" t="s">
        <v>1573</v>
      </c>
    </row>
    <row r="1050" spans="2:17" s="375" customFormat="1" ht="12.75" x14ac:dyDescent="0.2">
      <c r="B1050" s="479"/>
      <c r="C1050" s="474"/>
      <c r="P1050" s="476" t="s">
        <v>271</v>
      </c>
      <c r="Q1050" s="477" t="s">
        <v>1574</v>
      </c>
    </row>
    <row r="1051" spans="2:17" s="375" customFormat="1" ht="12.75" x14ac:dyDescent="0.2">
      <c r="B1051" s="479"/>
      <c r="C1051" s="474"/>
      <c r="P1051" s="476" t="s">
        <v>271</v>
      </c>
      <c r="Q1051" s="477" t="s">
        <v>1575</v>
      </c>
    </row>
    <row r="1052" spans="2:17" s="375" customFormat="1" ht="12.75" x14ac:dyDescent="0.2">
      <c r="B1052" s="479"/>
      <c r="C1052" s="474"/>
      <c r="P1052" s="476" t="s">
        <v>271</v>
      </c>
      <c r="Q1052" s="477" t="s">
        <v>702</v>
      </c>
    </row>
    <row r="1053" spans="2:17" s="375" customFormat="1" ht="12.75" x14ac:dyDescent="0.2">
      <c r="B1053" s="479"/>
      <c r="C1053" s="474"/>
      <c r="P1053" s="476" t="s">
        <v>271</v>
      </c>
      <c r="Q1053" s="477" t="s">
        <v>704</v>
      </c>
    </row>
    <row r="1054" spans="2:17" s="375" customFormat="1" ht="12.75" x14ac:dyDescent="0.2">
      <c r="B1054" s="479"/>
      <c r="C1054" s="474"/>
      <c r="P1054" s="476" t="s">
        <v>271</v>
      </c>
      <c r="Q1054" s="477" t="s">
        <v>705</v>
      </c>
    </row>
    <row r="1055" spans="2:17" s="375" customFormat="1" ht="12.75" x14ac:dyDescent="0.2">
      <c r="B1055" s="479"/>
      <c r="C1055" s="474"/>
      <c r="P1055" s="476" t="s">
        <v>271</v>
      </c>
      <c r="Q1055" s="477" t="s">
        <v>707</v>
      </c>
    </row>
    <row r="1056" spans="2:17" s="375" customFormat="1" ht="12.75" x14ac:dyDescent="0.2">
      <c r="B1056" s="479"/>
      <c r="C1056" s="474"/>
      <c r="P1056" s="476" t="s">
        <v>271</v>
      </c>
      <c r="Q1056" s="477" t="s">
        <v>708</v>
      </c>
    </row>
    <row r="1057" spans="2:17" s="375" customFormat="1" ht="12.75" x14ac:dyDescent="0.2">
      <c r="B1057" s="479"/>
      <c r="C1057" s="474"/>
      <c r="P1057" s="476" t="s">
        <v>271</v>
      </c>
      <c r="Q1057" s="477" t="s">
        <v>709</v>
      </c>
    </row>
    <row r="1058" spans="2:17" s="375" customFormat="1" ht="12.75" x14ac:dyDescent="0.2">
      <c r="B1058" s="479"/>
      <c r="C1058" s="474"/>
      <c r="P1058" s="476" t="s">
        <v>271</v>
      </c>
      <c r="Q1058" s="477" t="s">
        <v>711</v>
      </c>
    </row>
    <row r="1059" spans="2:17" s="375" customFormat="1" ht="12.75" x14ac:dyDescent="0.2">
      <c r="B1059" s="479"/>
      <c r="C1059" s="474"/>
      <c r="P1059" s="476" t="s">
        <v>271</v>
      </c>
      <c r="Q1059" s="477" t="s">
        <v>712</v>
      </c>
    </row>
    <row r="1060" spans="2:17" s="375" customFormat="1" ht="12.75" x14ac:dyDescent="0.2">
      <c r="B1060" s="479"/>
      <c r="C1060" s="474"/>
      <c r="P1060" s="476" t="s">
        <v>271</v>
      </c>
      <c r="Q1060" s="477" t="s">
        <v>713</v>
      </c>
    </row>
    <row r="1061" spans="2:17" s="375" customFormat="1" ht="12.75" x14ac:dyDescent="0.2">
      <c r="B1061" s="479"/>
      <c r="C1061" s="474"/>
      <c r="P1061" s="476" t="s">
        <v>271</v>
      </c>
      <c r="Q1061" s="477" t="s">
        <v>714</v>
      </c>
    </row>
    <row r="1062" spans="2:17" s="375" customFormat="1" ht="12.75" x14ac:dyDescent="0.2">
      <c r="B1062" s="479"/>
      <c r="C1062" s="474"/>
      <c r="P1062" s="476" t="s">
        <v>271</v>
      </c>
      <c r="Q1062" s="477" t="s">
        <v>1493</v>
      </c>
    </row>
    <row r="1063" spans="2:17" s="375" customFormat="1" ht="12.75" x14ac:dyDescent="0.2">
      <c r="B1063" s="479"/>
      <c r="C1063" s="474"/>
      <c r="P1063" s="476" t="s">
        <v>271</v>
      </c>
      <c r="Q1063" s="477" t="s">
        <v>1494</v>
      </c>
    </row>
    <row r="1064" spans="2:17" s="375" customFormat="1" ht="12.75" x14ac:dyDescent="0.2">
      <c r="B1064" s="479"/>
      <c r="C1064" s="474"/>
      <c r="P1064" s="476" t="s">
        <v>271</v>
      </c>
      <c r="Q1064" s="477" t="s">
        <v>1576</v>
      </c>
    </row>
    <row r="1065" spans="2:17" s="375" customFormat="1" ht="12.75" x14ac:dyDescent="0.2">
      <c r="B1065" s="479"/>
      <c r="C1065" s="474"/>
      <c r="P1065" s="476" t="s">
        <v>271</v>
      </c>
      <c r="Q1065" s="477" t="s">
        <v>1577</v>
      </c>
    </row>
    <row r="1066" spans="2:17" s="375" customFormat="1" ht="12.75" x14ac:dyDescent="0.2">
      <c r="B1066" s="479"/>
      <c r="C1066" s="474"/>
      <c r="P1066" s="476" t="s">
        <v>271</v>
      </c>
      <c r="Q1066" s="477" t="s">
        <v>1578</v>
      </c>
    </row>
    <row r="1067" spans="2:17" s="375" customFormat="1" ht="12.75" x14ac:dyDescent="0.2">
      <c r="B1067" s="479"/>
      <c r="C1067" s="474"/>
      <c r="P1067" s="476" t="s">
        <v>271</v>
      </c>
      <c r="Q1067" s="477" t="s">
        <v>1569</v>
      </c>
    </row>
    <row r="1068" spans="2:17" s="375" customFormat="1" ht="12.75" x14ac:dyDescent="0.2">
      <c r="B1068" s="479"/>
      <c r="C1068" s="474"/>
      <c r="P1068" s="476" t="s">
        <v>271</v>
      </c>
      <c r="Q1068" s="477" t="s">
        <v>1498</v>
      </c>
    </row>
    <row r="1069" spans="2:17" s="375" customFormat="1" ht="12.75" x14ac:dyDescent="0.2">
      <c r="B1069" s="479"/>
      <c r="C1069" s="474"/>
      <c r="P1069" s="476" t="s">
        <v>271</v>
      </c>
      <c r="Q1069" s="477" t="s">
        <v>1499</v>
      </c>
    </row>
    <row r="1070" spans="2:17" s="375" customFormat="1" ht="12.75" x14ac:dyDescent="0.2">
      <c r="B1070" s="479"/>
      <c r="C1070" s="474"/>
      <c r="P1070" s="476" t="s">
        <v>379</v>
      </c>
      <c r="Q1070" s="477" t="s">
        <v>646</v>
      </c>
    </row>
    <row r="1071" spans="2:17" s="375" customFormat="1" ht="12.75" x14ac:dyDescent="0.2">
      <c r="B1071" s="479"/>
      <c r="C1071" s="474"/>
      <c r="P1071" s="476" t="s">
        <v>380</v>
      </c>
      <c r="Q1071" s="477" t="s">
        <v>599</v>
      </c>
    </row>
    <row r="1072" spans="2:17" s="375" customFormat="1" ht="12.75" x14ac:dyDescent="0.2">
      <c r="B1072" s="479"/>
      <c r="C1072" s="474"/>
      <c r="P1072" s="476" t="s">
        <v>380</v>
      </c>
      <c r="Q1072" s="477" t="s">
        <v>875</v>
      </c>
    </row>
    <row r="1073" spans="2:17" s="375" customFormat="1" ht="12.75" x14ac:dyDescent="0.2">
      <c r="B1073" s="479"/>
      <c r="C1073" s="474"/>
      <c r="P1073" s="476" t="s">
        <v>380</v>
      </c>
      <c r="Q1073" s="477" t="s">
        <v>657</v>
      </c>
    </row>
    <row r="1074" spans="2:17" s="375" customFormat="1" ht="12.75" x14ac:dyDescent="0.2">
      <c r="B1074" s="479"/>
      <c r="C1074" s="474"/>
      <c r="P1074" s="476" t="s">
        <v>381</v>
      </c>
      <c r="Q1074" s="477" t="s">
        <v>583</v>
      </c>
    </row>
    <row r="1075" spans="2:17" s="375" customFormat="1" ht="12.75" x14ac:dyDescent="0.2">
      <c r="B1075" s="479"/>
      <c r="C1075" s="474"/>
      <c r="P1075" s="476" t="s">
        <v>381</v>
      </c>
      <c r="Q1075" s="477" t="s">
        <v>599</v>
      </c>
    </row>
    <row r="1076" spans="2:17" s="375" customFormat="1" ht="12.75" x14ac:dyDescent="0.2">
      <c r="B1076" s="479"/>
      <c r="C1076" s="474"/>
      <c r="P1076" s="476" t="s">
        <v>381</v>
      </c>
      <c r="Q1076" s="477" t="s">
        <v>875</v>
      </c>
    </row>
    <row r="1077" spans="2:17" s="375" customFormat="1" ht="12.75" x14ac:dyDescent="0.2">
      <c r="B1077" s="479"/>
      <c r="C1077" s="474"/>
      <c r="P1077" s="476" t="s">
        <v>381</v>
      </c>
      <c r="Q1077" s="477" t="s">
        <v>657</v>
      </c>
    </row>
    <row r="1078" spans="2:17" s="375" customFormat="1" ht="12.75" x14ac:dyDescent="0.2">
      <c r="B1078" s="479"/>
      <c r="C1078" s="474"/>
      <c r="P1078" s="476" t="s">
        <v>381</v>
      </c>
      <c r="Q1078" s="477" t="s">
        <v>725</v>
      </c>
    </row>
    <row r="1079" spans="2:17" s="375" customFormat="1" ht="12.75" x14ac:dyDescent="0.2">
      <c r="B1079" s="479"/>
      <c r="C1079" s="474"/>
      <c r="P1079" s="476" t="s">
        <v>272</v>
      </c>
      <c r="Q1079" s="477" t="s">
        <v>572</v>
      </c>
    </row>
    <row r="1080" spans="2:17" s="375" customFormat="1" ht="12.75" x14ac:dyDescent="0.2">
      <c r="B1080" s="479"/>
      <c r="C1080" s="474"/>
      <c r="P1080" s="476" t="s">
        <v>272</v>
      </c>
      <c r="Q1080" s="477" t="s">
        <v>642</v>
      </c>
    </row>
    <row r="1081" spans="2:17" s="375" customFormat="1" ht="12.75" x14ac:dyDescent="0.2">
      <c r="B1081" s="479"/>
      <c r="C1081" s="474"/>
      <c r="P1081" s="476" t="s">
        <v>272</v>
      </c>
      <c r="Q1081" s="477" t="s">
        <v>174</v>
      </c>
    </row>
    <row r="1082" spans="2:17" s="375" customFormat="1" ht="12.75" x14ac:dyDescent="0.2">
      <c r="B1082" s="479"/>
      <c r="C1082" s="474"/>
      <c r="P1082" s="476" t="s">
        <v>272</v>
      </c>
      <c r="Q1082" s="477" t="s">
        <v>646</v>
      </c>
    </row>
    <row r="1083" spans="2:17" s="375" customFormat="1" ht="12.75" x14ac:dyDescent="0.2">
      <c r="B1083" s="479"/>
      <c r="C1083" s="474"/>
      <c r="P1083" s="476" t="s">
        <v>273</v>
      </c>
      <c r="Q1083" s="477" t="s">
        <v>1500</v>
      </c>
    </row>
    <row r="1084" spans="2:17" s="375" customFormat="1" ht="12.75" x14ac:dyDescent="0.2">
      <c r="B1084" s="479"/>
      <c r="C1084" s="474"/>
      <c r="P1084" s="476" t="s">
        <v>273</v>
      </c>
      <c r="Q1084" s="477" t="s">
        <v>1501</v>
      </c>
    </row>
    <row r="1085" spans="2:17" s="375" customFormat="1" ht="12.75" x14ac:dyDescent="0.2">
      <c r="B1085" s="479"/>
      <c r="C1085" s="474"/>
      <c r="P1085" s="476" t="s">
        <v>273</v>
      </c>
      <c r="Q1085" s="477" t="s">
        <v>1502</v>
      </c>
    </row>
    <row r="1086" spans="2:17" s="375" customFormat="1" ht="12.75" x14ac:dyDescent="0.2">
      <c r="B1086" s="479"/>
      <c r="C1086" s="474"/>
      <c r="P1086" s="476" t="s">
        <v>273</v>
      </c>
      <c r="Q1086" s="477" t="s">
        <v>1503</v>
      </c>
    </row>
    <row r="1087" spans="2:17" s="375" customFormat="1" ht="12.75" x14ac:dyDescent="0.2">
      <c r="B1087" s="479"/>
      <c r="C1087" s="474"/>
      <c r="P1087" s="476" t="s">
        <v>273</v>
      </c>
      <c r="Q1087" s="477" t="s">
        <v>1504</v>
      </c>
    </row>
    <row r="1088" spans="2:17" s="375" customFormat="1" ht="12.75" x14ac:dyDescent="0.2">
      <c r="B1088" s="479"/>
      <c r="C1088" s="474"/>
      <c r="P1088" s="476" t="s">
        <v>273</v>
      </c>
      <c r="Q1088" s="477" t="s">
        <v>1505</v>
      </c>
    </row>
    <row r="1089" spans="2:17" s="375" customFormat="1" ht="12.75" x14ac:dyDescent="0.2">
      <c r="B1089" s="479"/>
      <c r="C1089" s="474"/>
      <c r="P1089" s="476" t="s">
        <v>273</v>
      </c>
      <c r="Q1089" s="477" t="s">
        <v>771</v>
      </c>
    </row>
    <row r="1090" spans="2:17" s="375" customFormat="1" ht="12.75" x14ac:dyDescent="0.2">
      <c r="B1090" s="479"/>
      <c r="C1090" s="474"/>
      <c r="P1090" s="476" t="s">
        <v>273</v>
      </c>
      <c r="Q1090" s="477" t="s">
        <v>950</v>
      </c>
    </row>
    <row r="1091" spans="2:17" s="375" customFormat="1" ht="12.75" x14ac:dyDescent="0.2">
      <c r="B1091" s="479"/>
      <c r="C1091" s="474"/>
      <c r="P1091" s="476" t="s">
        <v>273</v>
      </c>
      <c r="Q1091" s="477" t="s">
        <v>1427</v>
      </c>
    </row>
    <row r="1092" spans="2:17" s="375" customFormat="1" ht="12.75" x14ac:dyDescent="0.2">
      <c r="B1092" s="479"/>
      <c r="C1092" s="474"/>
      <c r="P1092" s="476" t="s">
        <v>273</v>
      </c>
      <c r="Q1092" s="477" t="s">
        <v>772</v>
      </c>
    </row>
    <row r="1093" spans="2:17" s="375" customFormat="1" ht="12.75" x14ac:dyDescent="0.2">
      <c r="B1093" s="479"/>
      <c r="C1093" s="474"/>
      <c r="P1093" s="476" t="s">
        <v>273</v>
      </c>
      <c r="Q1093" s="477" t="s">
        <v>951</v>
      </c>
    </row>
    <row r="1094" spans="2:17" s="375" customFormat="1" ht="12.75" x14ac:dyDescent="0.2">
      <c r="B1094" s="479"/>
      <c r="C1094" s="474"/>
      <c r="P1094" s="476" t="s">
        <v>273</v>
      </c>
      <c r="Q1094" s="477" t="s">
        <v>952</v>
      </c>
    </row>
    <row r="1095" spans="2:17" s="375" customFormat="1" ht="12.75" x14ac:dyDescent="0.2">
      <c r="B1095" s="479"/>
      <c r="C1095" s="474"/>
      <c r="P1095" s="476" t="s">
        <v>273</v>
      </c>
      <c r="Q1095" s="477" t="s">
        <v>953</v>
      </c>
    </row>
    <row r="1096" spans="2:17" s="375" customFormat="1" ht="12.75" x14ac:dyDescent="0.2">
      <c r="B1096" s="479"/>
      <c r="C1096" s="474"/>
      <c r="P1096" s="476" t="s">
        <v>273</v>
      </c>
      <c r="Q1096" s="477" t="s">
        <v>954</v>
      </c>
    </row>
    <row r="1097" spans="2:17" s="375" customFormat="1" ht="12.75" x14ac:dyDescent="0.2">
      <c r="B1097" s="479"/>
      <c r="C1097" s="474"/>
      <c r="P1097" s="476" t="s">
        <v>273</v>
      </c>
      <c r="Q1097" s="477" t="s">
        <v>955</v>
      </c>
    </row>
    <row r="1098" spans="2:17" s="375" customFormat="1" ht="12.75" x14ac:dyDescent="0.2">
      <c r="B1098" s="479"/>
      <c r="C1098" s="474"/>
      <c r="P1098" s="476" t="s">
        <v>273</v>
      </c>
      <c r="Q1098" s="477" t="s">
        <v>773</v>
      </c>
    </row>
    <row r="1099" spans="2:17" s="375" customFormat="1" ht="12.75" x14ac:dyDescent="0.2">
      <c r="B1099" s="479"/>
      <c r="C1099" s="474"/>
      <c r="P1099" s="476" t="s">
        <v>273</v>
      </c>
      <c r="Q1099" s="477" t="s">
        <v>193</v>
      </c>
    </row>
    <row r="1100" spans="2:17" s="375" customFormat="1" ht="12.75" x14ac:dyDescent="0.2">
      <c r="B1100" s="479"/>
      <c r="C1100" s="474"/>
      <c r="P1100" s="476" t="s">
        <v>273</v>
      </c>
      <c r="Q1100" s="477" t="s">
        <v>956</v>
      </c>
    </row>
    <row r="1101" spans="2:17" s="375" customFormat="1" ht="12.75" x14ac:dyDescent="0.2">
      <c r="B1101" s="479"/>
      <c r="C1101" s="474"/>
      <c r="P1101" s="476" t="s">
        <v>273</v>
      </c>
      <c r="Q1101" s="477" t="s">
        <v>957</v>
      </c>
    </row>
    <row r="1102" spans="2:17" s="375" customFormat="1" ht="12.75" x14ac:dyDescent="0.2">
      <c r="B1102" s="479"/>
      <c r="C1102" s="474"/>
      <c r="P1102" s="476" t="s">
        <v>273</v>
      </c>
      <c r="Q1102" s="477" t="s">
        <v>958</v>
      </c>
    </row>
    <row r="1103" spans="2:17" s="375" customFormat="1" ht="12.75" x14ac:dyDescent="0.2">
      <c r="B1103" s="479"/>
      <c r="C1103" s="474"/>
      <c r="P1103" s="476" t="s">
        <v>273</v>
      </c>
      <c r="Q1103" s="477" t="s">
        <v>1579</v>
      </c>
    </row>
    <row r="1104" spans="2:17" s="375" customFormat="1" ht="12.75" x14ac:dyDescent="0.2">
      <c r="B1104" s="479"/>
      <c r="C1104" s="474"/>
      <c r="P1104" s="476" t="s">
        <v>273</v>
      </c>
      <c r="Q1104" s="477" t="s">
        <v>1580</v>
      </c>
    </row>
    <row r="1105" spans="2:17" s="375" customFormat="1" ht="12.75" x14ac:dyDescent="0.2">
      <c r="B1105" s="479"/>
      <c r="C1105" s="474"/>
      <c r="P1105" s="476" t="s">
        <v>273</v>
      </c>
      <c r="Q1105" s="477" t="s">
        <v>1581</v>
      </c>
    </row>
    <row r="1106" spans="2:17" s="375" customFormat="1" ht="12.75" x14ac:dyDescent="0.2">
      <c r="B1106" s="479"/>
      <c r="C1106" s="474"/>
      <c r="P1106" s="476" t="s">
        <v>273</v>
      </c>
      <c r="Q1106" s="477" t="s">
        <v>1582</v>
      </c>
    </row>
    <row r="1107" spans="2:17" s="375" customFormat="1" ht="12.75" x14ac:dyDescent="0.2">
      <c r="B1107" s="479"/>
      <c r="C1107" s="474"/>
      <c r="P1107" s="476" t="s">
        <v>274</v>
      </c>
      <c r="Q1107" s="477" t="s">
        <v>1583</v>
      </c>
    </row>
    <row r="1108" spans="2:17" s="375" customFormat="1" ht="12.75" x14ac:dyDescent="0.2">
      <c r="B1108" s="479"/>
      <c r="C1108" s="474"/>
      <c r="P1108" s="476" t="s">
        <v>274</v>
      </c>
      <c r="Q1108" s="477" t="s">
        <v>1506</v>
      </c>
    </row>
    <row r="1109" spans="2:17" s="375" customFormat="1" ht="12.75" x14ac:dyDescent="0.2">
      <c r="B1109" s="479"/>
      <c r="C1109" s="474"/>
      <c r="P1109" s="476" t="s">
        <v>274</v>
      </c>
      <c r="Q1109" s="477" t="s">
        <v>1584</v>
      </c>
    </row>
    <row r="1110" spans="2:17" s="375" customFormat="1" ht="12.75" x14ac:dyDescent="0.2">
      <c r="B1110" s="479"/>
      <c r="C1110" s="474"/>
      <c r="P1110" s="476" t="s">
        <v>274</v>
      </c>
      <c r="Q1110" s="477" t="s">
        <v>1507</v>
      </c>
    </row>
    <row r="1111" spans="2:17" s="375" customFormat="1" ht="12.75" x14ac:dyDescent="0.2">
      <c r="B1111" s="479"/>
      <c r="C1111" s="474"/>
      <c r="P1111" s="476" t="s">
        <v>274</v>
      </c>
      <c r="Q1111" s="477" t="s">
        <v>1585</v>
      </c>
    </row>
    <row r="1112" spans="2:17" s="375" customFormat="1" ht="12.75" x14ac:dyDescent="0.2">
      <c r="B1112" s="479"/>
      <c r="C1112" s="474"/>
      <c r="P1112" s="476" t="s">
        <v>274</v>
      </c>
      <c r="Q1112" s="477" t="s">
        <v>1508</v>
      </c>
    </row>
    <row r="1113" spans="2:17" s="375" customFormat="1" ht="12.75" x14ac:dyDescent="0.2">
      <c r="B1113" s="479"/>
      <c r="C1113" s="474"/>
      <c r="P1113" s="476" t="s">
        <v>274</v>
      </c>
      <c r="Q1113" s="477" t="s">
        <v>1586</v>
      </c>
    </row>
    <row r="1114" spans="2:17" s="375" customFormat="1" ht="12.75" x14ac:dyDescent="0.2">
      <c r="B1114" s="479"/>
      <c r="C1114" s="474"/>
      <c r="P1114" s="476" t="s">
        <v>274</v>
      </c>
      <c r="Q1114" s="477" t="s">
        <v>1587</v>
      </c>
    </row>
    <row r="1115" spans="2:17" s="375" customFormat="1" ht="12.75" x14ac:dyDescent="0.2">
      <c r="B1115" s="479"/>
      <c r="C1115" s="474"/>
      <c r="P1115" s="476" t="s">
        <v>274</v>
      </c>
      <c r="Q1115" s="477" t="s">
        <v>1509</v>
      </c>
    </row>
    <row r="1116" spans="2:17" s="375" customFormat="1" ht="12.75" x14ac:dyDescent="0.2">
      <c r="B1116" s="479"/>
      <c r="C1116" s="474"/>
      <c r="P1116" s="476" t="s">
        <v>274</v>
      </c>
      <c r="Q1116" s="477" t="s">
        <v>1588</v>
      </c>
    </row>
    <row r="1117" spans="2:17" s="375" customFormat="1" ht="12.75" x14ac:dyDescent="0.2">
      <c r="B1117" s="479"/>
      <c r="C1117" s="474"/>
      <c r="P1117" s="476" t="s">
        <v>274</v>
      </c>
      <c r="Q1117" s="477" t="s">
        <v>1589</v>
      </c>
    </row>
    <row r="1118" spans="2:17" s="375" customFormat="1" ht="12.75" x14ac:dyDescent="0.2">
      <c r="B1118" s="479"/>
      <c r="C1118" s="474"/>
      <c r="P1118" s="476" t="s">
        <v>274</v>
      </c>
      <c r="Q1118" s="477" t="s">
        <v>1590</v>
      </c>
    </row>
    <row r="1119" spans="2:17" s="375" customFormat="1" ht="12.75" x14ac:dyDescent="0.2">
      <c r="B1119" s="479"/>
      <c r="C1119" s="474"/>
      <c r="P1119" s="476" t="s">
        <v>274</v>
      </c>
      <c r="Q1119" s="477" t="s">
        <v>771</v>
      </c>
    </row>
    <row r="1120" spans="2:17" s="375" customFormat="1" ht="12.75" x14ac:dyDescent="0.2">
      <c r="B1120" s="479"/>
      <c r="C1120" s="474"/>
      <c r="P1120" s="476" t="s">
        <v>274</v>
      </c>
      <c r="Q1120" s="477" t="s">
        <v>950</v>
      </c>
    </row>
    <row r="1121" spans="2:17" s="375" customFormat="1" ht="12.75" x14ac:dyDescent="0.2">
      <c r="B1121" s="479"/>
      <c r="C1121" s="474"/>
      <c r="P1121" s="476" t="s">
        <v>274</v>
      </c>
      <c r="Q1121" s="477" t="s">
        <v>1427</v>
      </c>
    </row>
    <row r="1122" spans="2:17" s="375" customFormat="1" ht="12.75" x14ac:dyDescent="0.2">
      <c r="B1122" s="479"/>
      <c r="C1122" s="474"/>
      <c r="P1122" s="476" t="s">
        <v>274</v>
      </c>
      <c r="Q1122" s="477" t="s">
        <v>772</v>
      </c>
    </row>
    <row r="1123" spans="2:17" s="375" customFormat="1" ht="12.75" x14ac:dyDescent="0.2">
      <c r="B1123" s="479"/>
      <c r="C1123" s="474"/>
      <c r="P1123" s="476" t="s">
        <v>274</v>
      </c>
      <c r="Q1123" s="477" t="s">
        <v>951</v>
      </c>
    </row>
    <row r="1124" spans="2:17" s="375" customFormat="1" ht="12.75" x14ac:dyDescent="0.2">
      <c r="B1124" s="479"/>
      <c r="C1124" s="474"/>
      <c r="P1124" s="476" t="s">
        <v>274</v>
      </c>
      <c r="Q1124" s="477" t="s">
        <v>952</v>
      </c>
    </row>
    <row r="1125" spans="2:17" s="375" customFormat="1" ht="12.75" x14ac:dyDescent="0.2">
      <c r="B1125" s="479"/>
      <c r="C1125" s="474"/>
      <c r="P1125" s="476" t="s">
        <v>274</v>
      </c>
      <c r="Q1125" s="477" t="s">
        <v>953</v>
      </c>
    </row>
    <row r="1126" spans="2:17" s="375" customFormat="1" ht="12.75" x14ac:dyDescent="0.2">
      <c r="B1126" s="479"/>
      <c r="C1126" s="474"/>
      <c r="P1126" s="476" t="s">
        <v>274</v>
      </c>
      <c r="Q1126" s="477" t="s">
        <v>954</v>
      </c>
    </row>
    <row r="1127" spans="2:17" s="375" customFormat="1" ht="12.75" x14ac:dyDescent="0.2">
      <c r="B1127" s="479"/>
      <c r="C1127" s="474"/>
      <c r="P1127" s="476" t="s">
        <v>274</v>
      </c>
      <c r="Q1127" s="477" t="s">
        <v>955</v>
      </c>
    </row>
    <row r="1128" spans="2:17" s="375" customFormat="1" ht="12.75" x14ac:dyDescent="0.2">
      <c r="B1128" s="479"/>
      <c r="C1128" s="474"/>
      <c r="P1128" s="476" t="s">
        <v>274</v>
      </c>
      <c r="Q1128" s="477" t="s">
        <v>773</v>
      </c>
    </row>
    <row r="1129" spans="2:17" s="375" customFormat="1" ht="12.75" x14ac:dyDescent="0.2">
      <c r="B1129" s="479"/>
      <c r="C1129" s="474"/>
      <c r="P1129" s="476" t="s">
        <v>274</v>
      </c>
      <c r="Q1129" s="477" t="s">
        <v>193</v>
      </c>
    </row>
    <row r="1130" spans="2:17" s="375" customFormat="1" ht="12.75" x14ac:dyDescent="0.2">
      <c r="B1130" s="479"/>
      <c r="C1130" s="474"/>
      <c r="P1130" s="476" t="s">
        <v>274</v>
      </c>
      <c r="Q1130" s="477" t="s">
        <v>956</v>
      </c>
    </row>
    <row r="1131" spans="2:17" s="375" customFormat="1" ht="12.75" x14ac:dyDescent="0.2">
      <c r="B1131" s="479"/>
      <c r="C1131" s="474"/>
      <c r="P1131" s="476" t="s">
        <v>274</v>
      </c>
      <c r="Q1131" s="477" t="s">
        <v>957</v>
      </c>
    </row>
    <row r="1132" spans="2:17" s="375" customFormat="1" ht="12.75" x14ac:dyDescent="0.2">
      <c r="B1132" s="479"/>
      <c r="C1132" s="474"/>
      <c r="P1132" s="476" t="s">
        <v>274</v>
      </c>
      <c r="Q1132" s="477" t="s">
        <v>958</v>
      </c>
    </row>
    <row r="1133" spans="2:17" s="375" customFormat="1" ht="12.75" x14ac:dyDescent="0.2">
      <c r="B1133" s="479"/>
      <c r="C1133" s="474"/>
      <c r="P1133" s="476" t="s">
        <v>274</v>
      </c>
      <c r="Q1133" s="477" t="s">
        <v>195</v>
      </c>
    </row>
    <row r="1134" spans="2:17" s="375" customFormat="1" ht="12.75" x14ac:dyDescent="0.2">
      <c r="B1134" s="479"/>
      <c r="C1134" s="474"/>
      <c r="P1134" s="476" t="s">
        <v>274</v>
      </c>
      <c r="Q1134" s="477" t="s">
        <v>959</v>
      </c>
    </row>
    <row r="1135" spans="2:17" s="375" customFormat="1" ht="12.75" x14ac:dyDescent="0.2">
      <c r="B1135" s="479"/>
      <c r="C1135" s="474"/>
      <c r="P1135" s="476" t="s">
        <v>274</v>
      </c>
      <c r="Q1135" s="477" t="s">
        <v>1420</v>
      </c>
    </row>
    <row r="1136" spans="2:17" s="375" customFormat="1" ht="12.75" x14ac:dyDescent="0.2">
      <c r="B1136" s="479"/>
      <c r="C1136" s="474"/>
      <c r="P1136" s="476" t="s">
        <v>274</v>
      </c>
      <c r="Q1136" s="477" t="s">
        <v>775</v>
      </c>
    </row>
    <row r="1137" spans="2:17" s="375" customFormat="1" ht="12.75" x14ac:dyDescent="0.2">
      <c r="B1137" s="479"/>
      <c r="C1137" s="474"/>
      <c r="P1137" s="476" t="s">
        <v>274</v>
      </c>
      <c r="Q1137" s="477" t="s">
        <v>960</v>
      </c>
    </row>
    <row r="1138" spans="2:17" s="375" customFormat="1" ht="12.75" x14ac:dyDescent="0.2">
      <c r="B1138" s="479"/>
      <c r="C1138" s="474"/>
      <c r="P1138" s="476" t="s">
        <v>274</v>
      </c>
      <c r="Q1138" s="477" t="s">
        <v>961</v>
      </c>
    </row>
    <row r="1139" spans="2:17" s="375" customFormat="1" ht="12.75" x14ac:dyDescent="0.2">
      <c r="B1139" s="479"/>
      <c r="C1139" s="474"/>
      <c r="P1139" s="476" t="s">
        <v>274</v>
      </c>
      <c r="Q1139" s="477" t="s">
        <v>962</v>
      </c>
    </row>
    <row r="1140" spans="2:17" s="375" customFormat="1" ht="12.75" x14ac:dyDescent="0.2">
      <c r="B1140" s="479"/>
      <c r="C1140" s="474"/>
      <c r="P1140" s="476" t="s">
        <v>274</v>
      </c>
      <c r="Q1140" s="477" t="s">
        <v>963</v>
      </c>
    </row>
    <row r="1141" spans="2:17" s="375" customFormat="1" ht="12.75" x14ac:dyDescent="0.2">
      <c r="B1141" s="479"/>
      <c r="C1141" s="474"/>
      <c r="P1141" s="476" t="s">
        <v>274</v>
      </c>
      <c r="Q1141" s="477" t="s">
        <v>964</v>
      </c>
    </row>
    <row r="1142" spans="2:17" s="375" customFormat="1" ht="12.75" x14ac:dyDescent="0.2">
      <c r="B1142" s="479"/>
      <c r="C1142" s="474"/>
      <c r="P1142" s="476" t="s">
        <v>274</v>
      </c>
      <c r="Q1142" s="477" t="s">
        <v>776</v>
      </c>
    </row>
    <row r="1143" spans="2:17" s="375" customFormat="1" ht="12.75" x14ac:dyDescent="0.2">
      <c r="B1143" s="479"/>
      <c r="C1143" s="474"/>
      <c r="P1143" s="476" t="s">
        <v>274</v>
      </c>
      <c r="Q1143" s="477" t="s">
        <v>777</v>
      </c>
    </row>
    <row r="1144" spans="2:17" s="375" customFormat="1" ht="12.75" x14ac:dyDescent="0.2">
      <c r="B1144" s="479"/>
      <c r="C1144" s="474"/>
      <c r="P1144" s="476" t="s">
        <v>274</v>
      </c>
      <c r="Q1144" s="477" t="s">
        <v>965</v>
      </c>
    </row>
    <row r="1145" spans="2:17" s="375" customFormat="1" ht="12.75" x14ac:dyDescent="0.2">
      <c r="B1145" s="479"/>
      <c r="C1145" s="474"/>
      <c r="P1145" s="476" t="s">
        <v>274</v>
      </c>
      <c r="Q1145" s="477" t="s">
        <v>966</v>
      </c>
    </row>
    <row r="1146" spans="2:17" s="375" customFormat="1" ht="12.75" x14ac:dyDescent="0.2">
      <c r="B1146" s="479"/>
      <c r="C1146" s="474"/>
      <c r="P1146" s="476" t="s">
        <v>274</v>
      </c>
      <c r="Q1146" s="477" t="s">
        <v>967</v>
      </c>
    </row>
    <row r="1147" spans="2:17" s="375" customFormat="1" ht="12.75" x14ac:dyDescent="0.2">
      <c r="B1147" s="479"/>
      <c r="C1147" s="474"/>
      <c r="P1147" s="476" t="s">
        <v>481</v>
      </c>
      <c r="Q1147" s="477" t="s">
        <v>1082</v>
      </c>
    </row>
    <row r="1148" spans="2:17" s="375" customFormat="1" ht="12.75" x14ac:dyDescent="0.2">
      <c r="B1148" s="479"/>
      <c r="C1148" s="474"/>
      <c r="P1148" s="476" t="s">
        <v>279</v>
      </c>
      <c r="Q1148" s="477" t="s">
        <v>754</v>
      </c>
    </row>
    <row r="1149" spans="2:17" s="375" customFormat="1" ht="12.75" x14ac:dyDescent="0.2">
      <c r="B1149" s="479"/>
      <c r="C1149" s="474"/>
      <c r="P1149" s="476" t="s">
        <v>280</v>
      </c>
      <c r="Q1149" s="477" t="s">
        <v>744</v>
      </c>
    </row>
    <row r="1150" spans="2:17" s="375" customFormat="1" ht="12.75" x14ac:dyDescent="0.2">
      <c r="B1150" s="479"/>
      <c r="C1150" s="474"/>
      <c r="P1150" s="476" t="s">
        <v>280</v>
      </c>
      <c r="Q1150" s="477" t="s">
        <v>747</v>
      </c>
    </row>
    <row r="1151" spans="2:17" s="375" customFormat="1" ht="12.75" x14ac:dyDescent="0.2">
      <c r="B1151" s="479"/>
      <c r="C1151" s="474"/>
      <c r="P1151" s="476" t="s">
        <v>280</v>
      </c>
      <c r="Q1151" s="477" t="s">
        <v>754</v>
      </c>
    </row>
    <row r="1152" spans="2:17" s="375" customFormat="1" ht="12.75" x14ac:dyDescent="0.2">
      <c r="B1152" s="479"/>
      <c r="C1152" s="474"/>
      <c r="P1152" s="476" t="s">
        <v>280</v>
      </c>
      <c r="Q1152" s="477" t="s">
        <v>757</v>
      </c>
    </row>
    <row r="1153" spans="2:17" s="375" customFormat="1" ht="12.75" x14ac:dyDescent="0.2">
      <c r="B1153" s="479"/>
      <c r="C1153" s="474"/>
      <c r="P1153" s="476" t="s">
        <v>280</v>
      </c>
      <c r="Q1153" s="477" t="s">
        <v>760</v>
      </c>
    </row>
    <row r="1154" spans="2:17" s="375" customFormat="1" ht="12.75" x14ac:dyDescent="0.2">
      <c r="B1154" s="479"/>
      <c r="C1154" s="474"/>
      <c r="P1154" s="476" t="s">
        <v>281</v>
      </c>
      <c r="Q1154" s="477" t="s">
        <v>754</v>
      </c>
    </row>
    <row r="1155" spans="2:17" s="375" customFormat="1" ht="12.75" x14ac:dyDescent="0.2">
      <c r="B1155" s="479"/>
      <c r="C1155" s="474"/>
      <c r="P1155" s="476" t="s">
        <v>277</v>
      </c>
      <c r="Q1155" s="477" t="s">
        <v>1591</v>
      </c>
    </row>
    <row r="1156" spans="2:17" s="375" customFormat="1" ht="12.75" x14ac:dyDescent="0.2">
      <c r="B1156" s="479"/>
      <c r="C1156" s="474"/>
      <c r="P1156" s="476" t="s">
        <v>277</v>
      </c>
      <c r="Q1156" s="477" t="s">
        <v>1570</v>
      </c>
    </row>
    <row r="1157" spans="2:17" s="375" customFormat="1" ht="12.75" x14ac:dyDescent="0.2">
      <c r="B1157" s="479"/>
      <c r="C1157" s="474"/>
      <c r="P1157" s="476" t="s">
        <v>277</v>
      </c>
      <c r="Q1157" s="477" t="s">
        <v>1487</v>
      </c>
    </row>
    <row r="1158" spans="2:17" s="375" customFormat="1" ht="12.75" x14ac:dyDescent="0.2">
      <c r="B1158" s="479"/>
      <c r="C1158" s="474"/>
      <c r="P1158" s="476" t="s">
        <v>277</v>
      </c>
      <c r="Q1158" s="477" t="s">
        <v>1488</v>
      </c>
    </row>
    <row r="1159" spans="2:17" s="375" customFormat="1" ht="12.75" x14ac:dyDescent="0.2">
      <c r="B1159" s="479"/>
      <c r="C1159" s="474"/>
      <c r="P1159" s="476" t="s">
        <v>277</v>
      </c>
      <c r="Q1159" s="477" t="s">
        <v>1571</v>
      </c>
    </row>
    <row r="1160" spans="2:17" s="375" customFormat="1" ht="12.75" x14ac:dyDescent="0.2">
      <c r="B1160" s="479"/>
      <c r="C1160" s="474"/>
      <c r="P1160" s="476" t="s">
        <v>277</v>
      </c>
      <c r="Q1160" s="477" t="s">
        <v>1572</v>
      </c>
    </row>
    <row r="1161" spans="2:17" s="375" customFormat="1" ht="12.75" x14ac:dyDescent="0.2">
      <c r="B1161" s="479"/>
      <c r="C1161" s="474"/>
      <c r="P1161" s="476" t="s">
        <v>277</v>
      </c>
      <c r="Q1161" s="477" t="s">
        <v>1489</v>
      </c>
    </row>
    <row r="1162" spans="2:17" s="375" customFormat="1" ht="12.75" x14ac:dyDescent="0.2">
      <c r="B1162" s="479"/>
      <c r="C1162" s="474"/>
      <c r="P1162" s="476" t="s">
        <v>277</v>
      </c>
      <c r="Q1162" s="477" t="s">
        <v>706</v>
      </c>
    </row>
    <row r="1163" spans="2:17" s="375" customFormat="1" ht="12.75" x14ac:dyDescent="0.2">
      <c r="B1163" s="479"/>
      <c r="C1163" s="474"/>
      <c r="P1163" s="476" t="s">
        <v>277</v>
      </c>
      <c r="Q1163" s="477" t="s">
        <v>710</v>
      </c>
    </row>
    <row r="1164" spans="2:17" s="375" customFormat="1" ht="12.75" x14ac:dyDescent="0.2">
      <c r="B1164" s="479"/>
      <c r="C1164" s="474"/>
      <c r="P1164" s="476" t="s">
        <v>278</v>
      </c>
      <c r="Q1164" s="477" t="s">
        <v>1490</v>
      </c>
    </row>
    <row r="1165" spans="2:17" s="375" customFormat="1" ht="12.75" x14ac:dyDescent="0.2">
      <c r="B1165" s="479"/>
      <c r="C1165" s="474"/>
      <c r="P1165" s="476" t="s">
        <v>278</v>
      </c>
      <c r="Q1165" s="477" t="s">
        <v>1491</v>
      </c>
    </row>
    <row r="1166" spans="2:17" s="375" customFormat="1" ht="12.75" x14ac:dyDescent="0.2">
      <c r="B1166" s="479"/>
      <c r="C1166" s="474"/>
      <c r="P1166" s="476" t="s">
        <v>278</v>
      </c>
      <c r="Q1166" s="477" t="s">
        <v>1492</v>
      </c>
    </row>
    <row r="1167" spans="2:17" s="375" customFormat="1" ht="12.75" x14ac:dyDescent="0.2">
      <c r="B1167" s="479"/>
      <c r="C1167" s="474"/>
      <c r="P1167" s="476" t="s">
        <v>278</v>
      </c>
      <c r="Q1167" s="477" t="s">
        <v>1592</v>
      </c>
    </row>
    <row r="1168" spans="2:17" s="375" customFormat="1" ht="12.75" x14ac:dyDescent="0.2">
      <c r="B1168" s="479"/>
      <c r="C1168" s="474"/>
      <c r="P1168" s="476" t="s">
        <v>278</v>
      </c>
      <c r="Q1168" s="477" t="s">
        <v>1573</v>
      </c>
    </row>
    <row r="1169" spans="2:17" s="375" customFormat="1" ht="12.75" x14ac:dyDescent="0.2">
      <c r="B1169" s="479"/>
      <c r="C1169" s="474"/>
      <c r="P1169" s="476" t="s">
        <v>278</v>
      </c>
      <c r="Q1169" s="477" t="s">
        <v>1574</v>
      </c>
    </row>
    <row r="1170" spans="2:17" s="375" customFormat="1" ht="12.75" x14ac:dyDescent="0.2">
      <c r="B1170" s="479"/>
      <c r="C1170" s="474"/>
      <c r="P1170" s="476" t="s">
        <v>278</v>
      </c>
      <c r="Q1170" s="477" t="s">
        <v>1575</v>
      </c>
    </row>
    <row r="1171" spans="2:17" s="375" customFormat="1" ht="12.75" x14ac:dyDescent="0.2">
      <c r="B1171" s="479"/>
      <c r="C1171" s="474"/>
      <c r="P1171" s="476" t="s">
        <v>278</v>
      </c>
      <c r="Q1171" s="477" t="s">
        <v>1593</v>
      </c>
    </row>
    <row r="1172" spans="2:17" s="375" customFormat="1" ht="12.75" x14ac:dyDescent="0.2">
      <c r="B1172" s="479"/>
      <c r="C1172" s="474"/>
      <c r="P1172" s="476" t="s">
        <v>278</v>
      </c>
      <c r="Q1172" s="477" t="s">
        <v>1576</v>
      </c>
    </row>
    <row r="1173" spans="2:17" s="375" customFormat="1" ht="12.75" x14ac:dyDescent="0.2">
      <c r="B1173" s="479"/>
      <c r="C1173" s="474"/>
      <c r="P1173" s="476" t="s">
        <v>278</v>
      </c>
      <c r="Q1173" s="477" t="s">
        <v>1495</v>
      </c>
    </row>
    <row r="1174" spans="2:17" s="375" customFormat="1" ht="12.75" x14ac:dyDescent="0.2">
      <c r="B1174" s="479"/>
      <c r="C1174" s="474"/>
      <c r="P1174" s="476" t="s">
        <v>278</v>
      </c>
      <c r="Q1174" s="477" t="s">
        <v>1496</v>
      </c>
    </row>
    <row r="1175" spans="2:17" s="375" customFormat="1" ht="12.75" x14ac:dyDescent="0.2">
      <c r="B1175" s="479"/>
      <c r="C1175" s="474"/>
      <c r="P1175" s="476" t="s">
        <v>278</v>
      </c>
      <c r="Q1175" s="477" t="s">
        <v>1577</v>
      </c>
    </row>
    <row r="1176" spans="2:17" s="375" customFormat="1" ht="12.75" x14ac:dyDescent="0.2">
      <c r="B1176" s="479"/>
      <c r="C1176" s="474"/>
      <c r="P1176" s="476" t="s">
        <v>278</v>
      </c>
      <c r="Q1176" s="477" t="s">
        <v>1578</v>
      </c>
    </row>
    <row r="1177" spans="2:17" s="375" customFormat="1" ht="12.75" x14ac:dyDescent="0.2">
      <c r="B1177" s="479"/>
      <c r="C1177" s="474"/>
      <c r="P1177" s="476" t="s">
        <v>278</v>
      </c>
      <c r="Q1177" s="477" t="s">
        <v>1497</v>
      </c>
    </row>
    <row r="1178" spans="2:17" s="375" customFormat="1" ht="12.75" x14ac:dyDescent="0.2">
      <c r="B1178" s="479"/>
      <c r="C1178" s="474"/>
      <c r="P1178" s="476" t="s">
        <v>278</v>
      </c>
      <c r="Q1178" s="477" t="s">
        <v>197</v>
      </c>
    </row>
    <row r="1179" spans="2:17" s="375" customFormat="1" ht="12.75" x14ac:dyDescent="0.2">
      <c r="B1179" s="479"/>
      <c r="C1179" s="474"/>
      <c r="P1179" s="476" t="s">
        <v>278</v>
      </c>
      <c r="Q1179" s="477" t="s">
        <v>781</v>
      </c>
    </row>
    <row r="1180" spans="2:17" s="375" customFormat="1" ht="12.75" x14ac:dyDescent="0.2">
      <c r="B1180" s="479"/>
      <c r="C1180" s="474"/>
      <c r="P1180" s="476" t="s">
        <v>275</v>
      </c>
      <c r="Q1180" s="477" t="s">
        <v>1397</v>
      </c>
    </row>
    <row r="1181" spans="2:17" s="375" customFormat="1" ht="12.75" x14ac:dyDescent="0.2">
      <c r="B1181" s="479"/>
      <c r="C1181" s="474"/>
      <c r="P1181" s="476" t="s">
        <v>275</v>
      </c>
      <c r="Q1181" s="477" t="s">
        <v>1398</v>
      </c>
    </row>
    <row r="1182" spans="2:17" s="375" customFormat="1" ht="12.75" x14ac:dyDescent="0.2">
      <c r="B1182" s="479"/>
      <c r="C1182" s="474"/>
      <c r="P1182" s="476" t="s">
        <v>275</v>
      </c>
      <c r="Q1182" s="477" t="s">
        <v>1399</v>
      </c>
    </row>
    <row r="1183" spans="2:17" s="375" customFormat="1" ht="12.75" x14ac:dyDescent="0.2">
      <c r="B1183" s="479"/>
      <c r="C1183" s="474"/>
      <c r="P1183" s="476" t="s">
        <v>275</v>
      </c>
      <c r="Q1183" s="477" t="s">
        <v>1400</v>
      </c>
    </row>
    <row r="1184" spans="2:17" s="375" customFormat="1" ht="12.75" x14ac:dyDescent="0.2">
      <c r="B1184" s="479"/>
      <c r="C1184" s="474"/>
      <c r="P1184" s="476" t="s">
        <v>275</v>
      </c>
      <c r="Q1184" s="477" t="s">
        <v>900</v>
      </c>
    </row>
    <row r="1185" spans="2:17" s="375" customFormat="1" ht="12.75" x14ac:dyDescent="0.2">
      <c r="B1185" s="479"/>
      <c r="C1185" s="474"/>
      <c r="P1185" s="476" t="s">
        <v>275</v>
      </c>
      <c r="Q1185" s="477" t="s">
        <v>901</v>
      </c>
    </row>
    <row r="1186" spans="2:17" s="375" customFormat="1" ht="12.75" x14ac:dyDescent="0.2">
      <c r="B1186" s="479"/>
      <c r="C1186" s="474"/>
      <c r="P1186" s="476" t="s">
        <v>275</v>
      </c>
      <c r="Q1186" s="477" t="s">
        <v>1591</v>
      </c>
    </row>
    <row r="1187" spans="2:17" s="375" customFormat="1" ht="12.75" x14ac:dyDescent="0.2">
      <c r="B1187" s="479"/>
      <c r="C1187" s="474"/>
      <c r="P1187" s="476" t="s">
        <v>275</v>
      </c>
      <c r="Q1187" s="477" t="s">
        <v>1570</v>
      </c>
    </row>
    <row r="1188" spans="2:17" s="375" customFormat="1" ht="12.75" x14ac:dyDescent="0.2">
      <c r="B1188" s="479"/>
      <c r="C1188" s="474"/>
      <c r="P1188" s="476" t="s">
        <v>275</v>
      </c>
      <c r="Q1188" s="477" t="s">
        <v>1487</v>
      </c>
    </row>
    <row r="1189" spans="2:17" s="375" customFormat="1" ht="12.75" x14ac:dyDescent="0.2">
      <c r="B1189" s="479"/>
      <c r="C1189" s="474"/>
      <c r="P1189" s="476" t="s">
        <v>275</v>
      </c>
      <c r="Q1189" s="477" t="s">
        <v>1488</v>
      </c>
    </row>
    <row r="1190" spans="2:17" s="375" customFormat="1" ht="12.75" x14ac:dyDescent="0.2">
      <c r="B1190" s="479"/>
      <c r="C1190" s="474"/>
      <c r="P1190" s="476" t="s">
        <v>275</v>
      </c>
      <c r="Q1190" s="477" t="s">
        <v>1571</v>
      </c>
    </row>
    <row r="1191" spans="2:17" s="375" customFormat="1" ht="12.75" x14ac:dyDescent="0.2">
      <c r="B1191" s="479"/>
      <c r="C1191" s="474"/>
      <c r="P1191" s="476" t="s">
        <v>275</v>
      </c>
      <c r="Q1191" s="477" t="s">
        <v>1572</v>
      </c>
    </row>
    <row r="1192" spans="2:17" s="375" customFormat="1" ht="12.75" x14ac:dyDescent="0.2">
      <c r="B1192" s="479"/>
      <c r="C1192" s="474"/>
      <c r="P1192" s="476" t="s">
        <v>275</v>
      </c>
      <c r="Q1192" s="477" t="s">
        <v>1489</v>
      </c>
    </row>
    <row r="1193" spans="2:17" s="375" customFormat="1" ht="12.75" x14ac:dyDescent="0.2">
      <c r="B1193" s="479"/>
      <c r="C1193" s="474"/>
      <c r="P1193" s="476" t="s">
        <v>275</v>
      </c>
      <c r="Q1193" s="477" t="s">
        <v>1147</v>
      </c>
    </row>
    <row r="1194" spans="2:17" s="375" customFormat="1" ht="12.75" x14ac:dyDescent="0.2">
      <c r="B1194" s="479"/>
      <c r="C1194" s="474"/>
      <c r="P1194" s="476" t="s">
        <v>275</v>
      </c>
      <c r="Q1194" s="477" t="s">
        <v>1425</v>
      </c>
    </row>
    <row r="1195" spans="2:17" s="375" customFormat="1" ht="12.75" x14ac:dyDescent="0.2">
      <c r="B1195" s="479"/>
      <c r="C1195" s="474"/>
      <c r="P1195" s="476" t="s">
        <v>275</v>
      </c>
      <c r="Q1195" s="477" t="s">
        <v>968</v>
      </c>
    </row>
    <row r="1196" spans="2:17" s="375" customFormat="1" ht="12.75" x14ac:dyDescent="0.2">
      <c r="B1196" s="479"/>
      <c r="C1196" s="474"/>
      <c r="P1196" s="476" t="s">
        <v>275</v>
      </c>
      <c r="Q1196" s="477" t="s">
        <v>1428</v>
      </c>
    </row>
    <row r="1197" spans="2:17" s="375" customFormat="1" ht="12.75" x14ac:dyDescent="0.2">
      <c r="B1197" s="479"/>
      <c r="C1197" s="474"/>
      <c r="P1197" s="476" t="s">
        <v>275</v>
      </c>
      <c r="Q1197" s="477" t="s">
        <v>1429</v>
      </c>
    </row>
    <row r="1198" spans="2:17" s="375" customFormat="1" ht="12.75" x14ac:dyDescent="0.2">
      <c r="B1198" s="479"/>
      <c r="C1198" s="474"/>
      <c r="P1198" s="476" t="s">
        <v>275</v>
      </c>
      <c r="Q1198" s="477" t="s">
        <v>703</v>
      </c>
    </row>
    <row r="1199" spans="2:17" s="375" customFormat="1" ht="12.75" x14ac:dyDescent="0.2">
      <c r="B1199" s="479"/>
      <c r="C1199" s="474"/>
      <c r="P1199" s="476" t="s">
        <v>275</v>
      </c>
      <c r="Q1199" s="477" t="s">
        <v>1148</v>
      </c>
    </row>
    <row r="1200" spans="2:17" s="375" customFormat="1" ht="12.75" x14ac:dyDescent="0.2">
      <c r="B1200" s="479"/>
      <c r="C1200" s="474"/>
      <c r="P1200" s="476" t="s">
        <v>275</v>
      </c>
      <c r="Q1200" s="477" t="s">
        <v>970</v>
      </c>
    </row>
    <row r="1201" spans="2:17" s="375" customFormat="1" ht="12.75" x14ac:dyDescent="0.2">
      <c r="B1201" s="479"/>
      <c r="C1201" s="474"/>
      <c r="P1201" s="476" t="s">
        <v>275</v>
      </c>
      <c r="Q1201" s="477" t="s">
        <v>1149</v>
      </c>
    </row>
    <row r="1202" spans="2:17" s="375" customFormat="1" ht="12.75" x14ac:dyDescent="0.2">
      <c r="B1202" s="479"/>
      <c r="C1202" s="474"/>
      <c r="P1202" s="476" t="s">
        <v>275</v>
      </c>
      <c r="Q1202" s="477" t="s">
        <v>971</v>
      </c>
    </row>
    <row r="1203" spans="2:17" s="375" customFormat="1" ht="12.75" x14ac:dyDescent="0.2">
      <c r="B1203" s="479"/>
      <c r="C1203" s="474"/>
      <c r="P1203" s="476" t="s">
        <v>275</v>
      </c>
      <c r="Q1203" s="477" t="s">
        <v>972</v>
      </c>
    </row>
    <row r="1204" spans="2:17" s="375" customFormat="1" ht="12.75" x14ac:dyDescent="0.2">
      <c r="B1204" s="479"/>
      <c r="C1204" s="474"/>
      <c r="P1204" s="476" t="s">
        <v>275</v>
      </c>
      <c r="Q1204" s="477" t="s">
        <v>973</v>
      </c>
    </row>
    <row r="1205" spans="2:17" s="375" customFormat="1" ht="12.75" x14ac:dyDescent="0.2">
      <c r="B1205" s="479"/>
      <c r="C1205" s="474"/>
      <c r="P1205" s="476" t="s">
        <v>275</v>
      </c>
      <c r="Q1205" s="477" t="s">
        <v>974</v>
      </c>
    </row>
    <row r="1206" spans="2:17" s="375" customFormat="1" ht="12.75" x14ac:dyDescent="0.2">
      <c r="B1206" s="479"/>
      <c r="C1206" s="474"/>
      <c r="P1206" s="476" t="s">
        <v>275</v>
      </c>
      <c r="Q1206" s="477" t="s">
        <v>706</v>
      </c>
    </row>
    <row r="1207" spans="2:17" s="375" customFormat="1" ht="12.75" x14ac:dyDescent="0.2">
      <c r="B1207" s="479"/>
      <c r="C1207" s="474"/>
      <c r="P1207" s="476" t="s">
        <v>275</v>
      </c>
      <c r="Q1207" s="477" t="s">
        <v>707</v>
      </c>
    </row>
    <row r="1208" spans="2:17" s="375" customFormat="1" ht="12.75" x14ac:dyDescent="0.2">
      <c r="B1208" s="479"/>
      <c r="C1208" s="474"/>
      <c r="P1208" s="476" t="s">
        <v>275</v>
      </c>
      <c r="Q1208" s="477" t="s">
        <v>975</v>
      </c>
    </row>
    <row r="1209" spans="2:17" s="375" customFormat="1" ht="12.75" x14ac:dyDescent="0.2">
      <c r="B1209" s="479"/>
      <c r="C1209" s="474"/>
      <c r="P1209" s="476" t="s">
        <v>275</v>
      </c>
      <c r="Q1209" s="477" t="s">
        <v>976</v>
      </c>
    </row>
    <row r="1210" spans="2:17" s="375" customFormat="1" ht="12.75" x14ac:dyDescent="0.2">
      <c r="B1210" s="479"/>
      <c r="C1210" s="474"/>
      <c r="P1210" s="476" t="s">
        <v>275</v>
      </c>
      <c r="Q1210" s="477" t="s">
        <v>709</v>
      </c>
    </row>
    <row r="1211" spans="2:17" s="375" customFormat="1" ht="12.75" x14ac:dyDescent="0.2">
      <c r="B1211" s="479"/>
      <c r="C1211" s="474"/>
      <c r="P1211" s="476" t="s">
        <v>275</v>
      </c>
      <c r="Q1211" s="477" t="s">
        <v>1430</v>
      </c>
    </row>
    <row r="1212" spans="2:17" s="375" customFormat="1" ht="12.75" x14ac:dyDescent="0.2">
      <c r="B1212" s="479"/>
      <c r="C1212" s="474"/>
      <c r="P1212" s="476" t="s">
        <v>275</v>
      </c>
      <c r="Q1212" s="477" t="s">
        <v>977</v>
      </c>
    </row>
    <row r="1213" spans="2:17" s="375" customFormat="1" ht="12.75" x14ac:dyDescent="0.2">
      <c r="B1213" s="479"/>
      <c r="C1213" s="474"/>
      <c r="P1213" s="476" t="s">
        <v>275</v>
      </c>
      <c r="Q1213" s="477" t="s">
        <v>1150</v>
      </c>
    </row>
    <row r="1214" spans="2:17" s="375" customFormat="1" ht="12.75" x14ac:dyDescent="0.2">
      <c r="B1214" s="479"/>
      <c r="C1214" s="474"/>
      <c r="P1214" s="476" t="s">
        <v>275</v>
      </c>
      <c r="Q1214" s="477" t="s">
        <v>710</v>
      </c>
    </row>
    <row r="1215" spans="2:17" s="375" customFormat="1" ht="12.75" x14ac:dyDescent="0.2">
      <c r="B1215" s="479"/>
      <c r="C1215" s="474"/>
      <c r="P1215" s="476" t="s">
        <v>275</v>
      </c>
      <c r="Q1215" s="477" t="s">
        <v>711</v>
      </c>
    </row>
    <row r="1216" spans="2:17" s="375" customFormat="1" ht="12.75" x14ac:dyDescent="0.2">
      <c r="B1216" s="479"/>
      <c r="C1216" s="474"/>
      <c r="P1216" s="476" t="s">
        <v>275</v>
      </c>
      <c r="Q1216" s="477" t="s">
        <v>1151</v>
      </c>
    </row>
    <row r="1217" spans="2:17" s="375" customFormat="1" ht="12.75" x14ac:dyDescent="0.2">
      <c r="B1217" s="479"/>
      <c r="C1217" s="474"/>
      <c r="P1217" s="476" t="s">
        <v>275</v>
      </c>
      <c r="Q1217" s="477" t="s">
        <v>1431</v>
      </c>
    </row>
    <row r="1218" spans="2:17" s="375" customFormat="1" ht="12.75" x14ac:dyDescent="0.2">
      <c r="B1218" s="479"/>
      <c r="C1218" s="474"/>
      <c r="P1218" s="476" t="s">
        <v>275</v>
      </c>
      <c r="Q1218" s="477" t="s">
        <v>713</v>
      </c>
    </row>
    <row r="1219" spans="2:17" s="375" customFormat="1" ht="12.75" x14ac:dyDescent="0.2">
      <c r="B1219" s="479"/>
      <c r="C1219" s="474"/>
      <c r="P1219" s="476" t="s">
        <v>275</v>
      </c>
      <c r="Q1219" s="477" t="s">
        <v>978</v>
      </c>
    </row>
    <row r="1220" spans="2:17" s="375" customFormat="1" ht="12.75" x14ac:dyDescent="0.2">
      <c r="B1220" s="479"/>
      <c r="C1220" s="474"/>
      <c r="P1220" s="476" t="s">
        <v>275</v>
      </c>
      <c r="Q1220" s="477" t="s">
        <v>1152</v>
      </c>
    </row>
    <row r="1221" spans="2:17" s="375" customFormat="1" ht="12.75" x14ac:dyDescent="0.2">
      <c r="B1221" s="479"/>
      <c r="C1221" s="474"/>
      <c r="P1221" s="476" t="s">
        <v>275</v>
      </c>
      <c r="Q1221" s="477" t="s">
        <v>1153</v>
      </c>
    </row>
    <row r="1222" spans="2:17" s="375" customFormat="1" ht="12.75" x14ac:dyDescent="0.2">
      <c r="B1222" s="479"/>
      <c r="C1222" s="474"/>
      <c r="P1222" s="476" t="s">
        <v>275</v>
      </c>
      <c r="Q1222" s="477" t="s">
        <v>714</v>
      </c>
    </row>
    <row r="1223" spans="2:17" s="375" customFormat="1" ht="12.75" x14ac:dyDescent="0.2">
      <c r="B1223" s="479"/>
      <c r="C1223" s="474"/>
      <c r="P1223" s="476" t="s">
        <v>275</v>
      </c>
      <c r="Q1223" s="477" t="s">
        <v>979</v>
      </c>
    </row>
    <row r="1224" spans="2:17" s="375" customFormat="1" ht="12.75" x14ac:dyDescent="0.2">
      <c r="B1224" s="479"/>
      <c r="C1224" s="474"/>
      <c r="P1224" s="476" t="s">
        <v>275</v>
      </c>
      <c r="Q1224" s="477" t="s">
        <v>980</v>
      </c>
    </row>
    <row r="1225" spans="2:17" s="375" customFormat="1" ht="12.75" x14ac:dyDescent="0.2">
      <c r="B1225" s="479"/>
      <c r="C1225" s="474"/>
      <c r="P1225" s="476" t="s">
        <v>275</v>
      </c>
      <c r="Q1225" s="477" t="s">
        <v>981</v>
      </c>
    </row>
    <row r="1226" spans="2:17" s="375" customFormat="1" ht="12.75" x14ac:dyDescent="0.2">
      <c r="B1226" s="479"/>
      <c r="C1226" s="474"/>
      <c r="P1226" s="476" t="s">
        <v>275</v>
      </c>
      <c r="Q1226" s="477" t="s">
        <v>982</v>
      </c>
    </row>
    <row r="1227" spans="2:17" s="375" customFormat="1" ht="12.75" x14ac:dyDescent="0.2">
      <c r="B1227" s="479"/>
      <c r="C1227" s="474"/>
      <c r="P1227" s="476" t="s">
        <v>275</v>
      </c>
      <c r="Q1227" s="477" t="s">
        <v>969</v>
      </c>
    </row>
    <row r="1228" spans="2:17" s="375" customFormat="1" ht="12.75" x14ac:dyDescent="0.2">
      <c r="B1228" s="479"/>
      <c r="C1228" s="474"/>
      <c r="P1228" s="476" t="s">
        <v>275</v>
      </c>
      <c r="Q1228" s="477" t="s">
        <v>1569</v>
      </c>
    </row>
    <row r="1229" spans="2:17" s="375" customFormat="1" ht="12.75" x14ac:dyDescent="0.2">
      <c r="B1229" s="479"/>
      <c r="C1229" s="474"/>
      <c r="P1229" s="476" t="s">
        <v>275</v>
      </c>
      <c r="Q1229" s="477" t="s">
        <v>1432</v>
      </c>
    </row>
    <row r="1230" spans="2:17" s="375" customFormat="1" ht="12.75" x14ac:dyDescent="0.2">
      <c r="B1230" s="479"/>
      <c r="C1230" s="474"/>
      <c r="P1230" s="476" t="s">
        <v>275</v>
      </c>
      <c r="Q1230" s="477" t="s">
        <v>1433</v>
      </c>
    </row>
    <row r="1231" spans="2:17" s="375" customFormat="1" ht="12.75" x14ac:dyDescent="0.2">
      <c r="B1231" s="479"/>
      <c r="C1231" s="474"/>
      <c r="P1231" s="476" t="s">
        <v>275</v>
      </c>
      <c r="Q1231" s="477" t="s">
        <v>1434</v>
      </c>
    </row>
    <row r="1232" spans="2:17" s="375" customFormat="1" ht="12.75" x14ac:dyDescent="0.2">
      <c r="B1232" s="479"/>
      <c r="C1232" s="474"/>
      <c r="P1232" s="476" t="s">
        <v>275</v>
      </c>
      <c r="Q1232" s="477" t="s">
        <v>1435</v>
      </c>
    </row>
    <row r="1233" spans="2:17" s="375" customFormat="1" ht="12.75" x14ac:dyDescent="0.2">
      <c r="B1233" s="479"/>
      <c r="C1233" s="474"/>
      <c r="P1233" s="476" t="s">
        <v>276</v>
      </c>
      <c r="Q1233" s="477" t="s">
        <v>994</v>
      </c>
    </row>
    <row r="1234" spans="2:17" s="375" customFormat="1" ht="12.75" x14ac:dyDescent="0.2">
      <c r="B1234" s="479"/>
      <c r="C1234" s="474"/>
      <c r="P1234" s="476" t="s">
        <v>276</v>
      </c>
      <c r="Q1234" s="477" t="s">
        <v>995</v>
      </c>
    </row>
    <row r="1235" spans="2:17" s="375" customFormat="1" ht="12.75" x14ac:dyDescent="0.2">
      <c r="B1235" s="479"/>
      <c r="C1235" s="474"/>
      <c r="P1235" s="476" t="s">
        <v>276</v>
      </c>
      <c r="Q1235" s="477" t="s">
        <v>1421</v>
      </c>
    </row>
    <row r="1236" spans="2:17" s="375" customFormat="1" ht="12.75" x14ac:dyDescent="0.2">
      <c r="B1236" s="479"/>
      <c r="C1236" s="474"/>
      <c r="P1236" s="476" t="s">
        <v>276</v>
      </c>
      <c r="Q1236" s="477" t="s">
        <v>1436</v>
      </c>
    </row>
    <row r="1237" spans="2:17" s="375" customFormat="1" ht="12.75" x14ac:dyDescent="0.2">
      <c r="B1237" s="479"/>
      <c r="C1237" s="474"/>
      <c r="P1237" s="476" t="s">
        <v>276</v>
      </c>
      <c r="Q1237" s="477" t="s">
        <v>1422</v>
      </c>
    </row>
    <row r="1238" spans="2:17" s="375" customFormat="1" ht="12.75" x14ac:dyDescent="0.2">
      <c r="B1238" s="479"/>
      <c r="C1238" s="474"/>
      <c r="P1238" s="476" t="s">
        <v>276</v>
      </c>
      <c r="Q1238" s="477" t="s">
        <v>579</v>
      </c>
    </row>
    <row r="1239" spans="2:17" s="375" customFormat="1" ht="12.75" x14ac:dyDescent="0.2">
      <c r="B1239" s="479"/>
      <c r="C1239" s="474"/>
      <c r="P1239" s="476" t="s">
        <v>276</v>
      </c>
      <c r="Q1239" s="477" t="s">
        <v>580</v>
      </c>
    </row>
    <row r="1240" spans="2:17" s="375" customFormat="1" ht="12.75" x14ac:dyDescent="0.2">
      <c r="B1240" s="479"/>
      <c r="C1240" s="474"/>
      <c r="P1240" s="476" t="s">
        <v>276</v>
      </c>
      <c r="Q1240" s="477" t="s">
        <v>996</v>
      </c>
    </row>
    <row r="1241" spans="2:17" s="375" customFormat="1" ht="12.75" x14ac:dyDescent="0.2">
      <c r="B1241" s="479"/>
      <c r="C1241" s="474"/>
      <c r="P1241" s="476" t="s">
        <v>276</v>
      </c>
      <c r="Q1241" s="477" t="s">
        <v>997</v>
      </c>
    </row>
    <row r="1242" spans="2:17" s="375" customFormat="1" ht="12.75" x14ac:dyDescent="0.2">
      <c r="B1242" s="479"/>
      <c r="C1242" s="474"/>
      <c r="P1242" s="476" t="s">
        <v>276</v>
      </c>
      <c r="Q1242" s="477" t="s">
        <v>998</v>
      </c>
    </row>
    <row r="1243" spans="2:17" s="375" customFormat="1" ht="12.75" x14ac:dyDescent="0.2">
      <c r="B1243" s="479"/>
      <c r="C1243" s="474"/>
      <c r="P1243" s="476" t="s">
        <v>276</v>
      </c>
      <c r="Q1243" s="477" t="s">
        <v>999</v>
      </c>
    </row>
    <row r="1244" spans="2:17" s="375" customFormat="1" ht="12.75" x14ac:dyDescent="0.2">
      <c r="B1244" s="479"/>
      <c r="C1244" s="474"/>
      <c r="P1244" s="476" t="s">
        <v>276</v>
      </c>
      <c r="Q1244" s="477" t="s">
        <v>1144</v>
      </c>
    </row>
    <row r="1245" spans="2:17" s="375" customFormat="1" ht="12.75" x14ac:dyDescent="0.2">
      <c r="B1245" s="479"/>
      <c r="C1245" s="474"/>
      <c r="P1245" s="476" t="s">
        <v>276</v>
      </c>
      <c r="Q1245" s="477" t="s">
        <v>1000</v>
      </c>
    </row>
    <row r="1246" spans="2:17" s="375" customFormat="1" ht="12.75" x14ac:dyDescent="0.2">
      <c r="B1246" s="479"/>
      <c r="C1246" s="474"/>
      <c r="P1246" s="476" t="s">
        <v>276</v>
      </c>
      <c r="Q1246" s="477" t="s">
        <v>1001</v>
      </c>
    </row>
    <row r="1247" spans="2:17" s="375" customFormat="1" ht="12.75" x14ac:dyDescent="0.2">
      <c r="B1247" s="479"/>
      <c r="C1247" s="474"/>
      <c r="P1247" s="476" t="s">
        <v>276</v>
      </c>
      <c r="Q1247" s="477" t="s">
        <v>1002</v>
      </c>
    </row>
    <row r="1248" spans="2:17" s="375" customFormat="1" ht="12.75" x14ac:dyDescent="0.2">
      <c r="B1248" s="479"/>
      <c r="C1248" s="474"/>
      <c r="P1248" s="476" t="s">
        <v>276</v>
      </c>
      <c r="Q1248" s="477" t="s">
        <v>1003</v>
      </c>
    </row>
    <row r="1249" spans="2:17" s="375" customFormat="1" ht="12.75" x14ac:dyDescent="0.2">
      <c r="B1249" s="479"/>
      <c r="C1249" s="474"/>
      <c r="P1249" s="476" t="s">
        <v>276</v>
      </c>
      <c r="Q1249" s="477" t="s">
        <v>1004</v>
      </c>
    </row>
    <row r="1250" spans="2:17" s="375" customFormat="1" ht="12.75" x14ac:dyDescent="0.2">
      <c r="B1250" s="479"/>
      <c r="C1250" s="474"/>
      <c r="P1250" s="476" t="s">
        <v>276</v>
      </c>
      <c r="Q1250" s="477" t="s">
        <v>581</v>
      </c>
    </row>
    <row r="1251" spans="2:17" s="375" customFormat="1" ht="12.75" x14ac:dyDescent="0.2">
      <c r="B1251" s="479"/>
      <c r="C1251" s="474"/>
      <c r="P1251" s="476" t="s">
        <v>276</v>
      </c>
      <c r="Q1251" s="477" t="s">
        <v>1005</v>
      </c>
    </row>
    <row r="1252" spans="2:17" s="375" customFormat="1" ht="12.75" x14ac:dyDescent="0.2">
      <c r="B1252" s="479"/>
      <c r="C1252" s="474"/>
      <c r="P1252" s="476" t="s">
        <v>276</v>
      </c>
      <c r="Q1252" s="477" t="s">
        <v>1006</v>
      </c>
    </row>
    <row r="1253" spans="2:17" s="375" customFormat="1" ht="12.75" x14ac:dyDescent="0.2">
      <c r="B1253" s="479"/>
      <c r="C1253" s="474"/>
      <c r="P1253" s="476" t="s">
        <v>276</v>
      </c>
      <c r="Q1253" s="477" t="s">
        <v>1423</v>
      </c>
    </row>
    <row r="1254" spans="2:17" s="375" customFormat="1" ht="12.75" x14ac:dyDescent="0.2">
      <c r="B1254" s="479"/>
      <c r="C1254" s="474"/>
      <c r="P1254" s="476" t="s">
        <v>276</v>
      </c>
      <c r="Q1254" s="477" t="s">
        <v>1007</v>
      </c>
    </row>
    <row r="1255" spans="2:17" s="375" customFormat="1" ht="12.75" x14ac:dyDescent="0.2">
      <c r="B1255" s="479"/>
      <c r="C1255" s="474"/>
      <c r="P1255" s="476" t="s">
        <v>276</v>
      </c>
      <c r="Q1255" s="477" t="s">
        <v>1008</v>
      </c>
    </row>
    <row r="1256" spans="2:17" s="375" customFormat="1" ht="12.75" x14ac:dyDescent="0.2">
      <c r="B1256" s="479"/>
      <c r="C1256" s="474"/>
      <c r="P1256" s="476" t="s">
        <v>276</v>
      </c>
      <c r="Q1256" s="477" t="s">
        <v>582</v>
      </c>
    </row>
    <row r="1257" spans="2:17" s="375" customFormat="1" ht="12.75" x14ac:dyDescent="0.2">
      <c r="B1257" s="479"/>
      <c r="C1257" s="474"/>
      <c r="P1257" s="476" t="s">
        <v>276</v>
      </c>
      <c r="Q1257" s="477" t="s">
        <v>1009</v>
      </c>
    </row>
    <row r="1258" spans="2:17" s="375" customFormat="1" ht="12.75" x14ac:dyDescent="0.2">
      <c r="B1258" s="479"/>
      <c r="C1258" s="474"/>
      <c r="P1258" s="476" t="s">
        <v>276</v>
      </c>
      <c r="Q1258" s="477" t="s">
        <v>1424</v>
      </c>
    </row>
    <row r="1259" spans="2:17" s="375" customFormat="1" ht="12.75" x14ac:dyDescent="0.2">
      <c r="B1259" s="479"/>
      <c r="C1259" s="474"/>
      <c r="P1259" s="476" t="s">
        <v>276</v>
      </c>
      <c r="Q1259" s="477" t="s">
        <v>1010</v>
      </c>
    </row>
    <row r="1260" spans="2:17" s="375" customFormat="1" ht="12.75" x14ac:dyDescent="0.2">
      <c r="B1260" s="479"/>
      <c r="C1260" s="474"/>
      <c r="P1260" s="476" t="s">
        <v>276</v>
      </c>
      <c r="Q1260" s="477" t="s">
        <v>1145</v>
      </c>
    </row>
    <row r="1261" spans="2:17" s="375" customFormat="1" ht="12.75" x14ac:dyDescent="0.2">
      <c r="B1261" s="479"/>
      <c r="C1261" s="474"/>
      <c r="P1261" s="476" t="s">
        <v>276</v>
      </c>
      <c r="Q1261" s="477" t="s">
        <v>1011</v>
      </c>
    </row>
    <row r="1262" spans="2:17" s="375" customFormat="1" ht="12.75" x14ac:dyDescent="0.2">
      <c r="B1262" s="479"/>
      <c r="C1262" s="474"/>
      <c r="P1262" s="476" t="s">
        <v>276</v>
      </c>
      <c r="Q1262" s="477" t="s">
        <v>1012</v>
      </c>
    </row>
    <row r="1263" spans="2:17" s="375" customFormat="1" ht="12.75" x14ac:dyDescent="0.2">
      <c r="B1263" s="479"/>
      <c r="C1263" s="474"/>
      <c r="P1263" s="476" t="s">
        <v>276</v>
      </c>
      <c r="Q1263" s="477" t="s">
        <v>1146</v>
      </c>
    </row>
    <row r="1264" spans="2:17" s="375" customFormat="1" ht="12.75" x14ac:dyDescent="0.2">
      <c r="B1264" s="479"/>
      <c r="C1264" s="474"/>
      <c r="P1264" s="476" t="s">
        <v>276</v>
      </c>
      <c r="Q1264" s="477" t="s">
        <v>1013</v>
      </c>
    </row>
    <row r="1265" spans="2:17" s="375" customFormat="1" ht="12.75" x14ac:dyDescent="0.2">
      <c r="B1265" s="479"/>
      <c r="C1265" s="474"/>
      <c r="P1265" s="476" t="s">
        <v>276</v>
      </c>
      <c r="Q1265" s="477" t="s">
        <v>1014</v>
      </c>
    </row>
    <row r="1266" spans="2:17" s="375" customFormat="1" ht="12.75" x14ac:dyDescent="0.2">
      <c r="B1266" s="479"/>
      <c r="C1266" s="474"/>
      <c r="P1266" s="476" t="s">
        <v>276</v>
      </c>
      <c r="Q1266" s="477" t="s">
        <v>1015</v>
      </c>
    </row>
    <row r="1267" spans="2:17" s="375" customFormat="1" ht="12.75" x14ac:dyDescent="0.2">
      <c r="B1267" s="479"/>
      <c r="C1267" s="474"/>
      <c r="P1267" s="476" t="s">
        <v>276</v>
      </c>
      <c r="Q1267" s="477" t="s">
        <v>1016</v>
      </c>
    </row>
    <row r="1268" spans="2:17" s="375" customFormat="1" ht="12.75" x14ac:dyDescent="0.2">
      <c r="B1268" s="479"/>
      <c r="C1268" s="474"/>
      <c r="P1268" s="476" t="s">
        <v>276</v>
      </c>
      <c r="Q1268" s="477" t="s">
        <v>1017</v>
      </c>
    </row>
    <row r="1269" spans="2:17" s="375" customFormat="1" ht="12.75" x14ac:dyDescent="0.2">
      <c r="B1269" s="479"/>
      <c r="C1269" s="474"/>
      <c r="P1269" s="476" t="s">
        <v>276</v>
      </c>
      <c r="Q1269" s="477" t="s">
        <v>1018</v>
      </c>
    </row>
    <row r="1270" spans="2:17" s="375" customFormat="1" ht="12.75" x14ac:dyDescent="0.2">
      <c r="B1270" s="479"/>
      <c r="C1270" s="474"/>
      <c r="P1270" s="476" t="s">
        <v>276</v>
      </c>
      <c r="Q1270" s="477" t="s">
        <v>1490</v>
      </c>
    </row>
    <row r="1271" spans="2:17" s="375" customFormat="1" ht="12.75" x14ac:dyDescent="0.2">
      <c r="B1271" s="479"/>
      <c r="C1271" s="474"/>
      <c r="P1271" s="476" t="s">
        <v>276</v>
      </c>
      <c r="Q1271" s="477" t="s">
        <v>1491</v>
      </c>
    </row>
    <row r="1272" spans="2:17" s="375" customFormat="1" ht="12.75" x14ac:dyDescent="0.2">
      <c r="B1272" s="479"/>
      <c r="C1272" s="474"/>
      <c r="P1272" s="476" t="s">
        <v>276</v>
      </c>
      <c r="Q1272" s="477" t="s">
        <v>1492</v>
      </c>
    </row>
    <row r="1273" spans="2:17" s="375" customFormat="1" ht="12.75" x14ac:dyDescent="0.2">
      <c r="B1273" s="479"/>
      <c r="C1273" s="474"/>
      <c r="P1273" s="476" t="s">
        <v>276</v>
      </c>
      <c r="Q1273" s="477" t="s">
        <v>1592</v>
      </c>
    </row>
    <row r="1274" spans="2:17" s="375" customFormat="1" ht="12.75" x14ac:dyDescent="0.2">
      <c r="B1274" s="479"/>
      <c r="C1274" s="474"/>
      <c r="P1274" s="476" t="s">
        <v>276</v>
      </c>
      <c r="Q1274" s="477" t="s">
        <v>1573</v>
      </c>
    </row>
    <row r="1275" spans="2:17" s="375" customFormat="1" ht="12.75" x14ac:dyDescent="0.2">
      <c r="B1275" s="479"/>
      <c r="C1275" s="474"/>
      <c r="P1275" s="476" t="s">
        <v>276</v>
      </c>
      <c r="Q1275" s="477" t="s">
        <v>1574</v>
      </c>
    </row>
    <row r="1276" spans="2:17" s="375" customFormat="1" ht="12.75" x14ac:dyDescent="0.2">
      <c r="B1276" s="479"/>
      <c r="C1276" s="474"/>
      <c r="P1276" s="476" t="s">
        <v>276</v>
      </c>
      <c r="Q1276" s="477" t="s">
        <v>1575</v>
      </c>
    </row>
    <row r="1277" spans="2:17" s="375" customFormat="1" ht="12.75" x14ac:dyDescent="0.2">
      <c r="B1277" s="479"/>
      <c r="C1277" s="474"/>
      <c r="P1277" s="476" t="s">
        <v>276</v>
      </c>
      <c r="Q1277" s="477" t="s">
        <v>1147</v>
      </c>
    </row>
    <row r="1278" spans="2:17" s="375" customFormat="1" ht="12.75" x14ac:dyDescent="0.2">
      <c r="B1278" s="479"/>
      <c r="C1278" s="474"/>
      <c r="P1278" s="476" t="s">
        <v>276</v>
      </c>
      <c r="Q1278" s="477" t="s">
        <v>1425</v>
      </c>
    </row>
    <row r="1279" spans="2:17" s="375" customFormat="1" ht="12.75" x14ac:dyDescent="0.2">
      <c r="B1279" s="479"/>
      <c r="C1279" s="474"/>
      <c r="P1279" s="476" t="s">
        <v>276</v>
      </c>
      <c r="Q1279" s="477" t="s">
        <v>968</v>
      </c>
    </row>
    <row r="1280" spans="2:17" s="375" customFormat="1" ht="12.75" x14ac:dyDescent="0.2">
      <c r="B1280" s="479"/>
      <c r="C1280" s="474"/>
      <c r="P1280" s="476" t="s">
        <v>276</v>
      </c>
      <c r="Q1280" s="477" t="s">
        <v>1428</v>
      </c>
    </row>
    <row r="1281" spans="2:17" s="375" customFormat="1" ht="12.75" x14ac:dyDescent="0.2">
      <c r="B1281" s="479"/>
      <c r="C1281" s="474"/>
      <c r="P1281" s="476" t="s">
        <v>276</v>
      </c>
      <c r="Q1281" s="477" t="s">
        <v>1429</v>
      </c>
    </row>
    <row r="1282" spans="2:17" s="375" customFormat="1" ht="12.75" x14ac:dyDescent="0.2">
      <c r="B1282" s="479"/>
      <c r="C1282" s="474"/>
      <c r="P1282" s="476" t="s">
        <v>276</v>
      </c>
      <c r="Q1282" s="477" t="s">
        <v>703</v>
      </c>
    </row>
    <row r="1283" spans="2:17" s="375" customFormat="1" ht="12.75" x14ac:dyDescent="0.2">
      <c r="B1283" s="479"/>
      <c r="C1283" s="474"/>
      <c r="P1283" s="476" t="s">
        <v>276</v>
      </c>
      <c r="Q1283" s="477" t="s">
        <v>1148</v>
      </c>
    </row>
    <row r="1284" spans="2:17" s="375" customFormat="1" ht="12.75" x14ac:dyDescent="0.2">
      <c r="B1284" s="479"/>
      <c r="C1284" s="474"/>
      <c r="P1284" s="476" t="s">
        <v>276</v>
      </c>
      <c r="Q1284" s="477" t="s">
        <v>970</v>
      </c>
    </row>
    <row r="1285" spans="2:17" s="375" customFormat="1" ht="12.75" x14ac:dyDescent="0.2">
      <c r="B1285" s="479"/>
      <c r="C1285" s="474"/>
      <c r="P1285" s="476" t="s">
        <v>276</v>
      </c>
      <c r="Q1285" s="477" t="s">
        <v>1149</v>
      </c>
    </row>
    <row r="1286" spans="2:17" s="375" customFormat="1" ht="12.75" x14ac:dyDescent="0.2">
      <c r="B1286" s="479"/>
      <c r="C1286" s="474"/>
      <c r="P1286" s="476" t="s">
        <v>276</v>
      </c>
      <c r="Q1286" s="477" t="s">
        <v>971</v>
      </c>
    </row>
    <row r="1287" spans="2:17" s="375" customFormat="1" ht="12.75" x14ac:dyDescent="0.2">
      <c r="B1287" s="479"/>
      <c r="C1287" s="474"/>
      <c r="P1287" s="476" t="s">
        <v>276</v>
      </c>
      <c r="Q1287" s="477" t="s">
        <v>972</v>
      </c>
    </row>
    <row r="1288" spans="2:17" s="375" customFormat="1" ht="12.75" x14ac:dyDescent="0.2">
      <c r="B1288" s="479"/>
      <c r="C1288" s="474"/>
      <c r="P1288" s="476" t="s">
        <v>276</v>
      </c>
      <c r="Q1288" s="477" t="s">
        <v>973</v>
      </c>
    </row>
    <row r="1289" spans="2:17" s="375" customFormat="1" ht="12.75" x14ac:dyDescent="0.2">
      <c r="B1289" s="479"/>
      <c r="C1289" s="474"/>
      <c r="P1289" s="476" t="s">
        <v>276</v>
      </c>
      <c r="Q1289" s="477" t="s">
        <v>974</v>
      </c>
    </row>
    <row r="1290" spans="2:17" s="375" customFormat="1" ht="12.75" x14ac:dyDescent="0.2">
      <c r="B1290" s="479"/>
      <c r="C1290" s="474"/>
      <c r="P1290" s="476" t="s">
        <v>276</v>
      </c>
      <c r="Q1290" s="477" t="s">
        <v>706</v>
      </c>
    </row>
    <row r="1291" spans="2:17" s="375" customFormat="1" ht="12.75" x14ac:dyDescent="0.2">
      <c r="B1291" s="479"/>
      <c r="C1291" s="474"/>
      <c r="P1291" s="476" t="s">
        <v>276</v>
      </c>
      <c r="Q1291" s="477" t="s">
        <v>707</v>
      </c>
    </row>
    <row r="1292" spans="2:17" s="375" customFormat="1" ht="12.75" x14ac:dyDescent="0.2">
      <c r="B1292" s="479"/>
      <c r="C1292" s="474"/>
      <c r="P1292" s="476" t="s">
        <v>276</v>
      </c>
      <c r="Q1292" s="477" t="s">
        <v>975</v>
      </c>
    </row>
    <row r="1293" spans="2:17" s="375" customFormat="1" ht="12.75" x14ac:dyDescent="0.2">
      <c r="B1293" s="479"/>
      <c r="C1293" s="474"/>
      <c r="P1293" s="476" t="s">
        <v>276</v>
      </c>
      <c r="Q1293" s="477" t="s">
        <v>976</v>
      </c>
    </row>
    <row r="1294" spans="2:17" s="375" customFormat="1" ht="12.75" x14ac:dyDescent="0.2">
      <c r="B1294" s="479"/>
      <c r="C1294" s="474"/>
      <c r="P1294" s="476" t="s">
        <v>276</v>
      </c>
      <c r="Q1294" s="477" t="s">
        <v>709</v>
      </c>
    </row>
    <row r="1295" spans="2:17" s="375" customFormat="1" ht="12.75" x14ac:dyDescent="0.2">
      <c r="B1295" s="479"/>
      <c r="C1295" s="474"/>
      <c r="P1295" s="476" t="s">
        <v>276</v>
      </c>
      <c r="Q1295" s="477" t="s">
        <v>1430</v>
      </c>
    </row>
    <row r="1296" spans="2:17" s="375" customFormat="1" ht="12.75" x14ac:dyDescent="0.2">
      <c r="B1296" s="479"/>
      <c r="C1296" s="474"/>
      <c r="P1296" s="476" t="s">
        <v>276</v>
      </c>
      <c r="Q1296" s="477" t="s">
        <v>977</v>
      </c>
    </row>
    <row r="1297" spans="2:17" s="375" customFormat="1" ht="12.75" x14ac:dyDescent="0.2">
      <c r="B1297" s="479"/>
      <c r="C1297" s="474"/>
      <c r="P1297" s="476" t="s">
        <v>276</v>
      </c>
      <c r="Q1297" s="477" t="s">
        <v>1150</v>
      </c>
    </row>
    <row r="1298" spans="2:17" s="375" customFormat="1" ht="12.75" x14ac:dyDescent="0.2">
      <c r="B1298" s="479"/>
      <c r="C1298" s="474"/>
      <c r="P1298" s="476" t="s">
        <v>276</v>
      </c>
      <c r="Q1298" s="477" t="s">
        <v>710</v>
      </c>
    </row>
    <row r="1299" spans="2:17" s="375" customFormat="1" ht="12.75" x14ac:dyDescent="0.2">
      <c r="B1299" s="479"/>
      <c r="C1299" s="474"/>
      <c r="P1299" s="476" t="s">
        <v>276</v>
      </c>
      <c r="Q1299" s="477" t="s">
        <v>711</v>
      </c>
    </row>
    <row r="1300" spans="2:17" s="375" customFormat="1" ht="12.75" x14ac:dyDescent="0.2">
      <c r="B1300" s="479"/>
      <c r="C1300" s="474"/>
      <c r="P1300" s="476" t="s">
        <v>276</v>
      </c>
      <c r="Q1300" s="477" t="s">
        <v>1151</v>
      </c>
    </row>
    <row r="1301" spans="2:17" s="375" customFormat="1" ht="12.75" x14ac:dyDescent="0.2">
      <c r="B1301" s="479"/>
      <c r="C1301" s="474"/>
      <c r="P1301" s="476" t="s">
        <v>276</v>
      </c>
      <c r="Q1301" s="477" t="s">
        <v>1431</v>
      </c>
    </row>
    <row r="1302" spans="2:17" s="375" customFormat="1" ht="12.75" x14ac:dyDescent="0.2">
      <c r="B1302" s="479"/>
      <c r="C1302" s="474"/>
      <c r="P1302" s="476" t="s">
        <v>276</v>
      </c>
      <c r="Q1302" s="477" t="s">
        <v>713</v>
      </c>
    </row>
    <row r="1303" spans="2:17" s="375" customFormat="1" ht="12.75" x14ac:dyDescent="0.2">
      <c r="B1303" s="479"/>
      <c r="C1303" s="474"/>
      <c r="P1303" s="476" t="s">
        <v>276</v>
      </c>
      <c r="Q1303" s="477" t="s">
        <v>978</v>
      </c>
    </row>
    <row r="1304" spans="2:17" s="375" customFormat="1" ht="12.75" x14ac:dyDescent="0.2">
      <c r="B1304" s="479"/>
      <c r="C1304" s="474"/>
      <c r="P1304" s="476" t="s">
        <v>276</v>
      </c>
      <c r="Q1304" s="477" t="s">
        <v>1152</v>
      </c>
    </row>
    <row r="1305" spans="2:17" s="375" customFormat="1" ht="12.75" x14ac:dyDescent="0.2">
      <c r="B1305" s="479"/>
      <c r="C1305" s="474"/>
      <c r="P1305" s="476" t="s">
        <v>276</v>
      </c>
      <c r="Q1305" s="477" t="s">
        <v>1153</v>
      </c>
    </row>
    <row r="1306" spans="2:17" s="375" customFormat="1" ht="12.75" x14ac:dyDescent="0.2">
      <c r="B1306" s="479"/>
      <c r="C1306" s="474"/>
      <c r="P1306" s="476" t="s">
        <v>276</v>
      </c>
      <c r="Q1306" s="477" t="s">
        <v>714</v>
      </c>
    </row>
    <row r="1307" spans="2:17" s="375" customFormat="1" ht="12.75" x14ac:dyDescent="0.2">
      <c r="B1307" s="479"/>
      <c r="C1307" s="474"/>
      <c r="P1307" s="476" t="s">
        <v>276</v>
      </c>
      <c r="Q1307" s="477" t="s">
        <v>979</v>
      </c>
    </row>
    <row r="1308" spans="2:17" s="375" customFormat="1" ht="12.75" x14ac:dyDescent="0.2">
      <c r="B1308" s="479"/>
      <c r="C1308" s="474"/>
      <c r="P1308" s="476" t="s">
        <v>276</v>
      </c>
      <c r="Q1308" s="477" t="s">
        <v>980</v>
      </c>
    </row>
    <row r="1309" spans="2:17" s="375" customFormat="1" ht="12.75" x14ac:dyDescent="0.2">
      <c r="B1309" s="479"/>
      <c r="C1309" s="474"/>
      <c r="P1309" s="476" t="s">
        <v>276</v>
      </c>
      <c r="Q1309" s="477" t="s">
        <v>981</v>
      </c>
    </row>
    <row r="1310" spans="2:17" s="375" customFormat="1" ht="12.75" x14ac:dyDescent="0.2">
      <c r="B1310" s="479"/>
      <c r="C1310" s="474"/>
      <c r="P1310" s="476" t="s">
        <v>276</v>
      </c>
      <c r="Q1310" s="477" t="s">
        <v>982</v>
      </c>
    </row>
    <row r="1311" spans="2:17" s="375" customFormat="1" ht="12.75" x14ac:dyDescent="0.2">
      <c r="B1311" s="479"/>
      <c r="C1311" s="474"/>
      <c r="P1311" s="476" t="s">
        <v>276</v>
      </c>
      <c r="Q1311" s="477" t="s">
        <v>969</v>
      </c>
    </row>
    <row r="1312" spans="2:17" s="375" customFormat="1" ht="12.75" x14ac:dyDescent="0.2">
      <c r="B1312" s="479"/>
      <c r="C1312" s="474"/>
      <c r="P1312" s="476" t="s">
        <v>276</v>
      </c>
      <c r="Q1312" s="477" t="s">
        <v>1593</v>
      </c>
    </row>
    <row r="1313" spans="2:17" s="375" customFormat="1" ht="12.75" x14ac:dyDescent="0.2">
      <c r="B1313" s="479"/>
      <c r="C1313" s="474"/>
      <c r="P1313" s="476" t="s">
        <v>276</v>
      </c>
      <c r="Q1313" s="477" t="s">
        <v>1576</v>
      </c>
    </row>
    <row r="1314" spans="2:17" s="375" customFormat="1" ht="12.75" x14ac:dyDescent="0.2">
      <c r="B1314" s="479"/>
      <c r="C1314" s="474"/>
      <c r="P1314" s="476" t="s">
        <v>276</v>
      </c>
      <c r="Q1314" s="477" t="s">
        <v>1495</v>
      </c>
    </row>
    <row r="1315" spans="2:17" s="375" customFormat="1" ht="12.75" x14ac:dyDescent="0.2">
      <c r="B1315" s="479"/>
      <c r="C1315" s="474"/>
      <c r="P1315" s="476" t="s">
        <v>276</v>
      </c>
      <c r="Q1315" s="477" t="s">
        <v>1496</v>
      </c>
    </row>
    <row r="1316" spans="2:17" s="375" customFormat="1" ht="12.75" x14ac:dyDescent="0.2">
      <c r="B1316" s="479"/>
      <c r="C1316" s="474"/>
      <c r="P1316" s="476" t="s">
        <v>276</v>
      </c>
      <c r="Q1316" s="477" t="s">
        <v>1577</v>
      </c>
    </row>
    <row r="1317" spans="2:17" s="375" customFormat="1" ht="12.75" x14ac:dyDescent="0.2">
      <c r="B1317" s="479"/>
      <c r="C1317" s="474"/>
      <c r="P1317" s="476" t="s">
        <v>276</v>
      </c>
      <c r="Q1317" s="477" t="s">
        <v>1578</v>
      </c>
    </row>
    <row r="1318" spans="2:17" s="375" customFormat="1" ht="12.75" x14ac:dyDescent="0.2">
      <c r="B1318" s="479"/>
      <c r="C1318" s="474"/>
      <c r="P1318" s="476" t="s">
        <v>276</v>
      </c>
      <c r="Q1318" s="477" t="s">
        <v>1497</v>
      </c>
    </row>
    <row r="1319" spans="2:17" s="375" customFormat="1" ht="12.75" x14ac:dyDescent="0.2">
      <c r="B1319" s="479"/>
      <c r="C1319" s="474"/>
      <c r="P1319" s="476" t="s">
        <v>276</v>
      </c>
      <c r="Q1319" s="477" t="s">
        <v>1569</v>
      </c>
    </row>
    <row r="1320" spans="2:17" s="375" customFormat="1" ht="12.75" x14ac:dyDescent="0.2">
      <c r="B1320" s="479"/>
      <c r="C1320" s="474"/>
      <c r="P1320" s="476" t="s">
        <v>276</v>
      </c>
      <c r="Q1320" s="477" t="s">
        <v>770</v>
      </c>
    </row>
    <row r="1321" spans="2:17" s="375" customFormat="1" ht="12.75" x14ac:dyDescent="0.2">
      <c r="B1321" s="479"/>
      <c r="C1321" s="474"/>
      <c r="P1321" s="476" t="s">
        <v>276</v>
      </c>
      <c r="Q1321" s="477" t="s">
        <v>1432</v>
      </c>
    </row>
    <row r="1322" spans="2:17" s="375" customFormat="1" ht="12.75" x14ac:dyDescent="0.2">
      <c r="B1322" s="479"/>
      <c r="C1322" s="474"/>
      <c r="P1322" s="476" t="s">
        <v>276</v>
      </c>
      <c r="Q1322" s="477" t="s">
        <v>1433</v>
      </c>
    </row>
    <row r="1323" spans="2:17" s="375" customFormat="1" ht="12.75" x14ac:dyDescent="0.2">
      <c r="B1323" s="479"/>
      <c r="C1323" s="474"/>
      <c r="P1323" s="476" t="s">
        <v>276</v>
      </c>
      <c r="Q1323" s="477" t="s">
        <v>1434</v>
      </c>
    </row>
    <row r="1324" spans="2:17" s="375" customFormat="1" ht="12.75" x14ac:dyDescent="0.2">
      <c r="B1324" s="479"/>
      <c r="C1324" s="474"/>
      <c r="P1324" s="476" t="s">
        <v>276</v>
      </c>
      <c r="Q1324" s="477" t="s">
        <v>1435</v>
      </c>
    </row>
    <row r="1325" spans="2:17" s="375" customFormat="1" ht="12.75" x14ac:dyDescent="0.2">
      <c r="B1325" s="479"/>
      <c r="C1325" s="474"/>
      <c r="P1325" s="476" t="s">
        <v>276</v>
      </c>
      <c r="Q1325" s="477" t="s">
        <v>1154</v>
      </c>
    </row>
    <row r="1326" spans="2:17" s="375" customFormat="1" ht="12.75" x14ac:dyDescent="0.2">
      <c r="B1326" s="479"/>
      <c r="C1326" s="474"/>
      <c r="P1326" s="476" t="s">
        <v>276</v>
      </c>
      <c r="Q1326" s="477" t="s">
        <v>1426</v>
      </c>
    </row>
    <row r="1327" spans="2:17" s="375" customFormat="1" ht="12.75" x14ac:dyDescent="0.2">
      <c r="B1327" s="479"/>
      <c r="C1327" s="474"/>
      <c r="P1327" s="476" t="s">
        <v>276</v>
      </c>
      <c r="Q1327" s="477" t="s">
        <v>779</v>
      </c>
    </row>
    <row r="1328" spans="2:17" s="375" customFormat="1" ht="12.75" x14ac:dyDescent="0.2">
      <c r="B1328" s="479"/>
      <c r="C1328" s="474"/>
      <c r="P1328" s="476" t="s">
        <v>276</v>
      </c>
      <c r="Q1328" s="477" t="s">
        <v>1155</v>
      </c>
    </row>
    <row r="1329" spans="2:17" s="375" customFormat="1" ht="12.75" x14ac:dyDescent="0.2">
      <c r="B1329" s="479"/>
      <c r="C1329" s="474"/>
      <c r="P1329" s="476" t="s">
        <v>276</v>
      </c>
      <c r="Q1329" s="477" t="s">
        <v>1156</v>
      </c>
    </row>
    <row r="1330" spans="2:17" s="375" customFormat="1" ht="12.75" x14ac:dyDescent="0.2">
      <c r="B1330" s="479"/>
      <c r="C1330" s="474"/>
      <c r="P1330" s="476" t="s">
        <v>276</v>
      </c>
      <c r="Q1330" s="477" t="s">
        <v>1157</v>
      </c>
    </row>
    <row r="1331" spans="2:17" s="375" customFormat="1" ht="12.75" x14ac:dyDescent="0.2">
      <c r="B1331" s="479"/>
      <c r="C1331" s="474"/>
      <c r="P1331" s="482" t="s">
        <v>276</v>
      </c>
      <c r="Q1331" s="483" t="s">
        <v>1158</v>
      </c>
    </row>
    <row r="1332" spans="2:17" s="375" customFormat="1" ht="12.75" x14ac:dyDescent="0.2">
      <c r="B1332" s="479"/>
      <c r="C1332" s="474"/>
      <c r="P1332" s="476" t="s">
        <v>276</v>
      </c>
      <c r="Q1332" s="477" t="s">
        <v>1159</v>
      </c>
    </row>
    <row r="1333" spans="2:17" s="375" customFormat="1" ht="12.75" x14ac:dyDescent="0.2">
      <c r="B1333" s="479"/>
      <c r="C1333" s="474"/>
      <c r="P1333" s="476" t="s">
        <v>276</v>
      </c>
      <c r="Q1333" s="477" t="s">
        <v>1160</v>
      </c>
    </row>
    <row r="1334" spans="2:17" s="375" customFormat="1" ht="12.75" x14ac:dyDescent="0.2">
      <c r="B1334" s="479"/>
      <c r="C1334" s="474"/>
      <c r="P1334" s="476" t="s">
        <v>276</v>
      </c>
      <c r="Q1334" s="477" t="s">
        <v>197</v>
      </c>
    </row>
    <row r="1335" spans="2:17" s="375" customFormat="1" ht="12.75" x14ac:dyDescent="0.2">
      <c r="B1335" s="479"/>
      <c r="C1335" s="474"/>
      <c r="P1335" s="476" t="s">
        <v>276</v>
      </c>
      <c r="Q1335" s="477" t="s">
        <v>941</v>
      </c>
    </row>
    <row r="1336" spans="2:17" s="375" customFormat="1" ht="12.75" x14ac:dyDescent="0.2">
      <c r="B1336" s="479"/>
      <c r="C1336" s="474"/>
      <c r="P1336" s="476" t="s">
        <v>276</v>
      </c>
      <c r="Q1336" s="477" t="s">
        <v>781</v>
      </c>
    </row>
    <row r="1337" spans="2:17" s="375" customFormat="1" ht="12.75" x14ac:dyDescent="0.2">
      <c r="B1337" s="479"/>
      <c r="C1337" s="474"/>
      <c r="P1337" s="476" t="s">
        <v>276</v>
      </c>
      <c r="Q1337" s="477" t="s">
        <v>942</v>
      </c>
    </row>
    <row r="1338" spans="2:17" s="375" customFormat="1" ht="12.75" x14ac:dyDescent="0.2">
      <c r="B1338" s="479"/>
      <c r="C1338" s="474"/>
      <c r="P1338" s="476" t="s">
        <v>276</v>
      </c>
      <c r="Q1338" s="477" t="s">
        <v>1161</v>
      </c>
    </row>
    <row r="1339" spans="2:17" s="375" customFormat="1" ht="12.75" x14ac:dyDescent="0.2">
      <c r="B1339" s="479"/>
      <c r="C1339" s="474"/>
      <c r="P1339" s="476" t="s">
        <v>276</v>
      </c>
      <c r="Q1339" s="477" t="s">
        <v>1162</v>
      </c>
    </row>
    <row r="1340" spans="2:17" s="375" customFormat="1" ht="12.75" x14ac:dyDescent="0.2">
      <c r="B1340" s="479"/>
      <c r="C1340" s="474"/>
      <c r="P1340" s="476" t="s">
        <v>276</v>
      </c>
      <c r="Q1340" s="477" t="s">
        <v>943</v>
      </c>
    </row>
    <row r="1341" spans="2:17" s="375" customFormat="1" ht="12.75" x14ac:dyDescent="0.2">
      <c r="B1341" s="479"/>
      <c r="C1341" s="474"/>
      <c r="P1341" s="476" t="s">
        <v>276</v>
      </c>
      <c r="Q1341" s="477" t="s">
        <v>1163</v>
      </c>
    </row>
    <row r="1342" spans="2:17" s="375" customFormat="1" ht="12.75" x14ac:dyDescent="0.2">
      <c r="B1342" s="479"/>
      <c r="C1342" s="474"/>
      <c r="P1342" s="476" t="s">
        <v>276</v>
      </c>
      <c r="Q1342" s="477" t="s">
        <v>944</v>
      </c>
    </row>
    <row r="1343" spans="2:17" s="375" customFormat="1" ht="12.75" x14ac:dyDescent="0.2">
      <c r="B1343" s="479"/>
      <c r="C1343" s="474"/>
      <c r="P1343" s="476" t="s">
        <v>276</v>
      </c>
      <c r="Q1343" s="477" t="s">
        <v>1164</v>
      </c>
    </row>
    <row r="1344" spans="2:17" s="375" customFormat="1" ht="12.75" x14ac:dyDescent="0.2">
      <c r="B1344" s="479"/>
      <c r="C1344" s="474"/>
      <c r="P1344" s="476" t="s">
        <v>276</v>
      </c>
      <c r="Q1344" s="477" t="s">
        <v>945</v>
      </c>
    </row>
    <row r="1345" spans="2:17" s="375" customFormat="1" ht="12.75" x14ac:dyDescent="0.2">
      <c r="B1345" s="479"/>
      <c r="C1345" s="474"/>
      <c r="P1345" s="476" t="s">
        <v>276</v>
      </c>
      <c r="Q1345" s="477" t="s">
        <v>1165</v>
      </c>
    </row>
    <row r="1346" spans="2:17" s="375" customFormat="1" ht="12.75" x14ac:dyDescent="0.2">
      <c r="B1346" s="479"/>
      <c r="C1346" s="474"/>
      <c r="P1346" s="476" t="s">
        <v>276</v>
      </c>
      <c r="Q1346" s="477" t="s">
        <v>928</v>
      </c>
    </row>
    <row r="1347" spans="2:17" s="375" customFormat="1" ht="12.75" x14ac:dyDescent="0.2">
      <c r="B1347" s="479"/>
      <c r="C1347" s="474"/>
      <c r="P1347" s="476" t="s">
        <v>276</v>
      </c>
      <c r="Q1347" s="477" t="s">
        <v>929</v>
      </c>
    </row>
    <row r="1348" spans="2:17" s="375" customFormat="1" ht="12.75" x14ac:dyDescent="0.2">
      <c r="B1348" s="479"/>
      <c r="C1348" s="474"/>
      <c r="P1348" s="476" t="s">
        <v>798</v>
      </c>
      <c r="Q1348" s="477" t="s">
        <v>946</v>
      </c>
    </row>
    <row r="1349" spans="2:17" s="375" customFormat="1" ht="12.75" x14ac:dyDescent="0.2">
      <c r="B1349" s="479"/>
      <c r="C1349" s="474"/>
      <c r="P1349" s="476" t="s">
        <v>798</v>
      </c>
      <c r="Q1349" s="477" t="s">
        <v>700</v>
      </c>
    </row>
    <row r="1350" spans="2:17" s="375" customFormat="1" ht="12.75" x14ac:dyDescent="0.2">
      <c r="B1350" s="479"/>
      <c r="C1350" s="474"/>
      <c r="P1350" s="476" t="s">
        <v>799</v>
      </c>
      <c r="Q1350" s="477" t="s">
        <v>946</v>
      </c>
    </row>
    <row r="1351" spans="2:17" s="375" customFormat="1" ht="12.75" x14ac:dyDescent="0.2">
      <c r="B1351" s="479"/>
      <c r="C1351" s="474"/>
      <c r="P1351" s="476" t="s">
        <v>482</v>
      </c>
      <c r="Q1351" s="477" t="s">
        <v>628</v>
      </c>
    </row>
    <row r="1352" spans="2:17" s="375" customFormat="1" ht="12.75" x14ac:dyDescent="0.2">
      <c r="B1352" s="479"/>
      <c r="C1352" s="474"/>
      <c r="P1352" s="476" t="s">
        <v>482</v>
      </c>
      <c r="Q1352" s="477" t="s">
        <v>637</v>
      </c>
    </row>
    <row r="1353" spans="2:17" s="375" customFormat="1" ht="12.75" x14ac:dyDescent="0.2">
      <c r="B1353" s="479"/>
      <c r="C1353" s="474"/>
      <c r="P1353" s="476" t="s">
        <v>482</v>
      </c>
      <c r="Q1353" s="477" t="s">
        <v>639</v>
      </c>
    </row>
    <row r="1354" spans="2:17" s="375" customFormat="1" ht="12.75" x14ac:dyDescent="0.2">
      <c r="B1354" s="479"/>
      <c r="C1354" s="474"/>
      <c r="P1354" s="476" t="s">
        <v>482</v>
      </c>
      <c r="Q1354" s="477" t="s">
        <v>640</v>
      </c>
    </row>
    <row r="1355" spans="2:17" s="375" customFormat="1" ht="12.75" x14ac:dyDescent="0.2">
      <c r="B1355" s="479"/>
      <c r="C1355" s="474"/>
      <c r="P1355" s="476" t="s">
        <v>483</v>
      </c>
      <c r="Q1355" s="477" t="s">
        <v>637</v>
      </c>
    </row>
    <row r="1356" spans="2:17" s="375" customFormat="1" ht="12.75" x14ac:dyDescent="0.2">
      <c r="B1356" s="479"/>
      <c r="C1356" s="474"/>
      <c r="P1356" s="476" t="s">
        <v>483</v>
      </c>
      <c r="Q1356" s="477" t="s">
        <v>639</v>
      </c>
    </row>
    <row r="1357" spans="2:17" s="375" customFormat="1" ht="12.75" x14ac:dyDescent="0.2">
      <c r="B1357" s="479"/>
      <c r="C1357" s="474"/>
      <c r="P1357" s="476" t="s">
        <v>285</v>
      </c>
      <c r="Q1357" s="477" t="s">
        <v>663</v>
      </c>
    </row>
    <row r="1358" spans="2:17" s="375" customFormat="1" ht="12.75" x14ac:dyDescent="0.2">
      <c r="B1358" s="479"/>
      <c r="C1358" s="474"/>
      <c r="P1358" s="476" t="s">
        <v>285</v>
      </c>
      <c r="Q1358" s="477" t="s">
        <v>677</v>
      </c>
    </row>
    <row r="1359" spans="2:17" s="375" customFormat="1" ht="12.75" x14ac:dyDescent="0.2">
      <c r="B1359" s="479"/>
      <c r="C1359" s="474"/>
      <c r="P1359" s="476" t="s">
        <v>285</v>
      </c>
      <c r="Q1359" s="477" t="s">
        <v>678</v>
      </c>
    </row>
    <row r="1360" spans="2:17" s="375" customFormat="1" ht="12.75" x14ac:dyDescent="0.2">
      <c r="B1360" s="479"/>
      <c r="C1360" s="474"/>
      <c r="P1360" s="476" t="s">
        <v>285</v>
      </c>
      <c r="Q1360" s="477" t="s">
        <v>685</v>
      </c>
    </row>
    <row r="1361" spans="2:17" s="375" customFormat="1" ht="12.75" x14ac:dyDescent="0.2">
      <c r="B1361" s="479"/>
      <c r="C1361" s="474"/>
      <c r="P1361" s="476" t="s">
        <v>285</v>
      </c>
      <c r="Q1361" s="477" t="s">
        <v>690</v>
      </c>
    </row>
    <row r="1362" spans="2:17" s="375" customFormat="1" ht="12.75" x14ac:dyDescent="0.2">
      <c r="B1362" s="479"/>
      <c r="C1362" s="474"/>
      <c r="P1362" s="476" t="s">
        <v>286</v>
      </c>
      <c r="Q1362" s="477" t="s">
        <v>659</v>
      </c>
    </row>
    <row r="1363" spans="2:17" s="375" customFormat="1" ht="12.75" x14ac:dyDescent="0.2">
      <c r="B1363" s="479"/>
      <c r="C1363" s="474"/>
      <c r="P1363" s="476" t="s">
        <v>286</v>
      </c>
      <c r="Q1363" s="477" t="s">
        <v>674</v>
      </c>
    </row>
    <row r="1364" spans="2:17" s="375" customFormat="1" ht="12.75" x14ac:dyDescent="0.2">
      <c r="B1364" s="479"/>
      <c r="C1364" s="474"/>
      <c r="P1364" s="476" t="s">
        <v>286</v>
      </c>
      <c r="Q1364" s="477" t="s">
        <v>679</v>
      </c>
    </row>
    <row r="1365" spans="2:17" s="375" customFormat="1" ht="12.75" x14ac:dyDescent="0.2">
      <c r="B1365" s="479"/>
      <c r="C1365" s="474"/>
      <c r="P1365" s="476" t="s">
        <v>286</v>
      </c>
      <c r="Q1365" s="477" t="s">
        <v>682</v>
      </c>
    </row>
    <row r="1366" spans="2:17" s="375" customFormat="1" ht="12.75" x14ac:dyDescent="0.2">
      <c r="B1366" s="479"/>
      <c r="C1366" s="474"/>
      <c r="P1366" s="476" t="s">
        <v>287</v>
      </c>
      <c r="Q1366" s="477" t="s">
        <v>754</v>
      </c>
    </row>
    <row r="1367" spans="2:17" s="375" customFormat="1" ht="12.75" x14ac:dyDescent="0.2">
      <c r="B1367" s="479"/>
      <c r="C1367" s="474"/>
      <c r="P1367" s="476" t="s">
        <v>565</v>
      </c>
      <c r="Q1367" s="477" t="s">
        <v>900</v>
      </c>
    </row>
    <row r="1368" spans="2:17" s="375" customFormat="1" ht="12.75" x14ac:dyDescent="0.2">
      <c r="B1368" s="479"/>
      <c r="C1368" s="474"/>
      <c r="P1368" s="476" t="s">
        <v>565</v>
      </c>
      <c r="Q1368" s="477" t="s">
        <v>901</v>
      </c>
    </row>
    <row r="1369" spans="2:17" s="375" customFormat="1" ht="12.75" x14ac:dyDescent="0.2">
      <c r="B1369" s="479"/>
      <c r="C1369" s="474"/>
      <c r="P1369" s="476" t="s">
        <v>565</v>
      </c>
      <c r="Q1369" s="477" t="s">
        <v>902</v>
      </c>
    </row>
    <row r="1370" spans="2:17" s="375" customFormat="1" ht="12.75" x14ac:dyDescent="0.2">
      <c r="B1370" s="479"/>
      <c r="C1370" s="474"/>
      <c r="P1370" s="476" t="s">
        <v>565</v>
      </c>
      <c r="Q1370" s="477" t="s">
        <v>903</v>
      </c>
    </row>
    <row r="1371" spans="2:17" s="375" customFormat="1" ht="12.75" x14ac:dyDescent="0.2">
      <c r="B1371" s="479"/>
      <c r="C1371" s="474"/>
      <c r="P1371" s="476" t="s">
        <v>565</v>
      </c>
      <c r="Q1371" s="477" t="s">
        <v>904</v>
      </c>
    </row>
    <row r="1372" spans="2:17" s="375" customFormat="1" ht="12.75" x14ac:dyDescent="0.2">
      <c r="B1372" s="479"/>
      <c r="C1372" s="474"/>
      <c r="P1372" s="476" t="s">
        <v>565</v>
      </c>
      <c r="Q1372" s="477" t="s">
        <v>1321</v>
      </c>
    </row>
    <row r="1373" spans="2:17" s="375" customFormat="1" ht="12.75" x14ac:dyDescent="0.2">
      <c r="B1373" s="479"/>
      <c r="C1373" s="474"/>
      <c r="P1373" s="476" t="s">
        <v>565</v>
      </c>
      <c r="Q1373" s="477" t="s">
        <v>1322</v>
      </c>
    </row>
    <row r="1374" spans="2:17" s="375" customFormat="1" ht="12.75" x14ac:dyDescent="0.2">
      <c r="B1374" s="479"/>
      <c r="C1374" s="474"/>
      <c r="P1374" s="476" t="s">
        <v>565</v>
      </c>
      <c r="Q1374" s="477" t="s">
        <v>1323</v>
      </c>
    </row>
    <row r="1375" spans="2:17" s="375" customFormat="1" ht="12.75" x14ac:dyDescent="0.2">
      <c r="B1375" s="479"/>
      <c r="C1375" s="474"/>
      <c r="P1375" s="476" t="s">
        <v>565</v>
      </c>
      <c r="Q1375" s="477" t="s">
        <v>1324</v>
      </c>
    </row>
    <row r="1376" spans="2:17" s="375" customFormat="1" ht="12.75" x14ac:dyDescent="0.2">
      <c r="B1376" s="479"/>
      <c r="C1376" s="474"/>
      <c r="P1376" s="476" t="s">
        <v>565</v>
      </c>
      <c r="Q1376" s="477" t="s">
        <v>1325</v>
      </c>
    </row>
    <row r="1377" spans="2:17" s="375" customFormat="1" ht="12.75" x14ac:dyDescent="0.2">
      <c r="B1377" s="479"/>
      <c r="C1377" s="474"/>
      <c r="P1377" s="476" t="s">
        <v>565</v>
      </c>
      <c r="Q1377" s="477" t="s">
        <v>1326</v>
      </c>
    </row>
    <row r="1378" spans="2:17" s="375" customFormat="1" ht="12.75" x14ac:dyDescent="0.2">
      <c r="B1378" s="479"/>
      <c r="C1378" s="474"/>
      <c r="P1378" s="476" t="s">
        <v>565</v>
      </c>
      <c r="Q1378" s="477" t="s">
        <v>1327</v>
      </c>
    </row>
    <row r="1379" spans="2:17" s="375" customFormat="1" ht="12.75" x14ac:dyDescent="0.2">
      <c r="B1379" s="479"/>
      <c r="C1379" s="474"/>
      <c r="P1379" s="476" t="s">
        <v>565</v>
      </c>
      <c r="Q1379" s="477" t="s">
        <v>1328</v>
      </c>
    </row>
    <row r="1380" spans="2:17" s="375" customFormat="1" ht="12.75" x14ac:dyDescent="0.2">
      <c r="B1380" s="479"/>
      <c r="C1380" s="474"/>
      <c r="P1380" s="476" t="s">
        <v>565</v>
      </c>
      <c r="Q1380" s="477" t="s">
        <v>1329</v>
      </c>
    </row>
    <row r="1381" spans="2:17" s="375" customFormat="1" ht="12.75" x14ac:dyDescent="0.2">
      <c r="B1381" s="479"/>
      <c r="C1381" s="474"/>
      <c r="P1381" s="476" t="s">
        <v>565</v>
      </c>
      <c r="Q1381" s="477" t="s">
        <v>1330</v>
      </c>
    </row>
    <row r="1382" spans="2:17" s="375" customFormat="1" ht="12.75" x14ac:dyDescent="0.2">
      <c r="B1382" s="479"/>
      <c r="C1382" s="474"/>
      <c r="P1382" s="476" t="s">
        <v>566</v>
      </c>
      <c r="Q1382" s="477" t="s">
        <v>900</v>
      </c>
    </row>
    <row r="1383" spans="2:17" s="375" customFormat="1" ht="12.75" x14ac:dyDescent="0.2">
      <c r="B1383" s="479"/>
      <c r="C1383" s="474"/>
      <c r="P1383" s="476" t="s">
        <v>566</v>
      </c>
      <c r="Q1383" s="477" t="s">
        <v>901</v>
      </c>
    </row>
    <row r="1384" spans="2:17" s="375" customFormat="1" ht="12.75" x14ac:dyDescent="0.2">
      <c r="B1384" s="479"/>
      <c r="C1384" s="474"/>
      <c r="P1384" s="476" t="s">
        <v>566</v>
      </c>
      <c r="Q1384" s="477" t="s">
        <v>902</v>
      </c>
    </row>
    <row r="1385" spans="2:17" s="375" customFormat="1" ht="12.75" x14ac:dyDescent="0.2">
      <c r="B1385" s="479"/>
      <c r="C1385" s="474"/>
      <c r="P1385" s="476" t="s">
        <v>566</v>
      </c>
      <c r="Q1385" s="477" t="s">
        <v>903</v>
      </c>
    </row>
    <row r="1386" spans="2:17" s="375" customFormat="1" ht="12.75" x14ac:dyDescent="0.2">
      <c r="B1386" s="479"/>
      <c r="C1386" s="474"/>
      <c r="P1386" s="476" t="s">
        <v>566</v>
      </c>
      <c r="Q1386" s="477" t="s">
        <v>904</v>
      </c>
    </row>
    <row r="1387" spans="2:17" s="375" customFormat="1" ht="12.75" x14ac:dyDescent="0.2">
      <c r="B1387" s="479"/>
      <c r="C1387" s="474"/>
      <c r="P1387" s="476" t="s">
        <v>566</v>
      </c>
      <c r="Q1387" s="477" t="s">
        <v>928</v>
      </c>
    </row>
    <row r="1388" spans="2:17" s="375" customFormat="1" ht="12.75" x14ac:dyDescent="0.2">
      <c r="B1388" s="479"/>
      <c r="C1388" s="474"/>
      <c r="P1388" s="476" t="s">
        <v>566</v>
      </c>
      <c r="Q1388" s="477" t="s">
        <v>1331</v>
      </c>
    </row>
    <row r="1389" spans="2:17" s="375" customFormat="1" ht="12.75" x14ac:dyDescent="0.2">
      <c r="B1389" s="479"/>
      <c r="C1389" s="474"/>
      <c r="P1389" s="476" t="s">
        <v>566</v>
      </c>
      <c r="Q1389" s="477" t="s">
        <v>1332</v>
      </c>
    </row>
    <row r="1390" spans="2:17" s="375" customFormat="1" ht="12.75" x14ac:dyDescent="0.2">
      <c r="B1390" s="479"/>
      <c r="C1390" s="474"/>
      <c r="P1390" s="476" t="s">
        <v>566</v>
      </c>
      <c r="Q1390" s="477" t="s">
        <v>1333</v>
      </c>
    </row>
    <row r="1391" spans="2:17" s="375" customFormat="1" ht="12.75" x14ac:dyDescent="0.2">
      <c r="B1391" s="479"/>
      <c r="C1391" s="474"/>
      <c r="P1391" s="476" t="s">
        <v>566</v>
      </c>
      <c r="Q1391" s="477" t="s">
        <v>929</v>
      </c>
    </row>
    <row r="1392" spans="2:17" s="375" customFormat="1" ht="12.75" x14ac:dyDescent="0.2">
      <c r="B1392" s="479"/>
      <c r="C1392" s="474"/>
      <c r="P1392" s="476" t="s">
        <v>566</v>
      </c>
      <c r="Q1392" s="477" t="s">
        <v>1334</v>
      </c>
    </row>
    <row r="1393" spans="2:17" s="375" customFormat="1" ht="12.75" x14ac:dyDescent="0.2">
      <c r="B1393" s="479"/>
      <c r="C1393" s="474"/>
      <c r="P1393" s="476" t="s">
        <v>566</v>
      </c>
      <c r="Q1393" s="477" t="s">
        <v>1335</v>
      </c>
    </row>
    <row r="1394" spans="2:17" s="375" customFormat="1" ht="12.75" x14ac:dyDescent="0.2">
      <c r="B1394" s="479"/>
      <c r="C1394" s="474"/>
      <c r="P1394" s="476" t="s">
        <v>566</v>
      </c>
      <c r="Q1394" s="477" t="s">
        <v>1336</v>
      </c>
    </row>
    <row r="1395" spans="2:17" s="375" customFormat="1" ht="12.75" x14ac:dyDescent="0.2">
      <c r="B1395" s="479"/>
      <c r="C1395" s="474"/>
      <c r="P1395" s="476" t="s">
        <v>566</v>
      </c>
      <c r="Q1395" s="477" t="s">
        <v>1337</v>
      </c>
    </row>
    <row r="1396" spans="2:17" s="375" customFormat="1" ht="12.75" x14ac:dyDescent="0.2">
      <c r="B1396" s="479"/>
      <c r="C1396" s="474"/>
      <c r="P1396" s="476" t="s">
        <v>566</v>
      </c>
      <c r="Q1396" s="477" t="s">
        <v>1338</v>
      </c>
    </row>
    <row r="1397" spans="2:17" s="375" customFormat="1" ht="12.75" x14ac:dyDescent="0.2">
      <c r="B1397" s="479"/>
      <c r="C1397" s="474"/>
      <c r="P1397" s="476" t="s">
        <v>484</v>
      </c>
      <c r="Q1397" s="477" t="s">
        <v>1054</v>
      </c>
    </row>
    <row r="1398" spans="2:17" s="375" customFormat="1" ht="12.75" x14ac:dyDescent="0.2">
      <c r="B1398" s="479"/>
      <c r="C1398" s="474"/>
      <c r="P1398" s="476" t="s">
        <v>291</v>
      </c>
      <c r="Q1398" s="477" t="s">
        <v>716</v>
      </c>
    </row>
    <row r="1399" spans="2:17" s="375" customFormat="1" ht="12.75" x14ac:dyDescent="0.2">
      <c r="B1399" s="479"/>
      <c r="C1399" s="474"/>
      <c r="P1399" s="476" t="s">
        <v>291</v>
      </c>
      <c r="Q1399" s="477" t="s">
        <v>764</v>
      </c>
    </row>
    <row r="1400" spans="2:17" s="375" customFormat="1" ht="12.75" x14ac:dyDescent="0.2">
      <c r="B1400" s="479"/>
      <c r="C1400" s="474"/>
      <c r="P1400" s="476" t="s">
        <v>290</v>
      </c>
      <c r="Q1400" s="477" t="s">
        <v>852</v>
      </c>
    </row>
    <row r="1401" spans="2:17" s="375" customFormat="1" ht="12.75" x14ac:dyDescent="0.2">
      <c r="B1401" s="479"/>
      <c r="C1401" s="474"/>
      <c r="P1401" s="476" t="s">
        <v>290</v>
      </c>
      <c r="Q1401" s="477" t="s">
        <v>1056</v>
      </c>
    </row>
    <row r="1402" spans="2:17" s="375" customFormat="1" ht="12.75" x14ac:dyDescent="0.2">
      <c r="B1402" s="479"/>
      <c r="C1402" s="474"/>
      <c r="P1402" s="476" t="s">
        <v>290</v>
      </c>
      <c r="Q1402" s="477" t="s">
        <v>1057</v>
      </c>
    </row>
    <row r="1403" spans="2:17" s="375" customFormat="1" ht="12.75" x14ac:dyDescent="0.2">
      <c r="B1403" s="479"/>
      <c r="C1403" s="474"/>
      <c r="P1403" s="476" t="s">
        <v>290</v>
      </c>
      <c r="Q1403" s="477" t="s">
        <v>853</v>
      </c>
    </row>
    <row r="1404" spans="2:17" s="375" customFormat="1" ht="12.75" x14ac:dyDescent="0.2">
      <c r="B1404" s="479"/>
      <c r="C1404" s="474"/>
      <c r="P1404" s="476" t="s">
        <v>290</v>
      </c>
      <c r="Q1404" s="477" t="s">
        <v>854</v>
      </c>
    </row>
    <row r="1405" spans="2:17" s="375" customFormat="1" ht="12.75" x14ac:dyDescent="0.2">
      <c r="B1405" s="479"/>
      <c r="C1405" s="474"/>
      <c r="P1405" s="375" t="s">
        <v>290</v>
      </c>
      <c r="Q1405" s="484" t="s">
        <v>1058</v>
      </c>
    </row>
    <row r="1406" spans="2:17" s="375" customFormat="1" ht="12.75" x14ac:dyDescent="0.2">
      <c r="B1406" s="479"/>
      <c r="C1406" s="474"/>
      <c r="P1406" s="375" t="s">
        <v>290</v>
      </c>
      <c r="Q1406" s="484" t="s">
        <v>1059</v>
      </c>
    </row>
    <row r="1407" spans="2:17" s="375" customFormat="1" ht="12.75" x14ac:dyDescent="0.2">
      <c r="B1407" s="479"/>
      <c r="C1407" s="474"/>
      <c r="P1407" s="375" t="s">
        <v>290</v>
      </c>
      <c r="Q1407" s="484" t="s">
        <v>1060</v>
      </c>
    </row>
    <row r="1408" spans="2:17" s="375" customFormat="1" ht="12.75" x14ac:dyDescent="0.2">
      <c r="B1408" s="479"/>
      <c r="C1408" s="474"/>
      <c r="P1408" s="375" t="s">
        <v>290</v>
      </c>
      <c r="Q1408" s="484" t="s">
        <v>1061</v>
      </c>
    </row>
    <row r="1409" spans="2:17" s="375" customFormat="1" ht="12.75" x14ac:dyDescent="0.2">
      <c r="B1409" s="479"/>
      <c r="C1409" s="474"/>
      <c r="P1409" s="375" t="s">
        <v>290</v>
      </c>
      <c r="Q1409" s="484" t="s">
        <v>855</v>
      </c>
    </row>
    <row r="1410" spans="2:17" s="375" customFormat="1" ht="12.75" x14ac:dyDescent="0.2">
      <c r="B1410" s="479"/>
      <c r="C1410" s="474"/>
      <c r="P1410" s="375" t="s">
        <v>290</v>
      </c>
      <c r="Q1410" s="484" t="s">
        <v>1062</v>
      </c>
    </row>
    <row r="1411" spans="2:17" s="375" customFormat="1" ht="12.75" x14ac:dyDescent="0.2">
      <c r="B1411" s="479"/>
      <c r="C1411" s="474"/>
      <c r="P1411" s="375" t="s">
        <v>290</v>
      </c>
      <c r="Q1411" s="484" t="s">
        <v>856</v>
      </c>
    </row>
    <row r="1412" spans="2:17" s="375" customFormat="1" ht="12.75" x14ac:dyDescent="0.2">
      <c r="B1412" s="479"/>
      <c r="C1412" s="474"/>
      <c r="P1412" s="375" t="s">
        <v>290</v>
      </c>
      <c r="Q1412" s="484" t="s">
        <v>857</v>
      </c>
    </row>
    <row r="1413" spans="2:17" s="375" customFormat="1" ht="12.75" x14ac:dyDescent="0.2">
      <c r="B1413" s="479"/>
      <c r="C1413" s="474"/>
      <c r="P1413" s="375" t="s">
        <v>290</v>
      </c>
      <c r="Q1413" s="484" t="s">
        <v>1063</v>
      </c>
    </row>
    <row r="1414" spans="2:17" s="375" customFormat="1" ht="12.75" x14ac:dyDescent="0.2">
      <c r="B1414" s="479"/>
      <c r="C1414" s="474"/>
      <c r="P1414" s="375" t="s">
        <v>290</v>
      </c>
      <c r="Q1414" s="484" t="s">
        <v>1064</v>
      </c>
    </row>
    <row r="1415" spans="2:17" s="375" customFormat="1" ht="12.75" x14ac:dyDescent="0.2">
      <c r="B1415" s="479"/>
      <c r="C1415" s="474"/>
      <c r="P1415" s="375" t="s">
        <v>290</v>
      </c>
      <c r="Q1415" s="484" t="s">
        <v>858</v>
      </c>
    </row>
    <row r="1416" spans="2:17" s="375" customFormat="1" ht="12.75" x14ac:dyDescent="0.2">
      <c r="B1416" s="479"/>
      <c r="C1416" s="474"/>
      <c r="P1416" s="375" t="s">
        <v>290</v>
      </c>
      <c r="Q1416" s="484" t="s">
        <v>1065</v>
      </c>
    </row>
    <row r="1417" spans="2:17" s="375" customFormat="1" ht="12.75" x14ac:dyDescent="0.2">
      <c r="B1417" s="479"/>
      <c r="C1417" s="474"/>
      <c r="P1417" s="375" t="s">
        <v>290</v>
      </c>
      <c r="Q1417" s="484" t="s">
        <v>1066</v>
      </c>
    </row>
    <row r="1418" spans="2:17" s="375" customFormat="1" ht="12.75" x14ac:dyDescent="0.2">
      <c r="B1418" s="479"/>
      <c r="C1418" s="474"/>
      <c r="P1418" s="375" t="s">
        <v>290</v>
      </c>
      <c r="Q1418" s="484" t="s">
        <v>1067</v>
      </c>
    </row>
    <row r="1419" spans="2:17" s="375" customFormat="1" ht="12.75" x14ac:dyDescent="0.2">
      <c r="B1419" s="479"/>
      <c r="C1419" s="474"/>
      <c r="P1419" s="375" t="s">
        <v>290</v>
      </c>
      <c r="Q1419" s="484" t="s">
        <v>1068</v>
      </c>
    </row>
    <row r="1420" spans="2:17" s="375" customFormat="1" ht="12.75" x14ac:dyDescent="0.2">
      <c r="B1420" s="479"/>
      <c r="C1420" s="474"/>
      <c r="P1420" s="375" t="s">
        <v>290</v>
      </c>
      <c r="Q1420" s="484" t="s">
        <v>1069</v>
      </c>
    </row>
    <row r="1421" spans="2:17" s="375" customFormat="1" ht="12.75" x14ac:dyDescent="0.2">
      <c r="B1421" s="479"/>
      <c r="C1421" s="474"/>
      <c r="P1421" s="375" t="s">
        <v>290</v>
      </c>
      <c r="Q1421" s="484" t="s">
        <v>859</v>
      </c>
    </row>
    <row r="1422" spans="2:17" s="375" customFormat="1" ht="12.75" x14ac:dyDescent="0.2">
      <c r="B1422" s="479"/>
      <c r="C1422" s="474"/>
      <c r="P1422" s="375" t="s">
        <v>290</v>
      </c>
      <c r="Q1422" s="484" t="s">
        <v>1070</v>
      </c>
    </row>
    <row r="1423" spans="2:17" s="375" customFormat="1" ht="12.75" x14ac:dyDescent="0.2">
      <c r="B1423" s="479"/>
      <c r="C1423" s="474"/>
      <c r="P1423" s="375" t="s">
        <v>290</v>
      </c>
      <c r="Q1423" s="484" t="s">
        <v>1071</v>
      </c>
    </row>
    <row r="1424" spans="2:17" s="375" customFormat="1" ht="12.75" x14ac:dyDescent="0.2">
      <c r="B1424" s="479"/>
      <c r="C1424" s="474"/>
      <c r="P1424" s="375" t="s">
        <v>290</v>
      </c>
      <c r="Q1424" s="484" t="s">
        <v>860</v>
      </c>
    </row>
    <row r="1425" spans="2:17" s="375" customFormat="1" ht="12.75" x14ac:dyDescent="0.2">
      <c r="B1425" s="479"/>
      <c r="C1425" s="474"/>
      <c r="P1425" s="375" t="s">
        <v>290</v>
      </c>
      <c r="Q1425" s="484" t="s">
        <v>1072</v>
      </c>
    </row>
    <row r="1426" spans="2:17" s="375" customFormat="1" ht="12.75" x14ac:dyDescent="0.2">
      <c r="B1426" s="479"/>
      <c r="C1426" s="474"/>
      <c r="P1426" s="375" t="s">
        <v>290</v>
      </c>
      <c r="Q1426" s="484" t="s">
        <v>1088</v>
      </c>
    </row>
    <row r="1427" spans="2:17" s="375" customFormat="1" ht="12.75" x14ac:dyDescent="0.2">
      <c r="B1427" s="479"/>
      <c r="C1427" s="474"/>
      <c r="P1427" s="375" t="s">
        <v>290</v>
      </c>
      <c r="Q1427" s="484" t="s">
        <v>1089</v>
      </c>
    </row>
    <row r="1428" spans="2:17" s="375" customFormat="1" ht="12.75" x14ac:dyDescent="0.2">
      <c r="B1428" s="479"/>
      <c r="C1428" s="474"/>
      <c r="P1428" s="375" t="s">
        <v>290</v>
      </c>
      <c r="Q1428" s="484" t="s">
        <v>1090</v>
      </c>
    </row>
    <row r="1429" spans="2:17" s="375" customFormat="1" ht="12.75" x14ac:dyDescent="0.2">
      <c r="B1429" s="479"/>
      <c r="C1429" s="474"/>
      <c r="P1429" s="375" t="s">
        <v>290</v>
      </c>
      <c r="Q1429" s="484" t="s">
        <v>1091</v>
      </c>
    </row>
    <row r="1430" spans="2:17" s="375" customFormat="1" ht="12.75" x14ac:dyDescent="0.2">
      <c r="B1430" s="479"/>
      <c r="C1430" s="474"/>
      <c r="P1430" s="375" t="s">
        <v>290</v>
      </c>
      <c r="Q1430" s="484" t="s">
        <v>1092</v>
      </c>
    </row>
    <row r="1431" spans="2:17" s="375" customFormat="1" ht="12.75" x14ac:dyDescent="0.2">
      <c r="B1431" s="479"/>
      <c r="C1431" s="474"/>
      <c r="P1431" s="375" t="s">
        <v>290</v>
      </c>
      <c r="Q1431" s="484" t="s">
        <v>1093</v>
      </c>
    </row>
    <row r="1432" spans="2:17" s="375" customFormat="1" ht="12.75" x14ac:dyDescent="0.2">
      <c r="B1432" s="479"/>
      <c r="C1432" s="474"/>
      <c r="P1432" s="375" t="s">
        <v>290</v>
      </c>
      <c r="Q1432" s="484" t="s">
        <v>1094</v>
      </c>
    </row>
    <row r="1433" spans="2:17" s="375" customFormat="1" ht="12.75" x14ac:dyDescent="0.2">
      <c r="B1433" s="479"/>
      <c r="C1433" s="474"/>
      <c r="P1433" s="375" t="s">
        <v>290</v>
      </c>
      <c r="Q1433" s="484" t="s">
        <v>1095</v>
      </c>
    </row>
    <row r="1434" spans="2:17" s="375" customFormat="1" ht="12.75" x14ac:dyDescent="0.2">
      <c r="B1434" s="479"/>
      <c r="C1434" s="474"/>
      <c r="P1434" s="375" t="s">
        <v>290</v>
      </c>
      <c r="Q1434" s="484" t="s">
        <v>1096</v>
      </c>
    </row>
    <row r="1435" spans="2:17" s="375" customFormat="1" ht="12.75" x14ac:dyDescent="0.2">
      <c r="B1435" s="479"/>
      <c r="C1435" s="474"/>
      <c r="P1435" s="375" t="s">
        <v>290</v>
      </c>
      <c r="Q1435" s="484" t="s">
        <v>1097</v>
      </c>
    </row>
    <row r="1436" spans="2:17" s="375" customFormat="1" ht="12.75" x14ac:dyDescent="0.2">
      <c r="B1436" s="479"/>
      <c r="C1436" s="474"/>
      <c r="P1436" s="375" t="s">
        <v>290</v>
      </c>
      <c r="Q1436" s="484" t="s">
        <v>1098</v>
      </c>
    </row>
    <row r="1437" spans="2:17" s="375" customFormat="1" ht="12.75" x14ac:dyDescent="0.2">
      <c r="B1437" s="479"/>
      <c r="C1437" s="474"/>
      <c r="P1437" s="375" t="s">
        <v>290</v>
      </c>
      <c r="Q1437" s="484" t="s">
        <v>1099</v>
      </c>
    </row>
    <row r="1438" spans="2:17" s="375" customFormat="1" ht="12.75" x14ac:dyDescent="0.2">
      <c r="B1438" s="479"/>
      <c r="C1438" s="474"/>
      <c r="P1438" s="375" t="s">
        <v>290</v>
      </c>
      <c r="Q1438" s="484" t="s">
        <v>1100</v>
      </c>
    </row>
    <row r="1439" spans="2:17" s="375" customFormat="1" ht="12.75" x14ac:dyDescent="0.2">
      <c r="B1439" s="479"/>
      <c r="C1439" s="474"/>
      <c r="P1439" s="375" t="s">
        <v>290</v>
      </c>
      <c r="Q1439" s="484" t="s">
        <v>1101</v>
      </c>
    </row>
    <row r="1440" spans="2:17" s="375" customFormat="1" ht="12.75" x14ac:dyDescent="0.2">
      <c r="B1440" s="479"/>
      <c r="C1440" s="474"/>
      <c r="P1440" s="375" t="s">
        <v>290</v>
      </c>
      <c r="Q1440" s="484" t="s">
        <v>1102</v>
      </c>
    </row>
    <row r="1441" spans="2:17" s="375" customFormat="1" ht="12.75" x14ac:dyDescent="0.2">
      <c r="B1441" s="479"/>
      <c r="C1441" s="474"/>
      <c r="P1441" s="375" t="s">
        <v>290</v>
      </c>
      <c r="Q1441" s="484" t="s">
        <v>1103</v>
      </c>
    </row>
    <row r="1442" spans="2:17" s="375" customFormat="1" ht="12.75" x14ac:dyDescent="0.2">
      <c r="B1442" s="479"/>
      <c r="C1442" s="474"/>
      <c r="P1442" s="375" t="s">
        <v>290</v>
      </c>
      <c r="Q1442" s="484" t="s">
        <v>1104</v>
      </c>
    </row>
    <row r="1443" spans="2:17" s="375" customFormat="1" ht="12.75" x14ac:dyDescent="0.2">
      <c r="B1443" s="479"/>
      <c r="C1443" s="474"/>
      <c r="P1443" s="375" t="s">
        <v>290</v>
      </c>
      <c r="Q1443" s="484" t="s">
        <v>1105</v>
      </c>
    </row>
    <row r="1444" spans="2:17" s="375" customFormat="1" ht="12.75" x14ac:dyDescent="0.2">
      <c r="B1444" s="479"/>
      <c r="C1444" s="474"/>
      <c r="P1444" s="375" t="s">
        <v>290</v>
      </c>
      <c r="Q1444" s="484" t="s">
        <v>1106</v>
      </c>
    </row>
    <row r="1445" spans="2:17" s="375" customFormat="1" ht="12.75" x14ac:dyDescent="0.2">
      <c r="B1445" s="479"/>
      <c r="C1445" s="474"/>
      <c r="P1445" s="375" t="s">
        <v>290</v>
      </c>
      <c r="Q1445" s="484" t="s">
        <v>1107</v>
      </c>
    </row>
    <row r="1446" spans="2:17" s="375" customFormat="1" ht="12.75" x14ac:dyDescent="0.2">
      <c r="B1446" s="479"/>
      <c r="C1446" s="474"/>
      <c r="P1446" s="375" t="s">
        <v>290</v>
      </c>
      <c r="Q1446" s="484" t="s">
        <v>1108</v>
      </c>
    </row>
    <row r="1447" spans="2:17" s="375" customFormat="1" ht="12.75" x14ac:dyDescent="0.2">
      <c r="B1447" s="479"/>
      <c r="C1447" s="474"/>
      <c r="P1447" s="375" t="s">
        <v>290</v>
      </c>
      <c r="Q1447" s="484" t="s">
        <v>1109</v>
      </c>
    </row>
    <row r="1448" spans="2:17" s="375" customFormat="1" ht="12.75" x14ac:dyDescent="0.2">
      <c r="B1448" s="479"/>
      <c r="C1448" s="474"/>
      <c r="P1448" s="375" t="s">
        <v>290</v>
      </c>
      <c r="Q1448" s="484" t="s">
        <v>1110</v>
      </c>
    </row>
    <row r="1449" spans="2:17" s="375" customFormat="1" ht="12.75" x14ac:dyDescent="0.2">
      <c r="B1449" s="479"/>
      <c r="C1449" s="474"/>
      <c r="P1449" s="375" t="s">
        <v>290</v>
      </c>
      <c r="Q1449" s="484" t="s">
        <v>1111</v>
      </c>
    </row>
    <row r="1450" spans="2:17" s="375" customFormat="1" ht="12.75" x14ac:dyDescent="0.2">
      <c r="B1450" s="479"/>
      <c r="C1450" s="474"/>
      <c r="P1450" s="375" t="s">
        <v>290</v>
      </c>
      <c r="Q1450" s="484" t="s">
        <v>1112</v>
      </c>
    </row>
    <row r="1451" spans="2:17" s="375" customFormat="1" ht="12.75" x14ac:dyDescent="0.2">
      <c r="B1451" s="479"/>
      <c r="C1451" s="474"/>
      <c r="P1451" s="375" t="s">
        <v>290</v>
      </c>
      <c r="Q1451" s="484" t="s">
        <v>1113</v>
      </c>
    </row>
    <row r="1452" spans="2:17" s="375" customFormat="1" ht="12.75" x14ac:dyDescent="0.2">
      <c r="B1452" s="479"/>
      <c r="C1452" s="474"/>
      <c r="P1452" s="375" t="s">
        <v>290</v>
      </c>
      <c r="Q1452" s="484" t="s">
        <v>1114</v>
      </c>
    </row>
    <row r="1453" spans="2:17" s="375" customFormat="1" ht="12.75" x14ac:dyDescent="0.2">
      <c r="B1453" s="479"/>
      <c r="C1453" s="474"/>
      <c r="P1453" s="375" t="s">
        <v>290</v>
      </c>
      <c r="Q1453" s="484" t="s">
        <v>1594</v>
      </c>
    </row>
    <row r="1454" spans="2:17" s="375" customFormat="1" ht="12.75" x14ac:dyDescent="0.2">
      <c r="B1454" s="479"/>
      <c r="C1454" s="474"/>
      <c r="P1454" s="375" t="s">
        <v>485</v>
      </c>
      <c r="Q1454" s="484" t="s">
        <v>1084</v>
      </c>
    </row>
    <row r="1455" spans="2:17" s="375" customFormat="1" ht="12.75" x14ac:dyDescent="0.2">
      <c r="B1455" s="479"/>
      <c r="C1455" s="474"/>
      <c r="P1455" s="375" t="s">
        <v>486</v>
      </c>
      <c r="Q1455" s="484" t="s">
        <v>621</v>
      </c>
    </row>
    <row r="1456" spans="2:17" s="375" customFormat="1" ht="12.75" x14ac:dyDescent="0.2">
      <c r="B1456" s="479"/>
      <c r="C1456" s="474"/>
      <c r="P1456" s="375" t="s">
        <v>292</v>
      </c>
      <c r="Q1456" s="484" t="s">
        <v>148</v>
      </c>
    </row>
    <row r="1457" spans="2:17" s="375" customFormat="1" ht="12.75" x14ac:dyDescent="0.2">
      <c r="B1457" s="479"/>
      <c r="C1457" s="474"/>
      <c r="P1457" s="375" t="s">
        <v>292</v>
      </c>
      <c r="Q1457" s="484" t="s">
        <v>907</v>
      </c>
    </row>
    <row r="1458" spans="2:17" s="375" customFormat="1" ht="12.75" x14ac:dyDescent="0.2">
      <c r="B1458" s="479"/>
      <c r="C1458" s="474"/>
      <c r="P1458" s="375" t="s">
        <v>387</v>
      </c>
      <c r="Q1458" s="484" t="s">
        <v>645</v>
      </c>
    </row>
    <row r="1459" spans="2:17" s="375" customFormat="1" ht="12.75" x14ac:dyDescent="0.2">
      <c r="B1459" s="479"/>
      <c r="C1459" s="474"/>
      <c r="P1459" s="375" t="s">
        <v>387</v>
      </c>
      <c r="Q1459" s="484" t="s">
        <v>654</v>
      </c>
    </row>
    <row r="1460" spans="2:17" s="375" customFormat="1" ht="12.75" x14ac:dyDescent="0.2">
      <c r="B1460" s="479"/>
      <c r="C1460" s="474"/>
      <c r="P1460" s="375" t="s">
        <v>387</v>
      </c>
      <c r="Q1460" s="484" t="s">
        <v>738</v>
      </c>
    </row>
    <row r="1461" spans="2:17" s="375" customFormat="1" ht="12.75" x14ac:dyDescent="0.2">
      <c r="B1461" s="479"/>
      <c r="C1461" s="474"/>
      <c r="P1461" s="375" t="s">
        <v>293</v>
      </c>
      <c r="Q1461" s="484" t="s">
        <v>862</v>
      </c>
    </row>
    <row r="1462" spans="2:17" s="375" customFormat="1" ht="12.75" x14ac:dyDescent="0.2">
      <c r="B1462" s="479"/>
      <c r="C1462" s="474"/>
      <c r="P1462" s="375" t="s">
        <v>487</v>
      </c>
      <c r="Q1462" s="484" t="s">
        <v>1074</v>
      </c>
    </row>
    <row r="1463" spans="2:17" s="375" customFormat="1" ht="12.75" x14ac:dyDescent="0.2">
      <c r="B1463" s="479"/>
      <c r="C1463" s="474"/>
      <c r="P1463" s="375" t="s">
        <v>488</v>
      </c>
      <c r="Q1463" s="484" t="s">
        <v>1075</v>
      </c>
    </row>
    <row r="1464" spans="2:17" s="375" customFormat="1" ht="12.75" x14ac:dyDescent="0.2">
      <c r="B1464" s="479"/>
      <c r="C1464" s="474"/>
      <c r="P1464" s="375" t="s">
        <v>489</v>
      </c>
      <c r="Q1464" s="484" t="s">
        <v>1076</v>
      </c>
    </row>
    <row r="1465" spans="2:17" s="375" customFormat="1" ht="12.75" x14ac:dyDescent="0.2">
      <c r="B1465" s="479"/>
      <c r="C1465" s="474"/>
      <c r="P1465" s="375" t="s">
        <v>490</v>
      </c>
      <c r="Q1465" s="484" t="s">
        <v>1077</v>
      </c>
    </row>
    <row r="1466" spans="2:17" s="375" customFormat="1" ht="12.75" x14ac:dyDescent="0.2">
      <c r="B1466" s="479"/>
      <c r="C1466" s="474"/>
      <c r="P1466" s="375" t="s">
        <v>491</v>
      </c>
      <c r="Q1466" s="484" t="s">
        <v>1051</v>
      </c>
    </row>
    <row r="1467" spans="2:17" s="375" customFormat="1" ht="12.75" x14ac:dyDescent="0.2">
      <c r="B1467" s="479"/>
      <c r="C1467" s="474"/>
      <c r="P1467" s="375" t="s">
        <v>823</v>
      </c>
      <c r="Q1467" s="484" t="s">
        <v>1051</v>
      </c>
    </row>
    <row r="1468" spans="2:17" s="375" customFormat="1" ht="12.75" x14ac:dyDescent="0.2">
      <c r="B1468" s="479"/>
      <c r="C1468" s="474"/>
      <c r="P1468" s="375" t="e">
        <v>#N/A</v>
      </c>
      <c r="Q1468" s="484" t="s">
        <v>917</v>
      </c>
    </row>
    <row r="1469" spans="2:17" s="375" customFormat="1" ht="12.75" x14ac:dyDescent="0.2">
      <c r="B1469" s="479"/>
      <c r="C1469" s="474"/>
      <c r="P1469" s="375" t="s">
        <v>388</v>
      </c>
      <c r="Q1469" s="484" t="s">
        <v>1413</v>
      </c>
    </row>
    <row r="1470" spans="2:17" s="375" customFormat="1" ht="12.75" x14ac:dyDescent="0.2">
      <c r="B1470" s="479"/>
      <c r="C1470" s="474"/>
      <c r="P1470" s="375" t="s">
        <v>388</v>
      </c>
      <c r="Q1470" s="484" t="s">
        <v>1414</v>
      </c>
    </row>
    <row r="1471" spans="2:17" s="375" customFormat="1" ht="12.75" x14ac:dyDescent="0.2">
      <c r="B1471" s="479"/>
      <c r="C1471" s="474"/>
      <c r="P1471" s="375" t="s">
        <v>388</v>
      </c>
      <c r="Q1471" s="484" t="s">
        <v>1415</v>
      </c>
    </row>
    <row r="1472" spans="2:17" s="375" customFormat="1" ht="12.75" x14ac:dyDescent="0.2">
      <c r="B1472" s="479"/>
      <c r="C1472" s="474"/>
      <c r="P1472" s="375" t="s">
        <v>388</v>
      </c>
      <c r="Q1472" s="484" t="s">
        <v>1416</v>
      </c>
    </row>
    <row r="1473" spans="2:18" s="375" customFormat="1" ht="12.75" x14ac:dyDescent="0.2">
      <c r="B1473" s="479"/>
      <c r="C1473" s="474"/>
      <c r="P1473" s="375" t="s">
        <v>388</v>
      </c>
      <c r="Q1473" s="484" t="s">
        <v>1417</v>
      </c>
    </row>
    <row r="1474" spans="2:18" s="375" customFormat="1" ht="12.75" x14ac:dyDescent="0.2">
      <c r="B1474" s="479"/>
      <c r="C1474" s="474"/>
      <c r="P1474" s="375" t="s">
        <v>388</v>
      </c>
      <c r="Q1474" s="484" t="s">
        <v>1418</v>
      </c>
    </row>
    <row r="1475" spans="2:18" s="375" customFormat="1" ht="12.75" x14ac:dyDescent="0.2">
      <c r="B1475" s="479"/>
      <c r="C1475" s="474"/>
      <c r="P1475" s="375" t="s">
        <v>388</v>
      </c>
      <c r="Q1475" s="484" t="s">
        <v>1437</v>
      </c>
    </row>
    <row r="1476" spans="2:18" s="375" customFormat="1" ht="12.75" x14ac:dyDescent="0.2">
      <c r="B1476" s="479"/>
      <c r="C1476" s="474"/>
      <c r="P1476" s="375" t="s">
        <v>388</v>
      </c>
      <c r="Q1476" s="484" t="s">
        <v>1438</v>
      </c>
    </row>
    <row r="1477" spans="2:18" s="375" customFormat="1" ht="12.75" x14ac:dyDescent="0.2">
      <c r="B1477" s="479"/>
      <c r="C1477" s="474"/>
      <c r="P1477" s="375" t="s">
        <v>388</v>
      </c>
      <c r="Q1477" s="484" t="s">
        <v>1439</v>
      </c>
    </row>
    <row r="1478" spans="2:18" s="375" customFormat="1" ht="12.75" x14ac:dyDescent="0.2">
      <c r="B1478" s="479"/>
      <c r="C1478" s="474"/>
      <c r="P1478" s="375" t="s">
        <v>388</v>
      </c>
      <c r="Q1478" s="484" t="s">
        <v>1440</v>
      </c>
    </row>
    <row r="1479" spans="2:18" s="375" customFormat="1" ht="12.75" x14ac:dyDescent="0.2">
      <c r="B1479" s="479"/>
      <c r="C1479" s="474"/>
      <c r="P1479" s="375" t="s">
        <v>388</v>
      </c>
      <c r="Q1479" s="484" t="s">
        <v>1441</v>
      </c>
    </row>
    <row r="1480" spans="2:18" s="375" customFormat="1" ht="12.75" x14ac:dyDescent="0.2">
      <c r="B1480" s="479"/>
      <c r="C1480" s="474"/>
      <c r="P1480" s="375" t="s">
        <v>388</v>
      </c>
      <c r="Q1480" s="484" t="s">
        <v>1442</v>
      </c>
    </row>
    <row r="1481" spans="2:18" s="375" customFormat="1" ht="12.75" x14ac:dyDescent="0.2">
      <c r="B1481" s="479"/>
      <c r="C1481" s="474"/>
      <c r="P1481" s="375" t="s">
        <v>388</v>
      </c>
      <c r="Q1481" s="484" t="s">
        <v>1510</v>
      </c>
    </row>
    <row r="1482" spans="2:18" s="375" customFormat="1" ht="12.75" x14ac:dyDescent="0.2">
      <c r="B1482" s="479"/>
      <c r="C1482" s="474"/>
      <c r="P1482" s="375" t="s">
        <v>388</v>
      </c>
      <c r="Q1482" s="484" t="s">
        <v>1511</v>
      </c>
    </row>
    <row r="1483" spans="2:18" s="375" customFormat="1" ht="12.75" x14ac:dyDescent="0.2">
      <c r="B1483" s="479"/>
      <c r="C1483" s="474"/>
      <c r="P1483" s="375" t="s">
        <v>388</v>
      </c>
      <c r="Q1483" s="484" t="s">
        <v>917</v>
      </c>
    </row>
    <row r="1484" spans="2:18" x14ac:dyDescent="0.25">
      <c r="P1484" t="s">
        <v>492</v>
      </c>
      <c r="Q1484" t="s">
        <v>1076</v>
      </c>
      <c r="R1484" s="375"/>
    </row>
    <row r="1485" spans="2:18" x14ac:dyDescent="0.25">
      <c r="P1485" t="s">
        <v>493</v>
      </c>
      <c r="Q1485" t="s">
        <v>1079</v>
      </c>
      <c r="R1485" s="375"/>
    </row>
    <row r="1486" spans="2:18" x14ac:dyDescent="0.25">
      <c r="P1486" t="s">
        <v>389</v>
      </c>
      <c r="Q1486" t="s">
        <v>1141</v>
      </c>
      <c r="R1486" s="375"/>
    </row>
    <row r="1487" spans="2:18" x14ac:dyDescent="0.25">
      <c r="P1487" t="s">
        <v>389</v>
      </c>
      <c r="Q1487" t="s">
        <v>918</v>
      </c>
      <c r="R1487" s="375"/>
    </row>
    <row r="1488" spans="2:18" x14ac:dyDescent="0.25">
      <c r="P1488" t="s">
        <v>389</v>
      </c>
      <c r="Q1488" t="s">
        <v>919</v>
      </c>
      <c r="R1488" s="375"/>
    </row>
    <row r="1489" spans="16:18" x14ac:dyDescent="0.25">
      <c r="P1489" t="s">
        <v>389</v>
      </c>
      <c r="Q1489" t="s">
        <v>920</v>
      </c>
      <c r="R1489" s="375"/>
    </row>
    <row r="1490" spans="16:18" x14ac:dyDescent="0.25">
      <c r="P1490" t="s">
        <v>389</v>
      </c>
      <c r="Q1490" t="s">
        <v>921</v>
      </c>
      <c r="R1490" s="375"/>
    </row>
    <row r="1491" spans="16:18" x14ac:dyDescent="0.25">
      <c r="P1491" t="s">
        <v>389</v>
      </c>
      <c r="Q1491" t="s">
        <v>922</v>
      </c>
      <c r="R1491" s="375"/>
    </row>
    <row r="1492" spans="16:18" x14ac:dyDescent="0.25">
      <c r="P1492" t="s">
        <v>389</v>
      </c>
      <c r="Q1492" t="s">
        <v>923</v>
      </c>
      <c r="R1492" s="375"/>
    </row>
    <row r="1493" spans="16:18" x14ac:dyDescent="0.25">
      <c r="P1493" t="s">
        <v>389</v>
      </c>
      <c r="Q1493" t="s">
        <v>924</v>
      </c>
      <c r="R1493" s="375"/>
    </row>
    <row r="1494" spans="16:18" x14ac:dyDescent="0.25">
      <c r="P1494" t="s">
        <v>389</v>
      </c>
      <c r="Q1494" t="s">
        <v>925</v>
      </c>
      <c r="R1494" s="375"/>
    </row>
    <row r="1495" spans="16:18" x14ac:dyDescent="0.25">
      <c r="P1495" t="s">
        <v>389</v>
      </c>
      <c r="Q1495" t="s">
        <v>926</v>
      </c>
      <c r="R1495" s="375"/>
    </row>
    <row r="1496" spans="16:18" x14ac:dyDescent="0.25">
      <c r="P1496" t="s">
        <v>389</v>
      </c>
      <c r="Q1496" t="s">
        <v>927</v>
      </c>
      <c r="R1496" s="375"/>
    </row>
    <row r="1497" spans="16:18" x14ac:dyDescent="0.25">
      <c r="P1497" t="s">
        <v>389</v>
      </c>
      <c r="Q1497" t="s">
        <v>649</v>
      </c>
      <c r="R1497" s="375"/>
    </row>
    <row r="1498" spans="16:18" x14ac:dyDescent="0.25">
      <c r="P1498" t="s">
        <v>389</v>
      </c>
      <c r="Q1498" t="s">
        <v>1142</v>
      </c>
      <c r="R1498" s="375"/>
    </row>
    <row r="1499" spans="16:18" x14ac:dyDescent="0.25">
      <c r="P1499" t="s">
        <v>494</v>
      </c>
      <c r="Q1499" t="s">
        <v>1080</v>
      </c>
      <c r="R1499" s="375"/>
    </row>
    <row r="1500" spans="16:18" x14ac:dyDescent="0.25">
      <c r="P1500" t="s">
        <v>567</v>
      </c>
      <c r="Q1500" t="s">
        <v>928</v>
      </c>
      <c r="R1500" s="375"/>
    </row>
    <row r="1501" spans="16:18" x14ac:dyDescent="0.25">
      <c r="P1501" t="s">
        <v>567</v>
      </c>
      <c r="Q1501" t="s">
        <v>929</v>
      </c>
      <c r="R1501" s="375"/>
    </row>
    <row r="1502" spans="16:18" x14ac:dyDescent="0.25">
      <c r="P1502" t="s">
        <v>495</v>
      </c>
      <c r="Q1502" t="s">
        <v>1081</v>
      </c>
      <c r="R1502" s="375"/>
    </row>
    <row r="1503" spans="16:18" x14ac:dyDescent="0.25">
      <c r="P1503" t="s">
        <v>800</v>
      </c>
      <c r="Q1503" t="s">
        <v>1085</v>
      </c>
      <c r="R1503" s="375"/>
    </row>
    <row r="1504" spans="16:18" x14ac:dyDescent="0.25">
      <c r="P1504" t="s">
        <v>801</v>
      </c>
      <c r="Q1504" t="s">
        <v>629</v>
      </c>
      <c r="R1504" s="375"/>
    </row>
    <row r="1505" spans="16:18" x14ac:dyDescent="0.25">
      <c r="P1505" t="s">
        <v>801</v>
      </c>
      <c r="Q1505" t="s">
        <v>641</v>
      </c>
      <c r="R1505" s="375"/>
    </row>
    <row r="1506" spans="16:18" x14ac:dyDescent="0.25">
      <c r="P1506" t="s">
        <v>294</v>
      </c>
      <c r="Q1506" t="s">
        <v>627</v>
      </c>
      <c r="R1506" s="375"/>
    </row>
    <row r="1507" spans="16:18" x14ac:dyDescent="0.25">
      <c r="P1507" t="s">
        <v>497</v>
      </c>
      <c r="Q1507" t="s">
        <v>1076</v>
      </c>
      <c r="R1507" s="375"/>
    </row>
    <row r="1508" spans="16:18" x14ac:dyDescent="0.25">
      <c r="P1508" t="s">
        <v>498</v>
      </c>
      <c r="Q1508" t="s">
        <v>1076</v>
      </c>
      <c r="R1508" s="375"/>
    </row>
    <row r="1509" spans="16:18" x14ac:dyDescent="0.25">
      <c r="P1509" t="e">
        <v>#N/A</v>
      </c>
      <c r="Q1509" t="s">
        <v>1076</v>
      </c>
      <c r="R1509" s="375"/>
    </row>
    <row r="1510" spans="16:18" x14ac:dyDescent="0.25">
      <c r="P1510" t="s">
        <v>496</v>
      </c>
      <c r="Q1510" t="s">
        <v>1076</v>
      </c>
      <c r="R1510" s="375"/>
    </row>
    <row r="1511" spans="16:18" x14ac:dyDescent="0.25">
      <c r="P1511" t="s">
        <v>390</v>
      </c>
      <c r="Q1511" t="s">
        <v>717</v>
      </c>
      <c r="R1511" s="375"/>
    </row>
    <row r="1512" spans="16:18" x14ac:dyDescent="0.25">
      <c r="P1512" t="s">
        <v>391</v>
      </c>
      <c r="Q1512" t="s">
        <v>930</v>
      </c>
      <c r="R1512" s="375"/>
    </row>
    <row r="1513" spans="16:18" x14ac:dyDescent="0.25">
      <c r="P1513" t="s">
        <v>391</v>
      </c>
      <c r="Q1513" t="s">
        <v>931</v>
      </c>
      <c r="R1513" s="375"/>
    </row>
    <row r="1514" spans="16:18" x14ac:dyDescent="0.25">
      <c r="P1514" t="s">
        <v>391</v>
      </c>
      <c r="Q1514" t="s">
        <v>648</v>
      </c>
      <c r="R1514" s="375"/>
    </row>
    <row r="1515" spans="16:18" x14ac:dyDescent="0.25">
      <c r="P1515" t="s">
        <v>295</v>
      </c>
      <c r="Q1515" t="s">
        <v>983</v>
      </c>
      <c r="R1515" s="375"/>
    </row>
    <row r="1516" spans="16:18" x14ac:dyDescent="0.25">
      <c r="P1516" t="s">
        <v>295</v>
      </c>
      <c r="Q1516" t="s">
        <v>984</v>
      </c>
      <c r="R1516" s="375"/>
    </row>
    <row r="1517" spans="16:18" x14ac:dyDescent="0.25">
      <c r="P1517" t="s">
        <v>295</v>
      </c>
      <c r="Q1517" t="s">
        <v>985</v>
      </c>
      <c r="R1517" s="375"/>
    </row>
    <row r="1518" spans="16:18" x14ac:dyDescent="0.25">
      <c r="P1518" t="s">
        <v>295</v>
      </c>
      <c r="Q1518" t="s">
        <v>986</v>
      </c>
      <c r="R1518" s="375"/>
    </row>
    <row r="1519" spans="16:18" x14ac:dyDescent="0.25">
      <c r="P1519" t="s">
        <v>295</v>
      </c>
      <c r="Q1519" t="s">
        <v>17</v>
      </c>
      <c r="R1519" s="375"/>
    </row>
    <row r="1520" spans="16:18" x14ac:dyDescent="0.25">
      <c r="P1520" t="s">
        <v>295</v>
      </c>
      <c r="Q1520" t="s">
        <v>175</v>
      </c>
      <c r="R1520" s="375"/>
    </row>
    <row r="1521" spans="16:18" x14ac:dyDescent="0.25">
      <c r="P1521" t="s">
        <v>295</v>
      </c>
      <c r="Q1521" t="s">
        <v>177</v>
      </c>
      <c r="R1521" s="375"/>
    </row>
    <row r="1522" spans="16:18" x14ac:dyDescent="0.25">
      <c r="P1522" t="s">
        <v>295</v>
      </c>
      <c r="Q1522" t="s">
        <v>987</v>
      </c>
      <c r="R1522" s="375"/>
    </row>
    <row r="1523" spans="16:18" x14ac:dyDescent="0.25">
      <c r="P1523" t="s">
        <v>295</v>
      </c>
      <c r="Q1523" t="s">
        <v>988</v>
      </c>
      <c r="R1523" s="375"/>
    </row>
    <row r="1524" spans="16:18" x14ac:dyDescent="0.25">
      <c r="P1524" t="s">
        <v>295</v>
      </c>
      <c r="Q1524" t="s">
        <v>989</v>
      </c>
      <c r="R1524" s="375"/>
    </row>
    <row r="1525" spans="16:18" x14ac:dyDescent="0.25">
      <c r="P1525" t="s">
        <v>295</v>
      </c>
      <c r="Q1525" t="s">
        <v>1086</v>
      </c>
      <c r="R1525" s="375"/>
    </row>
    <row r="1526" spans="16:18" x14ac:dyDescent="0.25">
      <c r="P1526" t="s">
        <v>295</v>
      </c>
      <c r="Q1526" t="s">
        <v>990</v>
      </c>
      <c r="R1526" s="375"/>
    </row>
    <row r="1527" spans="16:18" x14ac:dyDescent="0.25">
      <c r="P1527" t="s">
        <v>295</v>
      </c>
      <c r="Q1527" t="s">
        <v>991</v>
      </c>
      <c r="R1527" s="375"/>
    </row>
    <row r="1528" spans="16:18" x14ac:dyDescent="0.25">
      <c r="P1528" t="s">
        <v>295</v>
      </c>
      <c r="Q1528" t="s">
        <v>38</v>
      </c>
      <c r="R1528" s="375"/>
    </row>
    <row r="1529" spans="16:18" x14ac:dyDescent="0.25">
      <c r="P1529" t="s">
        <v>295</v>
      </c>
      <c r="Q1529" t="s">
        <v>992</v>
      </c>
      <c r="R1529" s="375"/>
    </row>
    <row r="1530" spans="16:18" x14ac:dyDescent="0.25">
      <c r="P1530" t="s">
        <v>296</v>
      </c>
      <c r="Q1530" t="s">
        <v>1595</v>
      </c>
      <c r="R1530" s="375"/>
    </row>
    <row r="1531" spans="16:18" x14ac:dyDescent="0.25">
      <c r="P1531" t="s">
        <v>296</v>
      </c>
      <c r="Q1531" t="s">
        <v>1596</v>
      </c>
      <c r="R1531" s="375"/>
    </row>
    <row r="1532" spans="16:18" x14ac:dyDescent="0.25">
      <c r="P1532" t="s">
        <v>296</v>
      </c>
      <c r="Q1532" t="s">
        <v>1597</v>
      </c>
      <c r="R1532" s="375"/>
    </row>
    <row r="1533" spans="16:18" x14ac:dyDescent="0.25">
      <c r="P1533" t="s">
        <v>296</v>
      </c>
      <c r="Q1533" t="s">
        <v>1598</v>
      </c>
      <c r="R1533" s="375"/>
    </row>
    <row r="1534" spans="16:18" x14ac:dyDescent="0.25">
      <c r="P1534" t="s">
        <v>296</v>
      </c>
      <c r="Q1534" t="s">
        <v>993</v>
      </c>
      <c r="R1534" s="375"/>
    </row>
    <row r="1535" spans="16:18" x14ac:dyDescent="0.25">
      <c r="P1535" t="s">
        <v>296</v>
      </c>
      <c r="Q1535" t="s">
        <v>719</v>
      </c>
      <c r="R1535" s="375"/>
    </row>
    <row r="1536" spans="16:18" x14ac:dyDescent="0.25">
      <c r="P1536" t="s">
        <v>296</v>
      </c>
      <c r="Q1536" t="s">
        <v>720</v>
      </c>
      <c r="R1536" s="375"/>
    </row>
    <row r="1537" spans="16:18" x14ac:dyDescent="0.25">
      <c r="P1537" t="s">
        <v>296</v>
      </c>
      <c r="Q1537" t="s">
        <v>721</v>
      </c>
      <c r="R1537" s="375"/>
    </row>
    <row r="1538" spans="16:18" x14ac:dyDescent="0.25">
      <c r="P1538" t="s">
        <v>296</v>
      </c>
      <c r="Q1538" t="s">
        <v>724</v>
      </c>
      <c r="R1538" s="375"/>
    </row>
    <row r="1539" spans="16:18" x14ac:dyDescent="0.25">
      <c r="P1539" t="s">
        <v>296</v>
      </c>
      <c r="Q1539" t="s">
        <v>1512</v>
      </c>
      <c r="R1539" s="375"/>
    </row>
    <row r="1540" spans="16:18" x14ac:dyDescent="0.25">
      <c r="P1540" t="s">
        <v>802</v>
      </c>
      <c r="Q1540" t="s">
        <v>1087</v>
      </c>
      <c r="R1540" s="375"/>
    </row>
    <row r="1541" spans="16:18" x14ac:dyDescent="0.25">
      <c r="P1541" t="s">
        <v>297</v>
      </c>
      <c r="Q1541" t="s">
        <v>680</v>
      </c>
      <c r="R1541" s="375"/>
    </row>
    <row r="1542" spans="16:18" x14ac:dyDescent="0.25">
      <c r="P1542" t="s">
        <v>499</v>
      </c>
      <c r="Q1542" t="s">
        <v>1082</v>
      </c>
      <c r="R1542" s="375"/>
    </row>
    <row r="1543" spans="16:18" x14ac:dyDescent="0.25">
      <c r="P1543" t="s">
        <v>299</v>
      </c>
      <c r="Q1543" t="s">
        <v>581</v>
      </c>
      <c r="R1543" s="375"/>
    </row>
    <row r="1544" spans="16:18" x14ac:dyDescent="0.25">
      <c r="P1544" t="s">
        <v>299</v>
      </c>
      <c r="Q1544" t="s">
        <v>582</v>
      </c>
      <c r="R1544" s="375"/>
    </row>
    <row r="1545" spans="16:18" x14ac:dyDescent="0.25">
      <c r="P1545" t="s">
        <v>299</v>
      </c>
      <c r="Q1545" t="s">
        <v>1599</v>
      </c>
      <c r="R1545" s="375"/>
    </row>
    <row r="1546" spans="16:18" x14ac:dyDescent="0.25">
      <c r="P1546" t="s">
        <v>299</v>
      </c>
      <c r="Q1546" t="s">
        <v>1600</v>
      </c>
      <c r="R1546" s="375"/>
    </row>
    <row r="1547" spans="16:18" x14ac:dyDescent="0.25">
      <c r="P1547" t="s">
        <v>299</v>
      </c>
      <c r="Q1547" t="s">
        <v>1601</v>
      </c>
      <c r="R1547" s="375"/>
    </row>
    <row r="1548" spans="16:18" x14ac:dyDescent="0.25">
      <c r="P1548" t="s">
        <v>299</v>
      </c>
      <c r="Q1548" t="s">
        <v>1602</v>
      </c>
      <c r="R1548" s="375"/>
    </row>
    <row r="1549" spans="16:18" x14ac:dyDescent="0.25">
      <c r="P1549" t="s">
        <v>299</v>
      </c>
      <c r="Q1549" t="s">
        <v>1603</v>
      </c>
      <c r="R1549" s="375"/>
    </row>
    <row r="1550" spans="16:18" x14ac:dyDescent="0.25">
      <c r="P1550" t="s">
        <v>299</v>
      </c>
      <c r="Q1550" t="s">
        <v>1604</v>
      </c>
      <c r="R1550" s="375"/>
    </row>
    <row r="1551" spans="16:18" x14ac:dyDescent="0.25">
      <c r="P1551" t="s">
        <v>299</v>
      </c>
      <c r="Q1551" t="s">
        <v>1605</v>
      </c>
      <c r="R1551" s="375"/>
    </row>
    <row r="1552" spans="16:18" x14ac:dyDescent="0.25">
      <c r="P1552" t="s">
        <v>299</v>
      </c>
      <c r="Q1552" t="s">
        <v>1606</v>
      </c>
      <c r="R1552" s="375"/>
    </row>
    <row r="1553" spans="16:18" x14ac:dyDescent="0.25">
      <c r="P1553" t="s">
        <v>299</v>
      </c>
      <c r="Q1553" t="s">
        <v>1607</v>
      </c>
      <c r="R1553" s="375"/>
    </row>
    <row r="1554" spans="16:18" x14ac:dyDescent="0.25">
      <c r="P1554" t="s">
        <v>299</v>
      </c>
      <c r="Q1554" t="s">
        <v>1608</v>
      </c>
      <c r="R1554" s="375"/>
    </row>
    <row r="1555" spans="16:18" x14ac:dyDescent="0.25">
      <c r="P1555" t="s">
        <v>299</v>
      </c>
      <c r="Q1555" t="s">
        <v>1609</v>
      </c>
      <c r="R1555" s="375"/>
    </row>
    <row r="1556" spans="16:18" x14ac:dyDescent="0.25">
      <c r="P1556" t="s">
        <v>299</v>
      </c>
      <c r="Q1556" t="s">
        <v>1610</v>
      </c>
      <c r="R1556" s="375"/>
    </row>
    <row r="1557" spans="16:18" x14ac:dyDescent="0.25">
      <c r="P1557" t="s">
        <v>299</v>
      </c>
      <c r="Q1557" t="s">
        <v>1611</v>
      </c>
      <c r="R1557" s="375"/>
    </row>
    <row r="1558" spans="16:18" x14ac:dyDescent="0.25">
      <c r="P1558" t="s">
        <v>299</v>
      </c>
      <c r="Q1558" t="s">
        <v>1612</v>
      </c>
      <c r="R1558" s="375"/>
    </row>
    <row r="1559" spans="16:18" x14ac:dyDescent="0.25">
      <c r="P1559" t="s">
        <v>298</v>
      </c>
      <c r="Q1559" t="s">
        <v>994</v>
      </c>
      <c r="R1559" s="375"/>
    </row>
    <row r="1560" spans="16:18" x14ac:dyDescent="0.25">
      <c r="P1560" t="s">
        <v>298</v>
      </c>
      <c r="Q1560" t="s">
        <v>995</v>
      </c>
      <c r="R1560" s="375"/>
    </row>
    <row r="1561" spans="16:18" x14ac:dyDescent="0.25">
      <c r="P1561" t="s">
        <v>298</v>
      </c>
      <c r="Q1561" t="s">
        <v>1421</v>
      </c>
      <c r="R1561" s="375"/>
    </row>
    <row r="1562" spans="16:18" x14ac:dyDescent="0.25">
      <c r="P1562" t="s">
        <v>298</v>
      </c>
      <c r="Q1562" t="s">
        <v>1436</v>
      </c>
      <c r="R1562" s="375"/>
    </row>
    <row r="1563" spans="16:18" x14ac:dyDescent="0.25">
      <c r="P1563" t="s">
        <v>298</v>
      </c>
      <c r="Q1563" t="s">
        <v>1422</v>
      </c>
      <c r="R1563" s="375"/>
    </row>
    <row r="1564" spans="16:18" x14ac:dyDescent="0.25">
      <c r="P1564" t="s">
        <v>298</v>
      </c>
      <c r="Q1564" t="s">
        <v>579</v>
      </c>
      <c r="R1564" s="375"/>
    </row>
    <row r="1565" spans="16:18" x14ac:dyDescent="0.25">
      <c r="P1565" t="s">
        <v>298</v>
      </c>
      <c r="Q1565" t="s">
        <v>580</v>
      </c>
      <c r="R1565" s="375"/>
    </row>
    <row r="1566" spans="16:18" x14ac:dyDescent="0.25">
      <c r="P1566" t="s">
        <v>298</v>
      </c>
      <c r="Q1566" t="s">
        <v>996</v>
      </c>
      <c r="R1566" s="375"/>
    </row>
    <row r="1567" spans="16:18" x14ac:dyDescent="0.25">
      <c r="P1567" t="s">
        <v>298</v>
      </c>
      <c r="Q1567" t="s">
        <v>997</v>
      </c>
      <c r="R1567" s="375"/>
    </row>
    <row r="1568" spans="16:18" x14ac:dyDescent="0.25">
      <c r="P1568" t="s">
        <v>298</v>
      </c>
      <c r="Q1568" t="s">
        <v>998</v>
      </c>
      <c r="R1568" s="375"/>
    </row>
    <row r="1569" spans="16:18" x14ac:dyDescent="0.25">
      <c r="P1569" t="s">
        <v>298</v>
      </c>
      <c r="Q1569" t="s">
        <v>999</v>
      </c>
      <c r="R1569" s="375"/>
    </row>
    <row r="1570" spans="16:18" x14ac:dyDescent="0.25">
      <c r="P1570" t="s">
        <v>298</v>
      </c>
      <c r="Q1570" t="s">
        <v>1144</v>
      </c>
      <c r="R1570" s="375"/>
    </row>
    <row r="1571" spans="16:18" x14ac:dyDescent="0.25">
      <c r="P1571" t="s">
        <v>298</v>
      </c>
      <c r="Q1571" t="s">
        <v>1000</v>
      </c>
      <c r="R1571" s="375"/>
    </row>
    <row r="1572" spans="16:18" x14ac:dyDescent="0.25">
      <c r="P1572" t="s">
        <v>298</v>
      </c>
      <c r="Q1572" t="s">
        <v>1001</v>
      </c>
      <c r="R1572" s="375"/>
    </row>
    <row r="1573" spans="16:18" x14ac:dyDescent="0.25">
      <c r="P1573" t="s">
        <v>298</v>
      </c>
      <c r="Q1573" t="s">
        <v>1002</v>
      </c>
      <c r="R1573" s="375"/>
    </row>
    <row r="1574" spans="16:18" x14ac:dyDescent="0.25">
      <c r="P1574" t="s">
        <v>298</v>
      </c>
      <c r="Q1574" t="s">
        <v>1003</v>
      </c>
      <c r="R1574" s="375"/>
    </row>
    <row r="1575" spans="16:18" x14ac:dyDescent="0.25">
      <c r="P1575" t="s">
        <v>298</v>
      </c>
      <c r="Q1575" t="s">
        <v>1004</v>
      </c>
      <c r="R1575" s="375"/>
    </row>
    <row r="1576" spans="16:18" x14ac:dyDescent="0.25">
      <c r="P1576" t="s">
        <v>298</v>
      </c>
      <c r="Q1576" t="s">
        <v>581</v>
      </c>
      <c r="R1576" s="375"/>
    </row>
    <row r="1577" spans="16:18" x14ac:dyDescent="0.25">
      <c r="P1577" t="s">
        <v>298</v>
      </c>
      <c r="Q1577" t="s">
        <v>1005</v>
      </c>
      <c r="R1577" s="375"/>
    </row>
    <row r="1578" spans="16:18" x14ac:dyDescent="0.25">
      <c r="P1578" t="s">
        <v>298</v>
      </c>
      <c r="Q1578" t="s">
        <v>1006</v>
      </c>
      <c r="R1578" s="375"/>
    </row>
    <row r="1579" spans="16:18" x14ac:dyDescent="0.25">
      <c r="P1579" t="s">
        <v>298</v>
      </c>
      <c r="Q1579" t="s">
        <v>1423</v>
      </c>
      <c r="R1579" s="375"/>
    </row>
    <row r="1580" spans="16:18" x14ac:dyDescent="0.25">
      <c r="P1580" t="s">
        <v>298</v>
      </c>
      <c r="Q1580" t="s">
        <v>1007</v>
      </c>
      <c r="R1580" s="375"/>
    </row>
    <row r="1581" spans="16:18" x14ac:dyDescent="0.25">
      <c r="P1581" t="s">
        <v>298</v>
      </c>
      <c r="Q1581" t="s">
        <v>1008</v>
      </c>
      <c r="R1581" s="375"/>
    </row>
    <row r="1582" spans="16:18" x14ac:dyDescent="0.25">
      <c r="P1582" t="s">
        <v>298</v>
      </c>
      <c r="Q1582" t="s">
        <v>582</v>
      </c>
      <c r="R1582" s="375"/>
    </row>
    <row r="1583" spans="16:18" x14ac:dyDescent="0.25">
      <c r="P1583" t="s">
        <v>298</v>
      </c>
      <c r="Q1583" t="s">
        <v>1009</v>
      </c>
      <c r="R1583" s="375"/>
    </row>
    <row r="1584" spans="16:18" x14ac:dyDescent="0.25">
      <c r="P1584" t="s">
        <v>298</v>
      </c>
      <c r="Q1584" t="s">
        <v>1424</v>
      </c>
      <c r="R1584" s="375"/>
    </row>
    <row r="1585" spans="16:18" x14ac:dyDescent="0.25">
      <c r="P1585" t="s">
        <v>298</v>
      </c>
      <c r="Q1585" t="s">
        <v>1010</v>
      </c>
      <c r="R1585" s="375"/>
    </row>
    <row r="1586" spans="16:18" x14ac:dyDescent="0.25">
      <c r="P1586" t="s">
        <v>298</v>
      </c>
      <c r="Q1586" t="s">
        <v>1145</v>
      </c>
      <c r="R1586" s="375"/>
    </row>
    <row r="1587" spans="16:18" x14ac:dyDescent="0.25">
      <c r="P1587" t="s">
        <v>298</v>
      </c>
      <c r="Q1587" t="s">
        <v>1011</v>
      </c>
      <c r="R1587" s="375"/>
    </row>
    <row r="1588" spans="16:18" x14ac:dyDescent="0.25">
      <c r="P1588" t="s">
        <v>298</v>
      </c>
      <c r="Q1588" t="s">
        <v>1012</v>
      </c>
      <c r="R1588" s="375"/>
    </row>
    <row r="1589" spans="16:18" x14ac:dyDescent="0.25">
      <c r="P1589" t="s">
        <v>298</v>
      </c>
      <c r="Q1589" t="s">
        <v>1146</v>
      </c>
      <c r="R1589" s="375"/>
    </row>
    <row r="1590" spans="16:18" x14ac:dyDescent="0.25">
      <c r="P1590" t="s">
        <v>298</v>
      </c>
      <c r="Q1590" t="s">
        <v>1013</v>
      </c>
      <c r="R1590" s="375"/>
    </row>
    <row r="1591" spans="16:18" x14ac:dyDescent="0.25">
      <c r="P1591" t="s">
        <v>298</v>
      </c>
      <c r="Q1591" t="s">
        <v>1014</v>
      </c>
      <c r="R1591" s="375"/>
    </row>
    <row r="1592" spans="16:18" x14ac:dyDescent="0.25">
      <c r="P1592" t="s">
        <v>298</v>
      </c>
      <c r="Q1592" t="s">
        <v>1015</v>
      </c>
      <c r="R1592" s="375"/>
    </row>
    <row r="1593" spans="16:18" x14ac:dyDescent="0.25">
      <c r="P1593" t="s">
        <v>298</v>
      </c>
      <c r="Q1593" t="s">
        <v>1016</v>
      </c>
      <c r="R1593" s="375"/>
    </row>
    <row r="1594" spans="16:18" x14ac:dyDescent="0.25">
      <c r="P1594" t="s">
        <v>298</v>
      </c>
      <c r="Q1594" t="s">
        <v>1017</v>
      </c>
      <c r="R1594" s="375"/>
    </row>
    <row r="1595" spans="16:18" x14ac:dyDescent="0.25">
      <c r="P1595" t="s">
        <v>298</v>
      </c>
      <c r="Q1595" t="s">
        <v>1018</v>
      </c>
      <c r="R1595" s="375"/>
    </row>
    <row r="1596" spans="16:18" x14ac:dyDescent="0.25">
      <c r="P1596" t="s">
        <v>298</v>
      </c>
      <c r="Q1596" t="s">
        <v>1599</v>
      </c>
    </row>
    <row r="1597" spans="16:18" x14ac:dyDescent="0.25">
      <c r="P1597" t="s">
        <v>298</v>
      </c>
      <c r="Q1597" t="s">
        <v>1600</v>
      </c>
    </row>
    <row r="1598" spans="16:18" x14ac:dyDescent="0.25">
      <c r="P1598" t="s">
        <v>298</v>
      </c>
      <c r="Q1598" t="s">
        <v>1601</v>
      </c>
    </row>
    <row r="1599" spans="16:18" x14ac:dyDescent="0.25">
      <c r="P1599" t="s">
        <v>298</v>
      </c>
      <c r="Q1599" t="s">
        <v>1602</v>
      </c>
    </row>
    <row r="1600" spans="16:18" x14ac:dyDescent="0.25">
      <c r="P1600" t="s">
        <v>298</v>
      </c>
      <c r="Q1600" t="s">
        <v>1603</v>
      </c>
    </row>
    <row r="1601" spans="16:17" x14ac:dyDescent="0.25">
      <c r="P1601" t="s">
        <v>298</v>
      </c>
      <c r="Q1601" t="s">
        <v>1604</v>
      </c>
    </row>
    <row r="1602" spans="16:17" x14ac:dyDescent="0.25">
      <c r="P1602" t="s">
        <v>298</v>
      </c>
      <c r="Q1602" t="s">
        <v>1605</v>
      </c>
    </row>
    <row r="1603" spans="16:17" x14ac:dyDescent="0.25">
      <c r="P1603" t="s">
        <v>298</v>
      </c>
      <c r="Q1603" t="s">
        <v>1513</v>
      </c>
    </row>
    <row r="1604" spans="16:17" x14ac:dyDescent="0.25">
      <c r="P1604" t="s">
        <v>298</v>
      </c>
      <c r="Q1604" t="s">
        <v>1443</v>
      </c>
    </row>
    <row r="1605" spans="16:17" x14ac:dyDescent="0.25">
      <c r="P1605" t="s">
        <v>298</v>
      </c>
      <c r="Q1605" t="s">
        <v>1444</v>
      </c>
    </row>
    <row r="1606" spans="16:17" x14ac:dyDescent="0.25">
      <c r="P1606" t="s">
        <v>298</v>
      </c>
      <c r="Q1606" t="s">
        <v>1445</v>
      </c>
    </row>
    <row r="1607" spans="16:17" x14ac:dyDescent="0.25">
      <c r="P1607" t="s">
        <v>298</v>
      </c>
      <c r="Q1607" t="s">
        <v>1446</v>
      </c>
    </row>
    <row r="1608" spans="16:17" x14ac:dyDescent="0.25">
      <c r="P1608" t="s">
        <v>298</v>
      </c>
      <c r="Q1608" t="s">
        <v>1606</v>
      </c>
    </row>
    <row r="1609" spans="16:17" x14ac:dyDescent="0.25">
      <c r="P1609" t="s">
        <v>298</v>
      </c>
      <c r="Q1609" t="s">
        <v>1607</v>
      </c>
    </row>
    <row r="1610" spans="16:17" x14ac:dyDescent="0.25">
      <c r="P1610" t="s">
        <v>298</v>
      </c>
      <c r="Q1610" t="s">
        <v>1608</v>
      </c>
    </row>
    <row r="1611" spans="16:17" x14ac:dyDescent="0.25">
      <c r="P1611" t="s">
        <v>298</v>
      </c>
      <c r="Q1611" t="s">
        <v>1609</v>
      </c>
    </row>
    <row r="1612" spans="16:17" x14ac:dyDescent="0.25">
      <c r="P1612" t="s">
        <v>298</v>
      </c>
      <c r="Q1612" t="s">
        <v>1610</v>
      </c>
    </row>
    <row r="1613" spans="16:17" x14ac:dyDescent="0.25">
      <c r="P1613" t="s">
        <v>298</v>
      </c>
      <c r="Q1613" t="s">
        <v>1611</v>
      </c>
    </row>
    <row r="1614" spans="16:17" x14ac:dyDescent="0.25">
      <c r="P1614" t="s">
        <v>298</v>
      </c>
      <c r="Q1614" t="s">
        <v>1612</v>
      </c>
    </row>
    <row r="1615" spans="16:17" x14ac:dyDescent="0.25">
      <c r="P1615" t="s">
        <v>298</v>
      </c>
      <c r="Q1615" t="s">
        <v>722</v>
      </c>
    </row>
    <row r="1616" spans="16:17" x14ac:dyDescent="0.25">
      <c r="P1616" t="s">
        <v>298</v>
      </c>
      <c r="Q1616" t="s">
        <v>1154</v>
      </c>
    </row>
    <row r="1617" spans="16:17" x14ac:dyDescent="0.25">
      <c r="P1617" t="s">
        <v>298</v>
      </c>
      <c r="Q1617" t="s">
        <v>1426</v>
      </c>
    </row>
    <row r="1618" spans="16:17" x14ac:dyDescent="0.25">
      <c r="P1618" t="s">
        <v>298</v>
      </c>
      <c r="Q1618" t="s">
        <v>779</v>
      </c>
    </row>
    <row r="1619" spans="16:17" x14ac:dyDescent="0.25">
      <c r="P1619" t="s">
        <v>298</v>
      </c>
      <c r="Q1619" t="s">
        <v>1155</v>
      </c>
    </row>
    <row r="1620" spans="16:17" x14ac:dyDescent="0.25">
      <c r="P1620" t="s">
        <v>298</v>
      </c>
      <c r="Q1620" t="s">
        <v>1156</v>
      </c>
    </row>
    <row r="1621" spans="16:17" x14ac:dyDescent="0.25">
      <c r="P1621" t="s">
        <v>298</v>
      </c>
      <c r="Q1621" t="s">
        <v>1157</v>
      </c>
    </row>
    <row r="1622" spans="16:17" x14ac:dyDescent="0.25">
      <c r="P1622" t="s">
        <v>298</v>
      </c>
      <c r="Q1622" t="s">
        <v>1158</v>
      </c>
    </row>
    <row r="1623" spans="16:17" x14ac:dyDescent="0.25">
      <c r="P1623" t="s">
        <v>298</v>
      </c>
      <c r="Q1623" t="s">
        <v>1159</v>
      </c>
    </row>
    <row r="1624" spans="16:17" x14ac:dyDescent="0.25">
      <c r="P1624" t="s">
        <v>298</v>
      </c>
      <c r="Q1624" t="s">
        <v>1160</v>
      </c>
    </row>
    <row r="1625" spans="16:17" x14ac:dyDescent="0.25">
      <c r="P1625" t="s">
        <v>298</v>
      </c>
      <c r="Q1625" t="s">
        <v>197</v>
      </c>
    </row>
    <row r="1626" spans="16:17" x14ac:dyDescent="0.25">
      <c r="P1626" t="s">
        <v>298</v>
      </c>
      <c r="Q1626" t="s">
        <v>941</v>
      </c>
    </row>
    <row r="1627" spans="16:17" x14ac:dyDescent="0.25">
      <c r="P1627" t="s">
        <v>298</v>
      </c>
      <c r="Q1627" t="s">
        <v>781</v>
      </c>
    </row>
    <row r="1628" spans="16:17" x14ac:dyDescent="0.25">
      <c r="P1628" t="s">
        <v>298</v>
      </c>
      <c r="Q1628" t="s">
        <v>942</v>
      </c>
    </row>
    <row r="1629" spans="16:17" x14ac:dyDescent="0.25">
      <c r="P1629" t="s">
        <v>298</v>
      </c>
      <c r="Q1629" t="s">
        <v>1161</v>
      </c>
    </row>
    <row r="1630" spans="16:17" x14ac:dyDescent="0.25">
      <c r="P1630" t="s">
        <v>298</v>
      </c>
      <c r="Q1630" t="s">
        <v>1162</v>
      </c>
    </row>
    <row r="1631" spans="16:17" x14ac:dyDescent="0.25">
      <c r="P1631" t="s">
        <v>298</v>
      </c>
      <c r="Q1631" t="s">
        <v>943</v>
      </c>
    </row>
    <row r="1632" spans="16:17" x14ac:dyDescent="0.25">
      <c r="P1632" t="s">
        <v>298</v>
      </c>
      <c r="Q1632" t="s">
        <v>1163</v>
      </c>
    </row>
    <row r="1633" spans="16:17" x14ac:dyDescent="0.25">
      <c r="P1633" t="s">
        <v>298</v>
      </c>
      <c r="Q1633" t="s">
        <v>944</v>
      </c>
    </row>
    <row r="1634" spans="16:17" x14ac:dyDescent="0.25">
      <c r="P1634" t="s">
        <v>298</v>
      </c>
      <c r="Q1634" t="s">
        <v>1164</v>
      </c>
    </row>
    <row r="1635" spans="16:17" x14ac:dyDescent="0.25">
      <c r="P1635" t="s">
        <v>298</v>
      </c>
      <c r="Q1635" t="s">
        <v>945</v>
      </c>
    </row>
    <row r="1636" spans="16:17" x14ac:dyDescent="0.25">
      <c r="P1636" t="s">
        <v>298</v>
      </c>
      <c r="Q1636" t="s">
        <v>1165</v>
      </c>
    </row>
    <row r="1637" spans="16:17" x14ac:dyDescent="0.25">
      <c r="P1637" t="s">
        <v>298</v>
      </c>
      <c r="Q1637" t="s">
        <v>928</v>
      </c>
    </row>
    <row r="1638" spans="16:17" x14ac:dyDescent="0.25">
      <c r="P1638" t="s">
        <v>298</v>
      </c>
      <c r="Q1638" t="s">
        <v>929</v>
      </c>
    </row>
    <row r="1639" spans="16:17" x14ac:dyDescent="0.25">
      <c r="P1639" t="s">
        <v>301</v>
      </c>
      <c r="Q1639" t="s">
        <v>754</v>
      </c>
    </row>
    <row r="1640" spans="16:17" x14ac:dyDescent="0.25">
      <c r="P1640" t="s">
        <v>502</v>
      </c>
      <c r="Q1640" t="s">
        <v>946</v>
      </c>
    </row>
    <row r="1641" spans="16:17" x14ac:dyDescent="0.25">
      <c r="P1641" t="s">
        <v>302</v>
      </c>
      <c r="Q1641" t="s">
        <v>909</v>
      </c>
    </row>
    <row r="1642" spans="16:17" x14ac:dyDescent="0.25">
      <c r="P1642" t="s">
        <v>302</v>
      </c>
      <c r="Q1642" t="s">
        <v>734</v>
      </c>
    </row>
    <row r="1643" spans="16:17" x14ac:dyDescent="0.25">
      <c r="P1643" t="s">
        <v>302</v>
      </c>
      <c r="Q1643" t="s">
        <v>187</v>
      </c>
    </row>
    <row r="1644" spans="16:17" x14ac:dyDescent="0.25">
      <c r="P1644" t="s">
        <v>302</v>
      </c>
      <c r="Q1644" t="s">
        <v>188</v>
      </c>
    </row>
    <row r="1645" spans="16:17" x14ac:dyDescent="0.25">
      <c r="P1645" t="s">
        <v>302</v>
      </c>
      <c r="Q1645" t="s">
        <v>189</v>
      </c>
    </row>
    <row r="1646" spans="16:17" x14ac:dyDescent="0.25">
      <c r="P1646" t="s">
        <v>302</v>
      </c>
      <c r="Q1646" t="s">
        <v>190</v>
      </c>
    </row>
    <row r="1647" spans="16:17" x14ac:dyDescent="0.25">
      <c r="P1647" t="s">
        <v>500</v>
      </c>
      <c r="Q1647" t="s">
        <v>1073</v>
      </c>
    </row>
    <row r="1648" spans="16:17" x14ac:dyDescent="0.25">
      <c r="P1648" t="s">
        <v>501</v>
      </c>
      <c r="Q1648" t="s">
        <v>1051</v>
      </c>
    </row>
    <row r="1649" spans="16:17" x14ac:dyDescent="0.25">
      <c r="P1649" t="s">
        <v>303</v>
      </c>
      <c r="Q1649" t="s">
        <v>1613</v>
      </c>
    </row>
    <row r="1650" spans="16:17" x14ac:dyDescent="0.25">
      <c r="P1650" t="s">
        <v>303</v>
      </c>
      <c r="Q1650" t="s">
        <v>1614</v>
      </c>
    </row>
    <row r="1651" spans="16:17" x14ac:dyDescent="0.25">
      <c r="P1651" t="s">
        <v>303</v>
      </c>
      <c r="Q1651" t="s">
        <v>1529</v>
      </c>
    </row>
    <row r="1652" spans="16:17" x14ac:dyDescent="0.25">
      <c r="P1652" t="s">
        <v>303</v>
      </c>
      <c r="Q1652" t="s">
        <v>910</v>
      </c>
    </row>
    <row r="1653" spans="16:17" x14ac:dyDescent="0.25">
      <c r="P1653" t="s">
        <v>303</v>
      </c>
      <c r="Q1653" t="s">
        <v>1615</v>
      </c>
    </row>
    <row r="1654" spans="16:17" x14ac:dyDescent="0.25">
      <c r="P1654" t="s">
        <v>303</v>
      </c>
      <c r="Q1654" t="s">
        <v>186</v>
      </c>
    </row>
    <row r="1655" spans="16:17" x14ac:dyDescent="0.25">
      <c r="P1655" t="s">
        <v>568</v>
      </c>
      <c r="Q1655" t="s">
        <v>1339</v>
      </c>
    </row>
    <row r="1656" spans="16:17" x14ac:dyDescent="0.25">
      <c r="P1656" t="s">
        <v>568</v>
      </c>
      <c r="Q1656" t="s">
        <v>1340</v>
      </c>
    </row>
    <row r="1657" spans="16:17" x14ac:dyDescent="0.25">
      <c r="P1657" t="s">
        <v>568</v>
      </c>
      <c r="Q1657" t="s">
        <v>1341</v>
      </c>
    </row>
    <row r="1658" spans="16:17" x14ac:dyDescent="0.25">
      <c r="P1658" t="s">
        <v>568</v>
      </c>
      <c r="Q1658" t="s">
        <v>1342</v>
      </c>
    </row>
    <row r="1659" spans="16:17" x14ac:dyDescent="0.25">
      <c r="P1659" t="s">
        <v>568</v>
      </c>
      <c r="Q1659" t="s">
        <v>1343</v>
      </c>
    </row>
    <row r="1660" spans="16:17" x14ac:dyDescent="0.25">
      <c r="P1660" t="s">
        <v>568</v>
      </c>
      <c r="Q1660" t="s">
        <v>1344</v>
      </c>
    </row>
    <row r="1661" spans="16:17" x14ac:dyDescent="0.25">
      <c r="P1661" t="s">
        <v>568</v>
      </c>
      <c r="Q1661" t="s">
        <v>1345</v>
      </c>
    </row>
    <row r="1662" spans="16:17" x14ac:dyDescent="0.25">
      <c r="P1662" t="s">
        <v>568</v>
      </c>
      <c r="Q1662" t="s">
        <v>1346</v>
      </c>
    </row>
    <row r="1663" spans="16:17" x14ac:dyDescent="0.25">
      <c r="P1663" t="s">
        <v>568</v>
      </c>
      <c r="Q1663" t="s">
        <v>1347</v>
      </c>
    </row>
    <row r="1664" spans="16:17" x14ac:dyDescent="0.25">
      <c r="P1664" t="s">
        <v>568</v>
      </c>
      <c r="Q1664" t="s">
        <v>1348</v>
      </c>
    </row>
    <row r="1665" spans="16:17" x14ac:dyDescent="0.25">
      <c r="P1665" t="s">
        <v>568</v>
      </c>
      <c r="Q1665" t="s">
        <v>1349</v>
      </c>
    </row>
    <row r="1666" spans="16:17" x14ac:dyDescent="0.25">
      <c r="P1666" t="s">
        <v>568</v>
      </c>
      <c r="Q1666" t="s">
        <v>928</v>
      </c>
    </row>
    <row r="1667" spans="16:17" x14ac:dyDescent="0.25">
      <c r="P1667" t="s">
        <v>568</v>
      </c>
      <c r="Q1667" t="s">
        <v>929</v>
      </c>
    </row>
    <row r="1668" spans="16:17" x14ac:dyDescent="0.25">
      <c r="P1668" t="s">
        <v>503</v>
      </c>
      <c r="Q1668" t="s">
        <v>622</v>
      </c>
    </row>
    <row r="1669" spans="16:17" x14ac:dyDescent="0.25">
      <c r="P1669" t="s">
        <v>503</v>
      </c>
      <c r="Q1669" t="s">
        <v>735</v>
      </c>
    </row>
    <row r="1670" spans="16:17" x14ac:dyDescent="0.25">
      <c r="P1670" t="s">
        <v>305</v>
      </c>
      <c r="Q1670" t="s">
        <v>632</v>
      </c>
    </row>
    <row r="1671" spans="16:17" x14ac:dyDescent="0.25">
      <c r="P1671" t="s">
        <v>305</v>
      </c>
      <c r="Q1671" t="s">
        <v>633</v>
      </c>
    </row>
    <row r="1672" spans="16:17" x14ac:dyDescent="0.25">
      <c r="P1672" t="s">
        <v>305</v>
      </c>
      <c r="Q1672" t="s">
        <v>634</v>
      </c>
    </row>
    <row r="1673" spans="16:17" x14ac:dyDescent="0.25">
      <c r="P1673" t="s">
        <v>306</v>
      </c>
      <c r="Q1673" t="s">
        <v>1019</v>
      </c>
    </row>
    <row r="1674" spans="16:17" x14ac:dyDescent="0.25">
      <c r="P1674" t="s">
        <v>306</v>
      </c>
      <c r="Q1674" t="s">
        <v>1020</v>
      </c>
    </row>
    <row r="1675" spans="16:17" x14ac:dyDescent="0.25">
      <c r="P1675" t="s">
        <v>306</v>
      </c>
      <c r="Q1675" t="s">
        <v>1514</v>
      </c>
    </row>
    <row r="1676" spans="16:17" x14ac:dyDescent="0.25">
      <c r="P1676" t="s">
        <v>306</v>
      </c>
      <c r="Q1676" t="s">
        <v>1401</v>
      </c>
    </row>
    <row r="1677" spans="16:17" x14ac:dyDescent="0.25">
      <c r="P1677" t="s">
        <v>306</v>
      </c>
      <c r="Q1677" t="s">
        <v>726</v>
      </c>
    </row>
    <row r="1678" spans="16:17" x14ac:dyDescent="0.25">
      <c r="P1678" t="s">
        <v>306</v>
      </c>
      <c r="Q1678" t="s">
        <v>727</v>
      </c>
    </row>
    <row r="1679" spans="16:17" x14ac:dyDescent="0.25">
      <c r="P1679" t="s">
        <v>306</v>
      </c>
      <c r="Q1679" t="s">
        <v>186</v>
      </c>
    </row>
    <row r="1680" spans="16:17" x14ac:dyDescent="0.25">
      <c r="P1680" t="s">
        <v>306</v>
      </c>
      <c r="Q1680" t="s">
        <v>728</v>
      </c>
    </row>
    <row r="1681" spans="16:17" x14ac:dyDescent="0.25">
      <c r="P1681" t="s">
        <v>306</v>
      </c>
      <c r="Q1681" t="s">
        <v>729</v>
      </c>
    </row>
    <row r="1682" spans="16:17" x14ac:dyDescent="0.25">
      <c r="P1682" t="s">
        <v>306</v>
      </c>
      <c r="Q1682" t="s">
        <v>730</v>
      </c>
    </row>
    <row r="1683" spans="16:17" x14ac:dyDescent="0.25">
      <c r="P1683" t="s">
        <v>306</v>
      </c>
      <c r="Q1683" t="s">
        <v>731</v>
      </c>
    </row>
    <row r="1684" spans="16:17" x14ac:dyDescent="0.25">
      <c r="P1684" t="s">
        <v>306</v>
      </c>
      <c r="Q1684" t="s">
        <v>732</v>
      </c>
    </row>
    <row r="1685" spans="16:17" x14ac:dyDescent="0.25">
      <c r="P1685" t="s">
        <v>306</v>
      </c>
      <c r="Q1685" t="s">
        <v>733</v>
      </c>
    </row>
    <row r="1686" spans="16:17" x14ac:dyDescent="0.25">
      <c r="P1686" t="s">
        <v>307</v>
      </c>
      <c r="Q1686" t="s">
        <v>673</v>
      </c>
    </row>
    <row r="1687" spans="16:17" x14ac:dyDescent="0.25">
      <c r="P1687" t="s">
        <v>307</v>
      </c>
      <c r="Q1687" t="s">
        <v>675</v>
      </c>
    </row>
    <row r="1688" spans="16:17" x14ac:dyDescent="0.25">
      <c r="P1688" t="s">
        <v>307</v>
      </c>
      <c r="Q1688" t="s">
        <v>692</v>
      </c>
    </row>
    <row r="1689" spans="16:17" x14ac:dyDescent="0.25">
      <c r="P1689" t="s">
        <v>461</v>
      </c>
      <c r="Q1689" t="s">
        <v>1083</v>
      </c>
    </row>
    <row r="1690" spans="16:17" x14ac:dyDescent="0.25">
      <c r="P1690" t="s">
        <v>1135</v>
      </c>
      <c r="Q1690" t="s">
        <v>140</v>
      </c>
    </row>
    <row r="1691" spans="16:17" x14ac:dyDescent="0.25">
      <c r="P1691" t="s">
        <v>1136</v>
      </c>
      <c r="Q1691" t="s">
        <v>141</v>
      </c>
    </row>
    <row r="1692" spans="16:17" x14ac:dyDescent="0.25">
      <c r="P1692" t="s">
        <v>1137</v>
      </c>
      <c r="Q1692" t="s">
        <v>141</v>
      </c>
    </row>
    <row r="1693" spans="16:17" x14ac:dyDescent="0.25">
      <c r="P1693" t="s">
        <v>1137</v>
      </c>
      <c r="Q1693" t="s">
        <v>142</v>
      </c>
    </row>
    <row r="1694" spans="16:17" x14ac:dyDescent="0.25">
      <c r="P1694" t="s">
        <v>382</v>
      </c>
      <c r="Q1694" t="s">
        <v>148</v>
      </c>
    </row>
    <row r="1695" spans="16:17" x14ac:dyDescent="0.25">
      <c r="P1695" t="s">
        <v>288</v>
      </c>
      <c r="Q1695" t="s">
        <v>916</v>
      </c>
    </row>
    <row r="1696" spans="16:17" x14ac:dyDescent="0.25">
      <c r="P1696" t="s">
        <v>289</v>
      </c>
      <c r="Q1696" t="s">
        <v>916</v>
      </c>
    </row>
    <row r="1697" spans="16:17" x14ac:dyDescent="0.25">
      <c r="P1697" t="s">
        <v>1138</v>
      </c>
      <c r="Q1697" t="s">
        <v>168</v>
      </c>
    </row>
    <row r="1698" spans="16:17" x14ac:dyDescent="0.25">
      <c r="P1698" t="s">
        <v>1138</v>
      </c>
      <c r="Q1698" t="s">
        <v>616</v>
      </c>
    </row>
    <row r="1699" spans="16:17" x14ac:dyDescent="0.25">
      <c r="P1699" t="s">
        <v>1139</v>
      </c>
      <c r="Q1699" t="s">
        <v>168</v>
      </c>
    </row>
    <row r="1700" spans="16:17" x14ac:dyDescent="0.25">
      <c r="P1700" t="s">
        <v>1139</v>
      </c>
      <c r="Q1700" t="s">
        <v>616</v>
      </c>
    </row>
    <row r="1701" spans="16:17" x14ac:dyDescent="0.25">
      <c r="P1701" t="s">
        <v>383</v>
      </c>
      <c r="Q1701" t="s">
        <v>168</v>
      </c>
    </row>
    <row r="1702" spans="16:17" x14ac:dyDescent="0.25">
      <c r="P1702" t="s">
        <v>383</v>
      </c>
      <c r="Q1702" t="s">
        <v>840</v>
      </c>
    </row>
    <row r="1703" spans="16:17" x14ac:dyDescent="0.25">
      <c r="P1703" t="s">
        <v>384</v>
      </c>
      <c r="Q1703" t="s">
        <v>168</v>
      </c>
    </row>
    <row r="1704" spans="16:17" x14ac:dyDescent="0.25">
      <c r="P1704" t="s">
        <v>384</v>
      </c>
      <c r="Q1704" t="s">
        <v>840</v>
      </c>
    </row>
    <row r="1705" spans="16:17" x14ac:dyDescent="0.25">
      <c r="P1705" t="s">
        <v>1021</v>
      </c>
      <c r="Q1705" t="s">
        <v>916</v>
      </c>
    </row>
    <row r="1706" spans="16:17" x14ac:dyDescent="0.25">
      <c r="P1706" t="s">
        <v>1022</v>
      </c>
      <c r="Q1706" t="s">
        <v>916</v>
      </c>
    </row>
    <row r="1707" spans="16:17" x14ac:dyDescent="0.25">
      <c r="P1707" t="s">
        <v>385</v>
      </c>
      <c r="Q1707" t="s">
        <v>843</v>
      </c>
    </row>
    <row r="1708" spans="16:17" x14ac:dyDescent="0.25">
      <c r="P1708" t="s">
        <v>385</v>
      </c>
      <c r="Q1708" t="s">
        <v>844</v>
      </c>
    </row>
    <row r="1709" spans="16:17" x14ac:dyDescent="0.25">
      <c r="P1709" t="s">
        <v>385</v>
      </c>
      <c r="Q1709" t="s">
        <v>1392</v>
      </c>
    </row>
    <row r="1710" spans="16:17" x14ac:dyDescent="0.25">
      <c r="P1710" t="s">
        <v>385</v>
      </c>
      <c r="Q1710" t="s">
        <v>1393</v>
      </c>
    </row>
    <row r="1711" spans="16:17" x14ac:dyDescent="0.25">
      <c r="P1711" t="s">
        <v>385</v>
      </c>
      <c r="Q1711" t="s">
        <v>845</v>
      </c>
    </row>
    <row r="1712" spans="16:17" x14ac:dyDescent="0.25">
      <c r="P1712" t="s">
        <v>385</v>
      </c>
      <c r="Q1712" t="s">
        <v>846</v>
      </c>
    </row>
    <row r="1713" spans="16:17" x14ac:dyDescent="0.25">
      <c r="P1713" t="s">
        <v>385</v>
      </c>
      <c r="Q1713" t="s">
        <v>847</v>
      </c>
    </row>
    <row r="1714" spans="16:17" x14ac:dyDescent="0.25">
      <c r="P1714" t="s">
        <v>385</v>
      </c>
      <c r="Q1714" t="s">
        <v>848</v>
      </c>
    </row>
    <row r="1715" spans="16:17" x14ac:dyDescent="0.25">
      <c r="P1715" t="s">
        <v>385</v>
      </c>
      <c r="Q1715" t="s">
        <v>1394</v>
      </c>
    </row>
    <row r="1716" spans="16:17" x14ac:dyDescent="0.25">
      <c r="P1716" t="s">
        <v>385</v>
      </c>
      <c r="Q1716" t="s">
        <v>849</v>
      </c>
    </row>
    <row r="1717" spans="16:17" x14ac:dyDescent="0.25">
      <c r="P1717" t="s">
        <v>385</v>
      </c>
      <c r="Q1717" t="s">
        <v>1395</v>
      </c>
    </row>
    <row r="1718" spans="16:17" x14ac:dyDescent="0.25">
      <c r="P1718" t="s">
        <v>385</v>
      </c>
      <c r="Q1718" t="s">
        <v>1024</v>
      </c>
    </row>
    <row r="1719" spans="16:17" x14ac:dyDescent="0.25">
      <c r="P1719" t="s">
        <v>385</v>
      </c>
      <c r="Q1719" t="s">
        <v>1447</v>
      </c>
    </row>
    <row r="1720" spans="16:17" x14ac:dyDescent="0.25">
      <c r="P1720" t="s">
        <v>385</v>
      </c>
      <c r="Q1720" t="s">
        <v>1448</v>
      </c>
    </row>
    <row r="1721" spans="16:17" x14ac:dyDescent="0.25">
      <c r="P1721" t="s">
        <v>385</v>
      </c>
      <c r="Q1721" t="s">
        <v>1449</v>
      </c>
    </row>
    <row r="1722" spans="16:17" x14ac:dyDescent="0.25">
      <c r="P1722" t="s">
        <v>385</v>
      </c>
      <c r="Q1722" t="s">
        <v>1450</v>
      </c>
    </row>
    <row r="1723" spans="16:17" x14ac:dyDescent="0.25">
      <c r="P1723" t="s">
        <v>385</v>
      </c>
      <c r="Q1723" t="s">
        <v>1451</v>
      </c>
    </row>
    <row r="1724" spans="16:17" x14ac:dyDescent="0.25">
      <c r="P1724" t="s">
        <v>385</v>
      </c>
      <c r="Q1724" t="s">
        <v>1452</v>
      </c>
    </row>
    <row r="1725" spans="16:17" x14ac:dyDescent="0.25">
      <c r="P1725" t="s">
        <v>385</v>
      </c>
      <c r="Q1725" t="s">
        <v>1453</v>
      </c>
    </row>
    <row r="1726" spans="16:17" x14ac:dyDescent="0.25">
      <c r="P1726" t="s">
        <v>385</v>
      </c>
      <c r="Q1726" t="s">
        <v>1454</v>
      </c>
    </row>
    <row r="1727" spans="16:17" x14ac:dyDescent="0.25">
      <c r="P1727" t="s">
        <v>385</v>
      </c>
      <c r="Q1727" t="s">
        <v>1455</v>
      </c>
    </row>
    <row r="1728" spans="16:17" x14ac:dyDescent="0.25">
      <c r="P1728" t="s">
        <v>385</v>
      </c>
      <c r="Q1728" t="s">
        <v>1456</v>
      </c>
    </row>
    <row r="1729" spans="16:17" x14ac:dyDescent="0.25">
      <c r="P1729" t="s">
        <v>385</v>
      </c>
      <c r="Q1729" t="s">
        <v>1457</v>
      </c>
    </row>
    <row r="1730" spans="16:17" x14ac:dyDescent="0.25">
      <c r="P1730" t="s">
        <v>386</v>
      </c>
      <c r="Q1730" t="s">
        <v>843</v>
      </c>
    </row>
    <row r="1731" spans="16:17" x14ac:dyDescent="0.25">
      <c r="P1731" t="s">
        <v>386</v>
      </c>
      <c r="Q1731" t="s">
        <v>844</v>
      </c>
    </row>
    <row r="1732" spans="16:17" x14ac:dyDescent="0.25">
      <c r="P1732" t="s">
        <v>386</v>
      </c>
      <c r="Q1732" t="s">
        <v>1413</v>
      </c>
    </row>
    <row r="1733" spans="16:17" x14ac:dyDescent="0.25">
      <c r="P1733" t="s">
        <v>386</v>
      </c>
      <c r="Q1733" t="s">
        <v>1414</v>
      </c>
    </row>
    <row r="1734" spans="16:17" x14ac:dyDescent="0.25">
      <c r="P1734" t="s">
        <v>386</v>
      </c>
      <c r="Q1734" t="s">
        <v>1415</v>
      </c>
    </row>
    <row r="1735" spans="16:17" x14ac:dyDescent="0.25">
      <c r="P1735" t="s">
        <v>386</v>
      </c>
      <c r="Q1735" t="s">
        <v>1416</v>
      </c>
    </row>
    <row r="1736" spans="16:17" x14ac:dyDescent="0.25">
      <c r="P1736" t="s">
        <v>386</v>
      </c>
      <c r="Q1736" t="s">
        <v>1417</v>
      </c>
    </row>
    <row r="1737" spans="16:17" x14ac:dyDescent="0.25">
      <c r="P1737" t="s">
        <v>386</v>
      </c>
      <c r="Q1737" t="s">
        <v>1418</v>
      </c>
    </row>
    <row r="1738" spans="16:17" x14ac:dyDescent="0.25">
      <c r="P1738" t="s">
        <v>386</v>
      </c>
      <c r="Q1738" t="s">
        <v>1393</v>
      </c>
    </row>
    <row r="1739" spans="16:17" x14ac:dyDescent="0.25">
      <c r="P1739" t="s">
        <v>386</v>
      </c>
      <c r="Q1739" t="s">
        <v>845</v>
      </c>
    </row>
    <row r="1740" spans="16:17" x14ac:dyDescent="0.25">
      <c r="P1740" t="s">
        <v>386</v>
      </c>
      <c r="Q1740" t="s">
        <v>846</v>
      </c>
    </row>
    <row r="1741" spans="16:17" x14ac:dyDescent="0.25">
      <c r="P1741" t="s">
        <v>386</v>
      </c>
      <c r="Q1741" t="s">
        <v>847</v>
      </c>
    </row>
    <row r="1742" spans="16:17" x14ac:dyDescent="0.25">
      <c r="P1742" t="s">
        <v>386</v>
      </c>
      <c r="Q1742" t="s">
        <v>848</v>
      </c>
    </row>
    <row r="1743" spans="16:17" x14ac:dyDescent="0.25">
      <c r="P1743" t="s">
        <v>386</v>
      </c>
      <c r="Q1743" t="s">
        <v>849</v>
      </c>
    </row>
    <row r="1744" spans="16:17" x14ac:dyDescent="0.25">
      <c r="P1744" t="s">
        <v>386</v>
      </c>
      <c r="Q1744" t="s">
        <v>1023</v>
      </c>
    </row>
    <row r="1745" spans="16:17" x14ac:dyDescent="0.25">
      <c r="P1745" t="s">
        <v>386</v>
      </c>
      <c r="Q1745" t="s">
        <v>1024</v>
      </c>
    </row>
    <row r="1746" spans="16:17" x14ac:dyDescent="0.25">
      <c r="P1746" t="s">
        <v>386</v>
      </c>
      <c r="Q1746" t="s">
        <v>1447</v>
      </c>
    </row>
    <row r="1747" spans="16:17" x14ac:dyDescent="0.25">
      <c r="P1747" t="s">
        <v>386</v>
      </c>
      <c r="Q1747" t="s">
        <v>1448</v>
      </c>
    </row>
    <row r="1748" spans="16:17" x14ac:dyDescent="0.25">
      <c r="P1748" t="s">
        <v>386</v>
      </c>
      <c r="Q1748" t="s">
        <v>1449</v>
      </c>
    </row>
    <row r="1749" spans="16:17" x14ac:dyDescent="0.25">
      <c r="P1749" t="s">
        <v>386</v>
      </c>
      <c r="Q1749" t="s">
        <v>1450</v>
      </c>
    </row>
    <row r="1750" spans="16:17" x14ac:dyDescent="0.25">
      <c r="P1750" t="s">
        <v>386</v>
      </c>
      <c r="Q1750" t="s">
        <v>1451</v>
      </c>
    </row>
    <row r="1751" spans="16:17" x14ac:dyDescent="0.25">
      <c r="P1751" t="s">
        <v>386</v>
      </c>
      <c r="Q1751" t="s">
        <v>1452</v>
      </c>
    </row>
    <row r="1752" spans="16:17" x14ac:dyDescent="0.25">
      <c r="P1752" t="s">
        <v>386</v>
      </c>
      <c r="Q1752" t="s">
        <v>1453</v>
      </c>
    </row>
    <row r="1753" spans="16:17" x14ac:dyDescent="0.25">
      <c r="P1753" t="s">
        <v>386</v>
      </c>
      <c r="Q1753" t="s">
        <v>1454</v>
      </c>
    </row>
    <row r="1754" spans="16:17" x14ac:dyDescent="0.25">
      <c r="P1754" t="s">
        <v>386</v>
      </c>
      <c r="Q1754" t="s">
        <v>1455</v>
      </c>
    </row>
    <row r="1755" spans="16:17" x14ac:dyDescent="0.25">
      <c r="P1755" t="s">
        <v>386</v>
      </c>
      <c r="Q1755" t="s">
        <v>1456</v>
      </c>
    </row>
    <row r="1756" spans="16:17" x14ac:dyDescent="0.25">
      <c r="P1756" t="s">
        <v>386</v>
      </c>
      <c r="Q1756" t="s">
        <v>1457</v>
      </c>
    </row>
    <row r="1757" spans="16:17" x14ac:dyDescent="0.25">
      <c r="P1757" t="s">
        <v>386</v>
      </c>
      <c r="Q1757" t="s">
        <v>917</v>
      </c>
    </row>
    <row r="1758" spans="16:17" x14ac:dyDescent="0.25">
      <c r="P1758" t="s">
        <v>183</v>
      </c>
      <c r="Q1758" t="s">
        <v>183</v>
      </c>
    </row>
    <row r="1759" spans="16:17" x14ac:dyDescent="0.25">
      <c r="P1759" t="s">
        <v>184</v>
      </c>
      <c r="Q1759" t="s">
        <v>184</v>
      </c>
    </row>
    <row r="1760" spans="16:17" x14ac:dyDescent="0.25">
      <c r="P1760" t="s">
        <v>504</v>
      </c>
      <c r="Q1760" t="s">
        <v>735</v>
      </c>
    </row>
    <row r="1761" spans="16:17" x14ac:dyDescent="0.25">
      <c r="P1761" t="s">
        <v>308</v>
      </c>
      <c r="Q1761" t="s">
        <v>909</v>
      </c>
    </row>
    <row r="1762" spans="16:17" x14ac:dyDescent="0.25">
      <c r="P1762" t="s">
        <v>308</v>
      </c>
      <c r="Q1762" t="s">
        <v>734</v>
      </c>
    </row>
    <row r="1763" spans="16:17" x14ac:dyDescent="0.25">
      <c r="P1763" t="s">
        <v>308</v>
      </c>
      <c r="Q1763" t="s">
        <v>187</v>
      </c>
    </row>
    <row r="1764" spans="16:17" x14ac:dyDescent="0.25">
      <c r="P1764" t="s">
        <v>308</v>
      </c>
      <c r="Q1764" t="s">
        <v>188</v>
      </c>
    </row>
    <row r="1765" spans="16:17" x14ac:dyDescent="0.25">
      <c r="P1765" t="s">
        <v>308</v>
      </c>
      <c r="Q1765" t="s">
        <v>189</v>
      </c>
    </row>
    <row r="1766" spans="16:17" x14ac:dyDescent="0.25">
      <c r="P1766" t="s">
        <v>308</v>
      </c>
      <c r="Q1766" t="s">
        <v>190</v>
      </c>
    </row>
    <row r="1767" spans="16:17" x14ac:dyDescent="0.25">
      <c r="P1767" t="s">
        <v>505</v>
      </c>
      <c r="Q1767" t="s">
        <v>1073</v>
      </c>
    </row>
    <row r="1768" spans="16:17" x14ac:dyDescent="0.25">
      <c r="P1768" t="e">
        <v>#N/A</v>
      </c>
      <c r="Q1768" t="s">
        <v>1075</v>
      </c>
    </row>
    <row r="1769" spans="16:17" x14ac:dyDescent="0.25">
      <c r="P1769" t="s">
        <v>506</v>
      </c>
      <c r="Q1769" t="s">
        <v>1051</v>
      </c>
    </row>
    <row r="1770" spans="16:17" x14ac:dyDescent="0.25">
      <c r="P1770" t="s">
        <v>310</v>
      </c>
      <c r="Q1770" t="s">
        <v>691</v>
      </c>
    </row>
    <row r="1771" spans="16:17" x14ac:dyDescent="0.25">
      <c r="P1771" t="s">
        <v>309</v>
      </c>
      <c r="Q1771" t="s">
        <v>1613</v>
      </c>
    </row>
    <row r="1772" spans="16:17" x14ac:dyDescent="0.25">
      <c r="P1772" t="s">
        <v>309</v>
      </c>
      <c r="Q1772" t="s">
        <v>1566</v>
      </c>
    </row>
    <row r="1773" spans="16:17" x14ac:dyDescent="0.25">
      <c r="P1773" t="s">
        <v>309</v>
      </c>
      <c r="Q1773" t="s">
        <v>1614</v>
      </c>
    </row>
    <row r="1774" spans="16:17" x14ac:dyDescent="0.25">
      <c r="P1774" t="s">
        <v>309</v>
      </c>
      <c r="Q1774" t="s">
        <v>1529</v>
      </c>
    </row>
    <row r="1775" spans="16:17" x14ac:dyDescent="0.25">
      <c r="P1775" t="s">
        <v>309</v>
      </c>
      <c r="Q1775" t="s">
        <v>910</v>
      </c>
    </row>
    <row r="1776" spans="16:17" x14ac:dyDescent="0.25">
      <c r="P1776" t="s">
        <v>309</v>
      </c>
      <c r="Q1776" t="s">
        <v>1616</v>
      </c>
    </row>
    <row r="1777" spans="16:17" x14ac:dyDescent="0.25">
      <c r="P1777" t="s">
        <v>309</v>
      </c>
      <c r="Q1777" t="s">
        <v>1116</v>
      </c>
    </row>
    <row r="1778" spans="16:17" x14ac:dyDescent="0.25">
      <c r="P1778" t="s">
        <v>309</v>
      </c>
      <c r="Q1778" t="s">
        <v>186</v>
      </c>
    </row>
    <row r="1779" spans="16:17" x14ac:dyDescent="0.25">
      <c r="P1779" t="s">
        <v>1260</v>
      </c>
      <c r="Q1779" t="s">
        <v>1079</v>
      </c>
    </row>
    <row r="1780" spans="16:17" x14ac:dyDescent="0.25">
      <c r="P1780" t="s">
        <v>569</v>
      </c>
      <c r="Q1780" t="s">
        <v>1025</v>
      </c>
    </row>
    <row r="1781" spans="16:17" x14ac:dyDescent="0.25">
      <c r="P1781" t="s">
        <v>569</v>
      </c>
      <c r="Q1781" t="s">
        <v>1026</v>
      </c>
    </row>
    <row r="1782" spans="16:17" x14ac:dyDescent="0.25">
      <c r="P1782" t="s">
        <v>507</v>
      </c>
      <c r="Q1782" t="s">
        <v>622</v>
      </c>
    </row>
    <row r="1783" spans="16:17" x14ac:dyDescent="0.25">
      <c r="P1783" t="s">
        <v>311</v>
      </c>
      <c r="Q1783" t="s">
        <v>632</v>
      </c>
    </row>
    <row r="1784" spans="16:17" x14ac:dyDescent="0.25">
      <c r="P1784" t="s">
        <v>311</v>
      </c>
      <c r="Q1784" t="s">
        <v>633</v>
      </c>
    </row>
    <row r="1785" spans="16:17" x14ac:dyDescent="0.25">
      <c r="P1785" t="s">
        <v>311</v>
      </c>
      <c r="Q1785" t="s">
        <v>634</v>
      </c>
    </row>
    <row r="1786" spans="16:17" x14ac:dyDescent="0.25">
      <c r="P1786" t="s">
        <v>312</v>
      </c>
      <c r="Q1786" t="s">
        <v>1566</v>
      </c>
    </row>
    <row r="1787" spans="16:17" x14ac:dyDescent="0.25">
      <c r="P1787" t="s">
        <v>312</v>
      </c>
      <c r="Q1787" t="s">
        <v>1025</v>
      </c>
    </row>
    <row r="1788" spans="16:17" x14ac:dyDescent="0.25">
      <c r="P1788" t="s">
        <v>312</v>
      </c>
      <c r="Q1788" t="s">
        <v>1026</v>
      </c>
    </row>
    <row r="1789" spans="16:17" x14ac:dyDescent="0.25">
      <c r="P1789" t="s">
        <v>312</v>
      </c>
      <c r="Q1789" t="s">
        <v>1515</v>
      </c>
    </row>
    <row r="1790" spans="16:17" x14ac:dyDescent="0.25">
      <c r="P1790" t="s">
        <v>312</v>
      </c>
      <c r="Q1790" t="s">
        <v>1516</v>
      </c>
    </row>
    <row r="1791" spans="16:17" x14ac:dyDescent="0.25">
      <c r="P1791" t="s">
        <v>312</v>
      </c>
      <c r="Q1791" t="s">
        <v>766</v>
      </c>
    </row>
    <row r="1792" spans="16:17" x14ac:dyDescent="0.25">
      <c r="P1792" t="s">
        <v>312</v>
      </c>
      <c r="Q1792" t="s">
        <v>767</v>
      </c>
    </row>
    <row r="1793" spans="16:17" x14ac:dyDescent="0.25">
      <c r="P1793" t="s">
        <v>312</v>
      </c>
      <c r="Q1793" t="s">
        <v>768</v>
      </c>
    </row>
    <row r="1794" spans="16:17" x14ac:dyDescent="0.25">
      <c r="P1794" t="s">
        <v>312</v>
      </c>
      <c r="Q1794" t="s">
        <v>769</v>
      </c>
    </row>
    <row r="1795" spans="16:17" x14ac:dyDescent="0.25">
      <c r="P1795" t="s">
        <v>313</v>
      </c>
      <c r="Q1795" t="s">
        <v>661</v>
      </c>
    </row>
    <row r="1796" spans="16:17" x14ac:dyDescent="0.25">
      <c r="P1796" t="s">
        <v>313</v>
      </c>
      <c r="Q1796" t="s">
        <v>662</v>
      </c>
    </row>
    <row r="1797" spans="16:17" x14ac:dyDescent="0.25">
      <c r="P1797" t="s">
        <v>313</v>
      </c>
      <c r="Q1797" t="s">
        <v>670</v>
      </c>
    </row>
    <row r="1798" spans="16:17" x14ac:dyDescent="0.25">
      <c r="P1798" t="s">
        <v>313</v>
      </c>
      <c r="Q1798" t="s">
        <v>686</v>
      </c>
    </row>
    <row r="1799" spans="16:17" x14ac:dyDescent="0.25">
      <c r="P1799" t="s">
        <v>313</v>
      </c>
      <c r="Q1799" t="s">
        <v>687</v>
      </c>
    </row>
    <row r="1800" spans="16:17" x14ac:dyDescent="0.25">
      <c r="P1800" t="s">
        <v>313</v>
      </c>
      <c r="Q1800" t="s">
        <v>688</v>
      </c>
    </row>
    <row r="1801" spans="16:17" x14ac:dyDescent="0.25">
      <c r="P1801" t="s">
        <v>313</v>
      </c>
      <c r="Q1801" t="s">
        <v>689</v>
      </c>
    </row>
    <row r="1802" spans="16:17" x14ac:dyDescent="0.25">
      <c r="P1802" t="s">
        <v>392</v>
      </c>
      <c r="Q1802" t="s">
        <v>867</v>
      </c>
    </row>
    <row r="1803" spans="16:17" x14ac:dyDescent="0.25">
      <c r="P1803" t="s">
        <v>392</v>
      </c>
      <c r="Q1803" t="s">
        <v>609</v>
      </c>
    </row>
    <row r="1804" spans="16:17" x14ac:dyDescent="0.25">
      <c r="P1804" t="s">
        <v>394</v>
      </c>
      <c r="Q1804" t="s">
        <v>608</v>
      </c>
    </row>
    <row r="1805" spans="16:17" x14ac:dyDescent="0.25">
      <c r="P1805" t="s">
        <v>394</v>
      </c>
      <c r="Q1805" t="s">
        <v>1086</v>
      </c>
    </row>
    <row r="1806" spans="16:17" x14ac:dyDescent="0.25">
      <c r="P1806" t="s">
        <v>393</v>
      </c>
      <c r="Q1806" t="s">
        <v>1027</v>
      </c>
    </row>
    <row r="1807" spans="16:17" x14ac:dyDescent="0.25">
      <c r="P1807" t="s">
        <v>393</v>
      </c>
      <c r="Q1807" t="s">
        <v>1028</v>
      </c>
    </row>
    <row r="1808" spans="16:17" x14ac:dyDescent="0.25">
      <c r="P1808" t="s">
        <v>393</v>
      </c>
      <c r="Q1808" t="s">
        <v>1029</v>
      </c>
    </row>
    <row r="1809" spans="16:17" x14ac:dyDescent="0.25">
      <c r="P1809" t="s">
        <v>315</v>
      </c>
      <c r="Q1809" t="s">
        <v>754</v>
      </c>
    </row>
    <row r="1810" spans="16:17" x14ac:dyDescent="0.25">
      <c r="P1810" t="s">
        <v>804</v>
      </c>
      <c r="Q1810" t="s">
        <v>1053</v>
      </c>
    </row>
    <row r="1811" spans="16:17" x14ac:dyDescent="0.25">
      <c r="P1811" t="s">
        <v>803</v>
      </c>
      <c r="Q1811" t="s">
        <v>1053</v>
      </c>
    </row>
    <row r="1812" spans="16:17" x14ac:dyDescent="0.25">
      <c r="P1812" t="s">
        <v>570</v>
      </c>
      <c r="Q1812" t="s">
        <v>900</v>
      </c>
    </row>
    <row r="1813" spans="16:17" x14ac:dyDescent="0.25">
      <c r="P1813" t="s">
        <v>316</v>
      </c>
      <c r="Q1813" t="s">
        <v>1617</v>
      </c>
    </row>
    <row r="1814" spans="16:17" x14ac:dyDescent="0.25">
      <c r="P1814" t="s">
        <v>316</v>
      </c>
      <c r="Q1814" t="s">
        <v>196</v>
      </c>
    </row>
    <row r="1815" spans="16:17" x14ac:dyDescent="0.25">
      <c r="P1815" t="s">
        <v>317</v>
      </c>
      <c r="Q1815" t="s">
        <v>864</v>
      </c>
    </row>
    <row r="1816" spans="16:17" x14ac:dyDescent="0.25">
      <c r="P1816" t="s">
        <v>317</v>
      </c>
      <c r="Q1816" t="s">
        <v>590</v>
      </c>
    </row>
    <row r="1817" spans="16:17" x14ac:dyDescent="0.25">
      <c r="P1817" t="s">
        <v>317</v>
      </c>
      <c r="Q1817" t="s">
        <v>150</v>
      </c>
    </row>
    <row r="1818" spans="16:17" x14ac:dyDescent="0.25">
      <c r="P1818" t="s">
        <v>317</v>
      </c>
      <c r="Q1818" t="s">
        <v>151</v>
      </c>
    </row>
    <row r="1819" spans="16:17" x14ac:dyDescent="0.25">
      <c r="P1819" t="s">
        <v>317</v>
      </c>
      <c r="Q1819" t="s">
        <v>152</v>
      </c>
    </row>
    <row r="1820" spans="16:17" x14ac:dyDescent="0.25">
      <c r="P1820" t="s">
        <v>317</v>
      </c>
      <c r="Q1820" t="s">
        <v>153</v>
      </c>
    </row>
    <row r="1821" spans="16:17" x14ac:dyDescent="0.25">
      <c r="P1821" t="s">
        <v>317</v>
      </c>
      <c r="Q1821" t="s">
        <v>1618</v>
      </c>
    </row>
    <row r="1822" spans="16:17" x14ac:dyDescent="0.25">
      <c r="P1822" t="s">
        <v>317</v>
      </c>
      <c r="Q1822" t="s">
        <v>1517</v>
      </c>
    </row>
    <row r="1823" spans="16:17" x14ac:dyDescent="0.25">
      <c r="P1823" t="s">
        <v>317</v>
      </c>
      <c r="Q1823" t="s">
        <v>1518</v>
      </c>
    </row>
    <row r="1824" spans="16:17" x14ac:dyDescent="0.25">
      <c r="P1824" t="s">
        <v>317</v>
      </c>
      <c r="Q1824" t="s">
        <v>1519</v>
      </c>
    </row>
    <row r="1825" spans="16:17" x14ac:dyDescent="0.25">
      <c r="P1825" t="s">
        <v>317</v>
      </c>
      <c r="Q1825" t="s">
        <v>900</v>
      </c>
    </row>
    <row r="1826" spans="16:17" x14ac:dyDescent="0.25">
      <c r="P1826" t="s">
        <v>317</v>
      </c>
      <c r="Q1826" t="s">
        <v>901</v>
      </c>
    </row>
    <row r="1827" spans="16:17" x14ac:dyDescent="0.25">
      <c r="P1827" t="s">
        <v>317</v>
      </c>
      <c r="Q1827" t="s">
        <v>902</v>
      </c>
    </row>
    <row r="1828" spans="16:17" x14ac:dyDescent="0.25">
      <c r="P1828" t="s">
        <v>317</v>
      </c>
      <c r="Q1828" t="s">
        <v>903</v>
      </c>
    </row>
    <row r="1829" spans="16:17" x14ac:dyDescent="0.25">
      <c r="P1829" t="s">
        <v>317</v>
      </c>
      <c r="Q1829" t="s">
        <v>904</v>
      </c>
    </row>
    <row r="1830" spans="16:17" x14ac:dyDescent="0.25">
      <c r="P1830" t="s">
        <v>1140</v>
      </c>
      <c r="Q1830" t="s">
        <v>166</v>
      </c>
    </row>
    <row r="1831" spans="16:17" x14ac:dyDescent="0.25">
      <c r="P1831" t="s">
        <v>325</v>
      </c>
      <c r="Q1831" t="s">
        <v>1030</v>
      </c>
    </row>
    <row r="1832" spans="16:17" x14ac:dyDescent="0.25">
      <c r="P1832" t="s">
        <v>325</v>
      </c>
      <c r="Q1832" t="s">
        <v>1031</v>
      </c>
    </row>
    <row r="1833" spans="16:17" x14ac:dyDescent="0.25">
      <c r="P1833" t="s">
        <v>396</v>
      </c>
      <c r="Q1833" t="s">
        <v>238</v>
      </c>
    </row>
    <row r="1834" spans="16:17" x14ac:dyDescent="0.25">
      <c r="P1834" t="s">
        <v>396</v>
      </c>
      <c r="Q1834" t="s">
        <v>1032</v>
      </c>
    </row>
    <row r="1835" spans="16:17" x14ac:dyDescent="0.25">
      <c r="P1835" t="s">
        <v>326</v>
      </c>
      <c r="Q1835" t="s">
        <v>1033</v>
      </c>
    </row>
    <row r="1836" spans="16:17" x14ac:dyDescent="0.25">
      <c r="P1836" t="s">
        <v>326</v>
      </c>
      <c r="Q1836" t="s">
        <v>1520</v>
      </c>
    </row>
    <row r="1837" spans="16:17" x14ac:dyDescent="0.25">
      <c r="P1837" t="s">
        <v>326</v>
      </c>
      <c r="Q1837" t="s">
        <v>1521</v>
      </c>
    </row>
    <row r="1838" spans="16:17" x14ac:dyDescent="0.25">
      <c r="P1838" t="s">
        <v>326</v>
      </c>
      <c r="Q1838" t="s">
        <v>1522</v>
      </c>
    </row>
    <row r="1839" spans="16:17" x14ac:dyDescent="0.25">
      <c r="P1839" t="s">
        <v>326</v>
      </c>
      <c r="Q1839" t="s">
        <v>1523</v>
      </c>
    </row>
    <row r="1840" spans="16:17" x14ac:dyDescent="0.25">
      <c r="P1840" t="s">
        <v>327</v>
      </c>
      <c r="Q1840" t="s">
        <v>1034</v>
      </c>
    </row>
    <row r="1841" spans="16:17" x14ac:dyDescent="0.25">
      <c r="P1841" t="s">
        <v>327</v>
      </c>
      <c r="Q1841" t="s">
        <v>1035</v>
      </c>
    </row>
    <row r="1842" spans="16:17" x14ac:dyDescent="0.25">
      <c r="P1842" t="s">
        <v>395</v>
      </c>
      <c r="Q1842" t="s">
        <v>140</v>
      </c>
    </row>
    <row r="1843" spans="16:17" x14ac:dyDescent="0.25">
      <c r="P1843" t="s">
        <v>328</v>
      </c>
      <c r="Q1843" t="s">
        <v>1036</v>
      </c>
    </row>
    <row r="1844" spans="16:17" x14ac:dyDescent="0.25">
      <c r="P1844" t="s">
        <v>397</v>
      </c>
      <c r="Q1844" t="s">
        <v>1037</v>
      </c>
    </row>
    <row r="1845" spans="16:17" x14ac:dyDescent="0.25">
      <c r="P1845" t="s">
        <v>398</v>
      </c>
      <c r="Q1845" t="s">
        <v>1038</v>
      </c>
    </row>
    <row r="1846" spans="16:17" x14ac:dyDescent="0.25">
      <c r="P1846" t="s">
        <v>508</v>
      </c>
      <c r="Q1846" t="s">
        <v>1054</v>
      </c>
    </row>
    <row r="1847" spans="16:17" x14ac:dyDescent="0.25">
      <c r="P1847" t="s">
        <v>318</v>
      </c>
      <c r="Q1847" t="s">
        <v>1039</v>
      </c>
    </row>
    <row r="1848" spans="16:17" x14ac:dyDescent="0.25">
      <c r="P1848" t="s">
        <v>509</v>
      </c>
      <c r="Q1848" t="s">
        <v>1084</v>
      </c>
    </row>
    <row r="1849" spans="16:17" x14ac:dyDescent="0.25">
      <c r="P1849" t="s">
        <v>510</v>
      </c>
      <c r="Q1849" t="s">
        <v>1075</v>
      </c>
    </row>
    <row r="1850" spans="16:17" x14ac:dyDescent="0.25">
      <c r="P1850" t="s">
        <v>320</v>
      </c>
      <c r="Q1850" t="s">
        <v>1083</v>
      </c>
    </row>
    <row r="1851" spans="16:17" x14ac:dyDescent="0.25">
      <c r="P1851" t="s">
        <v>805</v>
      </c>
      <c r="Q1851" t="s">
        <v>1077</v>
      </c>
    </row>
    <row r="1852" spans="16:17" x14ac:dyDescent="0.25">
      <c r="P1852" t="s">
        <v>806</v>
      </c>
      <c r="Q1852" t="s">
        <v>1051</v>
      </c>
    </row>
    <row r="1853" spans="16:17" x14ac:dyDescent="0.25">
      <c r="P1853" t="s">
        <v>511</v>
      </c>
      <c r="Q1853" t="s">
        <v>1076</v>
      </c>
    </row>
    <row r="1854" spans="16:17" x14ac:dyDescent="0.25">
      <c r="P1854" t="s">
        <v>512</v>
      </c>
      <c r="Q1854" t="s">
        <v>1079</v>
      </c>
    </row>
    <row r="1855" spans="16:17" x14ac:dyDescent="0.25">
      <c r="P1855" t="s">
        <v>513</v>
      </c>
      <c r="Q1855" t="s">
        <v>1083</v>
      </c>
    </row>
    <row r="1856" spans="16:17" x14ac:dyDescent="0.25">
      <c r="P1856" t="s">
        <v>514</v>
      </c>
      <c r="Q1856" t="s">
        <v>1080</v>
      </c>
    </row>
    <row r="1857" spans="16:17" x14ac:dyDescent="0.25">
      <c r="P1857" t="s">
        <v>807</v>
      </c>
      <c r="Q1857" t="s">
        <v>1085</v>
      </c>
    </row>
    <row r="1858" spans="16:17" x14ac:dyDescent="0.25">
      <c r="P1858" t="s">
        <v>516</v>
      </c>
      <c r="Q1858" t="s">
        <v>1076</v>
      </c>
    </row>
    <row r="1859" spans="16:17" x14ac:dyDescent="0.25">
      <c r="P1859" t="s">
        <v>515</v>
      </c>
      <c r="Q1859" t="s">
        <v>1076</v>
      </c>
    </row>
    <row r="1860" spans="16:17" x14ac:dyDescent="0.25">
      <c r="P1860" t="s">
        <v>321</v>
      </c>
      <c r="Q1860" t="s">
        <v>147</v>
      </c>
    </row>
    <row r="1861" spans="16:17" x14ac:dyDescent="0.25">
      <c r="P1861" t="s">
        <v>321</v>
      </c>
      <c r="Q1861" t="s">
        <v>1040</v>
      </c>
    </row>
    <row r="1862" spans="16:17" x14ac:dyDescent="0.25">
      <c r="P1862" t="s">
        <v>517</v>
      </c>
      <c r="Q1862" t="s">
        <v>1087</v>
      </c>
    </row>
    <row r="1863" spans="16:17" x14ac:dyDescent="0.25">
      <c r="P1863" t="s">
        <v>323</v>
      </c>
      <c r="Q1863" t="s">
        <v>1041</v>
      </c>
    </row>
  </sheetData>
  <sortState ref="O3:O243">
    <sortCondition ref="O243"/>
  </sortState>
  <dataConsolidate/>
  <pageMargins left="0.7" right="0.7" top="0.75" bottom="0.75" header="0.3" footer="0.3"/>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H55"/>
  <sheetViews>
    <sheetView topLeftCell="A19" workbookViewId="0">
      <selection activeCell="C33" sqref="C33"/>
    </sheetView>
  </sheetViews>
  <sheetFormatPr defaultColWidth="8.875" defaultRowHeight="15.75" x14ac:dyDescent="0.25"/>
  <cols>
    <col min="1" max="1" width="6.5" bestFit="1" customWidth="1"/>
    <col min="2" max="2" width="13.625" bestFit="1" customWidth="1"/>
    <col min="3" max="3" width="14.5" bestFit="1" customWidth="1"/>
    <col min="4" max="4" width="14.625" bestFit="1" customWidth="1"/>
    <col min="5" max="5" width="9" customWidth="1"/>
    <col min="6" max="6" width="6.5" bestFit="1" customWidth="1"/>
    <col min="7" max="7" width="7.125" bestFit="1" customWidth="1"/>
    <col min="8" max="8" width="31" bestFit="1" customWidth="1"/>
  </cols>
  <sheetData>
    <row r="1" spans="1:8" ht="47.25" x14ac:dyDescent="0.25">
      <c r="A1" s="26" t="s">
        <v>543</v>
      </c>
      <c r="B1" s="26" t="s">
        <v>544</v>
      </c>
      <c r="C1" s="26" t="s">
        <v>545</v>
      </c>
      <c r="D1" s="26" t="s">
        <v>546</v>
      </c>
      <c r="F1" s="26" t="s">
        <v>543</v>
      </c>
      <c r="G1" s="26" t="s">
        <v>548</v>
      </c>
      <c r="H1" s="26" t="s">
        <v>551</v>
      </c>
    </row>
    <row r="2" spans="1:8" x14ac:dyDescent="0.25">
      <c r="A2" s="28" t="s">
        <v>534</v>
      </c>
      <c r="B2" s="28">
        <v>1</v>
      </c>
      <c r="C2" s="28" t="s">
        <v>535</v>
      </c>
      <c r="D2" s="28" t="s">
        <v>65</v>
      </c>
      <c r="F2" s="30" t="s">
        <v>534</v>
      </c>
      <c r="G2" s="30" t="s">
        <v>549</v>
      </c>
      <c r="H2" s="31" t="str">
        <f ca="1">CONCATENATE(F2,"_STORIES_",TEXT(NOW(),"YYYYMMDD-HHMMSS"),".", LOWER(G2))</f>
        <v>RS2_STORIES_20161124-202138.csv</v>
      </c>
    </row>
    <row r="3" spans="1:8" x14ac:dyDescent="0.25">
      <c r="A3" s="28" t="s">
        <v>534</v>
      </c>
      <c r="B3" s="28">
        <v>2</v>
      </c>
      <c r="C3" s="28" t="s">
        <v>28</v>
      </c>
      <c r="D3" s="28" t="s">
        <v>28</v>
      </c>
      <c r="F3" s="32" t="s">
        <v>536</v>
      </c>
      <c r="G3" s="32" t="s">
        <v>550</v>
      </c>
      <c r="H3" s="33" t="str">
        <f t="shared" ref="H3:H5" ca="1" si="0">CONCATENATE(F3,"_STORIES_",TEXT(NOW(),"YYYYMMDD-HHMMSS"),".", LOWER(G3))</f>
        <v>RS3_STORIES_20161124-202138.xls</v>
      </c>
    </row>
    <row r="4" spans="1:8" x14ac:dyDescent="0.25">
      <c r="A4" s="28" t="s">
        <v>534</v>
      </c>
      <c r="B4" s="28">
        <v>3</v>
      </c>
      <c r="C4" s="28" t="s">
        <v>27</v>
      </c>
      <c r="D4" s="28" t="s">
        <v>27</v>
      </c>
      <c r="F4" s="35" t="s">
        <v>547</v>
      </c>
      <c r="G4" s="35" t="s">
        <v>549</v>
      </c>
      <c r="H4" s="36" t="str">
        <f t="shared" ca="1" si="0"/>
        <v>JIRA_STORIES_20161124-202138.csv</v>
      </c>
    </row>
    <row r="5" spans="1:8" x14ac:dyDescent="0.25">
      <c r="A5" s="28" t="s">
        <v>534</v>
      </c>
      <c r="B5" s="28">
        <v>4</v>
      </c>
      <c r="C5" s="28" t="s">
        <v>20</v>
      </c>
      <c r="D5" s="28" t="s">
        <v>20</v>
      </c>
      <c r="F5" s="37" t="s">
        <v>553</v>
      </c>
      <c r="G5" s="37" t="s">
        <v>549</v>
      </c>
      <c r="H5" s="38" t="str">
        <f t="shared" ca="1" si="0"/>
        <v>TEST_STORIES_20161124-202138.csv</v>
      </c>
    </row>
    <row r="6" spans="1:8" x14ac:dyDescent="0.25">
      <c r="A6" s="28" t="s">
        <v>534</v>
      </c>
      <c r="B6" s="28">
        <v>5</v>
      </c>
      <c r="C6" s="28" t="s">
        <v>21</v>
      </c>
      <c r="D6" s="28" t="s">
        <v>21</v>
      </c>
    </row>
    <row r="7" spans="1:8" x14ac:dyDescent="0.25">
      <c r="A7" s="28" t="s">
        <v>534</v>
      </c>
      <c r="B7" s="28">
        <v>6</v>
      </c>
      <c r="C7" s="28" t="s">
        <v>66</v>
      </c>
      <c r="D7" s="28" t="s">
        <v>66</v>
      </c>
    </row>
    <row r="8" spans="1:8" x14ac:dyDescent="0.25">
      <c r="A8" s="28" t="s">
        <v>534</v>
      </c>
      <c r="B8" s="28">
        <v>7</v>
      </c>
      <c r="C8" s="28" t="s">
        <v>33</v>
      </c>
      <c r="D8" s="28" t="s">
        <v>33</v>
      </c>
    </row>
    <row r="9" spans="1:8" x14ac:dyDescent="0.25">
      <c r="A9" s="28" t="s">
        <v>534</v>
      </c>
      <c r="B9" s="28">
        <v>8</v>
      </c>
      <c r="C9" s="28" t="s">
        <v>69</v>
      </c>
      <c r="D9" s="28" t="s">
        <v>69</v>
      </c>
    </row>
    <row r="10" spans="1:8" x14ac:dyDescent="0.25">
      <c r="A10" s="28" t="s">
        <v>534</v>
      </c>
      <c r="B10" s="28">
        <v>9</v>
      </c>
      <c r="C10" s="28" t="s">
        <v>537</v>
      </c>
      <c r="D10" s="28" t="s">
        <v>552</v>
      </c>
    </row>
    <row r="11" spans="1:8" x14ac:dyDescent="0.25">
      <c r="A11" s="27" t="s">
        <v>536</v>
      </c>
      <c r="B11" s="27">
        <v>1</v>
      </c>
      <c r="C11" s="27" t="s">
        <v>1122</v>
      </c>
      <c r="D11" s="27" t="s">
        <v>1123</v>
      </c>
    </row>
    <row r="12" spans="1:8" x14ac:dyDescent="0.25">
      <c r="A12" s="27" t="s">
        <v>536</v>
      </c>
      <c r="B12" s="27">
        <v>2</v>
      </c>
      <c r="C12" s="27" t="s">
        <v>537</v>
      </c>
      <c r="D12" s="27"/>
    </row>
    <row r="13" spans="1:8" x14ac:dyDescent="0.25">
      <c r="A13" s="27" t="s">
        <v>536</v>
      </c>
      <c r="B13" s="27">
        <v>3</v>
      </c>
      <c r="C13" s="27" t="s">
        <v>538</v>
      </c>
      <c r="D13" s="27" t="s">
        <v>65</v>
      </c>
    </row>
    <row r="14" spans="1:8" x14ac:dyDescent="0.25">
      <c r="A14" s="27" t="s">
        <v>536</v>
      </c>
      <c r="B14" s="27">
        <v>4</v>
      </c>
      <c r="C14" s="27" t="s">
        <v>28</v>
      </c>
      <c r="D14" s="27" t="s">
        <v>28</v>
      </c>
    </row>
    <row r="15" spans="1:8" x14ac:dyDescent="0.25">
      <c r="A15" s="27" t="s">
        <v>536</v>
      </c>
      <c r="B15" s="27">
        <v>5</v>
      </c>
      <c r="C15" s="27" t="s">
        <v>539</v>
      </c>
      <c r="D15" s="27"/>
    </row>
    <row r="16" spans="1:8" x14ac:dyDescent="0.25">
      <c r="A16" s="27" t="s">
        <v>536</v>
      </c>
      <c r="B16" s="27">
        <v>6</v>
      </c>
      <c r="C16" s="27" t="s">
        <v>540</v>
      </c>
      <c r="D16" s="27"/>
    </row>
    <row r="17" spans="1:5" x14ac:dyDescent="0.25">
      <c r="A17" s="27" t="s">
        <v>536</v>
      </c>
      <c r="B17" s="27">
        <v>7</v>
      </c>
      <c r="C17" s="27" t="s">
        <v>541</v>
      </c>
      <c r="D17" s="27"/>
    </row>
    <row r="18" spans="1:5" x14ac:dyDescent="0.25">
      <c r="A18" s="27" t="s">
        <v>536</v>
      </c>
      <c r="B18" s="27">
        <v>8</v>
      </c>
      <c r="C18" s="27" t="s">
        <v>1124</v>
      </c>
      <c r="D18" s="27"/>
    </row>
    <row r="19" spans="1:5" x14ac:dyDescent="0.25">
      <c r="A19" s="27" t="s">
        <v>536</v>
      </c>
      <c r="B19" s="27">
        <v>9</v>
      </c>
      <c r="C19" s="27" t="s">
        <v>1125</v>
      </c>
      <c r="D19" s="27"/>
    </row>
    <row r="20" spans="1:5" x14ac:dyDescent="0.25">
      <c r="A20" s="27" t="s">
        <v>536</v>
      </c>
      <c r="B20" s="27">
        <v>10</v>
      </c>
      <c r="C20" s="27" t="s">
        <v>20</v>
      </c>
      <c r="D20" s="27" t="s">
        <v>20</v>
      </c>
    </row>
    <row r="21" spans="1:5" x14ac:dyDescent="0.25">
      <c r="A21" s="27" t="s">
        <v>536</v>
      </c>
      <c r="B21" s="27">
        <v>11</v>
      </c>
      <c r="C21" s="27" t="s">
        <v>21</v>
      </c>
      <c r="D21" s="27" t="s">
        <v>21</v>
      </c>
    </row>
    <row r="22" spans="1:5" x14ac:dyDescent="0.25">
      <c r="A22" s="27" t="s">
        <v>536</v>
      </c>
      <c r="B22" s="27">
        <v>12</v>
      </c>
      <c r="C22" s="27" t="s">
        <v>1126</v>
      </c>
      <c r="D22" s="27"/>
    </row>
    <row r="23" spans="1:5" x14ac:dyDescent="0.25">
      <c r="A23" s="27" t="s">
        <v>536</v>
      </c>
      <c r="B23" s="27">
        <v>13</v>
      </c>
      <c r="C23" s="27" t="s">
        <v>1127</v>
      </c>
      <c r="D23" s="27"/>
    </row>
    <row r="24" spans="1:5" x14ac:dyDescent="0.25">
      <c r="A24" s="27" t="s">
        <v>536</v>
      </c>
      <c r="B24" s="27">
        <v>14</v>
      </c>
      <c r="C24" s="27" t="s">
        <v>33</v>
      </c>
      <c r="D24" s="27"/>
    </row>
    <row r="25" spans="1:5" x14ac:dyDescent="0.25">
      <c r="A25" s="27" t="s">
        <v>536</v>
      </c>
      <c r="B25" s="27">
        <v>15</v>
      </c>
      <c r="C25" s="27" t="s">
        <v>542</v>
      </c>
      <c r="D25" s="27"/>
    </row>
    <row r="26" spans="1:5" x14ac:dyDescent="0.25">
      <c r="A26" s="34" t="s">
        <v>547</v>
      </c>
      <c r="B26" s="34">
        <v>1</v>
      </c>
      <c r="C26" s="34" t="s">
        <v>1361</v>
      </c>
      <c r="D26" s="34" t="s">
        <v>1117</v>
      </c>
    </row>
    <row r="27" spans="1:5" x14ac:dyDescent="0.25">
      <c r="A27" s="34" t="s">
        <v>547</v>
      </c>
      <c r="B27" s="34">
        <v>2</v>
      </c>
      <c r="C27" s="34" t="s">
        <v>1270</v>
      </c>
      <c r="D27" s="34" t="s">
        <v>1270</v>
      </c>
      <c r="E27" s="485"/>
    </row>
    <row r="28" spans="1:5" x14ac:dyDescent="0.25">
      <c r="A28" s="34" t="s">
        <v>547</v>
      </c>
      <c r="B28" s="34">
        <v>3</v>
      </c>
      <c r="C28" s="34" t="s">
        <v>1271</v>
      </c>
      <c r="D28" s="34" t="s">
        <v>1271</v>
      </c>
      <c r="E28" s="485"/>
    </row>
    <row r="29" spans="1:5" x14ac:dyDescent="0.25">
      <c r="A29" s="34" t="s">
        <v>547</v>
      </c>
      <c r="B29" s="34">
        <v>4</v>
      </c>
      <c r="C29" s="34" t="s">
        <v>1362</v>
      </c>
      <c r="D29" s="34" t="s">
        <v>27</v>
      </c>
      <c r="E29" s="485"/>
    </row>
    <row r="30" spans="1:5" x14ac:dyDescent="0.25">
      <c r="A30" s="34" t="s">
        <v>547</v>
      </c>
      <c r="B30" s="34">
        <v>5</v>
      </c>
      <c r="C30" s="34" t="s">
        <v>1363</v>
      </c>
      <c r="D30" s="34" t="s">
        <v>28</v>
      </c>
      <c r="E30" s="485"/>
    </row>
    <row r="31" spans="1:5" x14ac:dyDescent="0.25">
      <c r="A31" s="34" t="s">
        <v>547</v>
      </c>
      <c r="B31" s="34">
        <v>6</v>
      </c>
      <c r="C31" s="34" t="s">
        <v>1364</v>
      </c>
      <c r="D31" s="34" t="s">
        <v>65</v>
      </c>
    </row>
    <row r="32" spans="1:5" x14ac:dyDescent="0.25">
      <c r="A32" s="34" t="s">
        <v>547</v>
      </c>
      <c r="B32" s="34">
        <v>7</v>
      </c>
      <c r="C32" s="34" t="s">
        <v>1365</v>
      </c>
      <c r="D32" s="34" t="s">
        <v>69</v>
      </c>
      <c r="E32" s="485"/>
    </row>
    <row r="33" spans="1:5" x14ac:dyDescent="0.25">
      <c r="A33" s="34" t="s">
        <v>547</v>
      </c>
      <c r="B33" s="34">
        <v>8</v>
      </c>
      <c r="C33" s="34" t="s">
        <v>1366</v>
      </c>
      <c r="D33" s="34" t="s">
        <v>66</v>
      </c>
      <c r="E33" s="485"/>
    </row>
    <row r="34" spans="1:5" x14ac:dyDescent="0.25">
      <c r="A34" s="34" t="s">
        <v>547</v>
      </c>
      <c r="B34" s="34">
        <v>9</v>
      </c>
      <c r="C34" s="34" t="s">
        <v>1373</v>
      </c>
      <c r="D34" s="34" t="s">
        <v>1374</v>
      </c>
      <c r="E34" s="485"/>
    </row>
    <row r="35" spans="1:5" x14ac:dyDescent="0.25">
      <c r="A35" s="34" t="s">
        <v>547</v>
      </c>
      <c r="B35" s="34">
        <v>10</v>
      </c>
      <c r="C35" s="34" t="s">
        <v>1367</v>
      </c>
      <c r="D35" s="34" t="s">
        <v>19</v>
      </c>
      <c r="E35" s="485"/>
    </row>
    <row r="36" spans="1:5" x14ac:dyDescent="0.25">
      <c r="A36" s="34" t="s">
        <v>547</v>
      </c>
      <c r="B36" s="34">
        <v>11</v>
      </c>
      <c r="C36" s="34" t="s">
        <v>1118</v>
      </c>
      <c r="D36" s="34" t="s">
        <v>20</v>
      </c>
      <c r="E36" s="485"/>
    </row>
    <row r="37" spans="1:5" x14ac:dyDescent="0.25">
      <c r="A37" s="34" t="s">
        <v>547</v>
      </c>
      <c r="B37" s="34">
        <v>12</v>
      </c>
      <c r="C37" s="34" t="s">
        <v>1119</v>
      </c>
      <c r="D37" s="34" t="s">
        <v>21</v>
      </c>
      <c r="E37" s="485"/>
    </row>
    <row r="38" spans="1:5" x14ac:dyDescent="0.25">
      <c r="A38" s="34" t="s">
        <v>547</v>
      </c>
      <c r="B38" s="34">
        <v>13</v>
      </c>
      <c r="C38" s="34" t="s">
        <v>1368</v>
      </c>
      <c r="D38" s="34" t="s">
        <v>560</v>
      </c>
      <c r="E38" s="485"/>
    </row>
    <row r="39" spans="1:5" x14ac:dyDescent="0.25">
      <c r="A39" s="34" t="s">
        <v>547</v>
      </c>
      <c r="B39" s="34">
        <v>14</v>
      </c>
      <c r="C39" s="34" t="s">
        <v>1369</v>
      </c>
      <c r="D39" s="34" t="s">
        <v>33</v>
      </c>
      <c r="E39" s="485"/>
    </row>
    <row r="40" spans="1:5" x14ac:dyDescent="0.25">
      <c r="A40" s="34" t="s">
        <v>547</v>
      </c>
      <c r="B40" s="34">
        <v>15</v>
      </c>
      <c r="C40" s="34" t="s">
        <v>1370</v>
      </c>
      <c r="D40" s="34" t="s">
        <v>1120</v>
      </c>
      <c r="E40" s="485"/>
    </row>
    <row r="41" spans="1:5" x14ac:dyDescent="0.25">
      <c r="A41" s="34" t="s">
        <v>547</v>
      </c>
      <c r="B41" s="34">
        <v>16</v>
      </c>
      <c r="C41" s="34" t="s">
        <v>1371</v>
      </c>
      <c r="D41" s="34"/>
      <c r="E41" s="485"/>
    </row>
    <row r="42" spans="1:5" x14ac:dyDescent="0.25">
      <c r="A42" s="34" t="s">
        <v>547</v>
      </c>
      <c r="B42" s="34">
        <v>17</v>
      </c>
      <c r="C42" s="34" t="s">
        <v>1372</v>
      </c>
      <c r="D42" s="34" t="s">
        <v>1279</v>
      </c>
      <c r="E42" s="485"/>
    </row>
    <row r="43" spans="1:5" x14ac:dyDescent="0.25">
      <c r="A43" s="39" t="s">
        <v>553</v>
      </c>
      <c r="B43" s="39">
        <v>9</v>
      </c>
      <c r="C43" s="39" t="str">
        <f t="shared" ref="C43:C55" si="1">CONCATENATE("Column ", B43)</f>
        <v>Column 9</v>
      </c>
      <c r="D43" s="39" t="s">
        <v>20</v>
      </c>
    </row>
    <row r="44" spans="1:5" x14ac:dyDescent="0.25">
      <c r="A44" s="39" t="s">
        <v>553</v>
      </c>
      <c r="B44" s="39">
        <v>2</v>
      </c>
      <c r="C44" s="39" t="str">
        <f t="shared" si="1"/>
        <v>Column 2</v>
      </c>
      <c r="D44" s="39" t="s">
        <v>27</v>
      </c>
    </row>
    <row r="45" spans="1:5" x14ac:dyDescent="0.25">
      <c r="A45" s="39" t="s">
        <v>553</v>
      </c>
      <c r="B45" s="39">
        <v>5</v>
      </c>
      <c r="C45" s="39" t="str">
        <f t="shared" si="1"/>
        <v>Column 5</v>
      </c>
      <c r="D45" s="39" t="s">
        <v>69</v>
      </c>
    </row>
    <row r="46" spans="1:5" x14ac:dyDescent="0.25">
      <c r="A46" s="39" t="s">
        <v>553</v>
      </c>
      <c r="B46" s="39">
        <v>10</v>
      </c>
      <c r="C46" s="39" t="str">
        <f t="shared" si="1"/>
        <v>Column 10</v>
      </c>
      <c r="D46" s="39" t="s">
        <v>21</v>
      </c>
    </row>
    <row r="47" spans="1:5" x14ac:dyDescent="0.25">
      <c r="A47" s="39" t="s">
        <v>553</v>
      </c>
      <c r="B47" s="39">
        <v>7</v>
      </c>
      <c r="C47" s="39" t="str">
        <f t="shared" si="1"/>
        <v>Column 7</v>
      </c>
      <c r="D47" s="39" t="s">
        <v>554</v>
      </c>
    </row>
    <row r="48" spans="1:5" x14ac:dyDescent="0.25">
      <c r="A48" s="39" t="s">
        <v>553</v>
      </c>
      <c r="B48" s="39">
        <v>11</v>
      </c>
      <c r="C48" s="39" t="str">
        <f t="shared" si="1"/>
        <v>Column 11</v>
      </c>
      <c r="D48" s="39" t="s">
        <v>71</v>
      </c>
    </row>
    <row r="49" spans="1:4" x14ac:dyDescent="0.25">
      <c r="A49" s="39" t="s">
        <v>553</v>
      </c>
      <c r="B49" s="39">
        <v>12</v>
      </c>
      <c r="C49" s="39" t="str">
        <f t="shared" si="1"/>
        <v>Column 12</v>
      </c>
      <c r="D49" s="39" t="s">
        <v>33</v>
      </c>
    </row>
    <row r="50" spans="1:4" x14ac:dyDescent="0.25">
      <c r="A50" s="39" t="s">
        <v>553</v>
      </c>
      <c r="B50" s="39">
        <v>6</v>
      </c>
      <c r="C50" s="39" t="str">
        <f t="shared" si="1"/>
        <v>Column 6</v>
      </c>
      <c r="D50" s="39" t="s">
        <v>66</v>
      </c>
    </row>
    <row r="51" spans="1:4" x14ac:dyDescent="0.25">
      <c r="A51" s="39" t="s">
        <v>553</v>
      </c>
      <c r="B51" s="39">
        <v>1</v>
      </c>
      <c r="C51" s="39" t="str">
        <f t="shared" si="1"/>
        <v>Column 1</v>
      </c>
      <c r="D51" s="39" t="s">
        <v>552</v>
      </c>
    </row>
    <row r="52" spans="1:4" x14ac:dyDescent="0.25">
      <c r="A52" s="39" t="s">
        <v>553</v>
      </c>
      <c r="B52" s="39">
        <v>4</v>
      </c>
      <c r="C52" s="39" t="str">
        <f t="shared" si="1"/>
        <v>Column 4</v>
      </c>
      <c r="D52" s="39" t="s">
        <v>65</v>
      </c>
    </row>
    <row r="53" spans="1:4" x14ac:dyDescent="0.25">
      <c r="A53" s="39" t="s">
        <v>553</v>
      </c>
      <c r="B53" s="39">
        <v>8</v>
      </c>
      <c r="C53" s="39" t="str">
        <f t="shared" si="1"/>
        <v>Column 8</v>
      </c>
      <c r="D53" s="39" t="s">
        <v>19</v>
      </c>
    </row>
    <row r="54" spans="1:4" x14ac:dyDescent="0.25">
      <c r="A54" s="39" t="s">
        <v>553</v>
      </c>
      <c r="B54" s="39">
        <v>13</v>
      </c>
      <c r="C54" s="39" t="str">
        <f t="shared" si="1"/>
        <v>Column 13</v>
      </c>
      <c r="D54" s="39" t="s">
        <v>560</v>
      </c>
    </row>
    <row r="55" spans="1:4" x14ac:dyDescent="0.25">
      <c r="A55" s="39" t="s">
        <v>553</v>
      </c>
      <c r="B55" s="39">
        <v>3</v>
      </c>
      <c r="C55" s="39" t="str">
        <f t="shared" si="1"/>
        <v>Column 3</v>
      </c>
      <c r="D55" s="39" t="s">
        <v>28</v>
      </c>
    </row>
  </sheetData>
  <sortState ref="A24:D35">
    <sortCondition ref="D24:D35"/>
  </sortState>
  <dataConsolidate/>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65"/>
  <sheetViews>
    <sheetView workbookViewId="0">
      <selection activeCell="C6" sqref="C6"/>
    </sheetView>
  </sheetViews>
  <sheetFormatPr defaultColWidth="8.875" defaultRowHeight="15.75" x14ac:dyDescent="0.25"/>
  <cols>
    <col min="10" max="10" width="45.125" customWidth="1"/>
    <col min="11" max="11" width="10.625" bestFit="1" customWidth="1"/>
  </cols>
  <sheetData>
    <row r="1" spans="1:12" x14ac:dyDescent="0.25">
      <c r="J1" t="s">
        <v>1243</v>
      </c>
      <c r="K1" t="s">
        <v>1244</v>
      </c>
      <c r="L1" t="s">
        <v>1245</v>
      </c>
    </row>
    <row r="2" spans="1:12" x14ac:dyDescent="0.25">
      <c r="J2" t="s">
        <v>1187</v>
      </c>
      <c r="K2">
        <v>7</v>
      </c>
      <c r="L2" t="s">
        <v>1241</v>
      </c>
    </row>
    <row r="3" spans="1:12" x14ac:dyDescent="0.25">
      <c r="J3" t="s">
        <v>1188</v>
      </c>
      <c r="K3">
        <v>7</v>
      </c>
      <c r="L3" t="s">
        <v>1242</v>
      </c>
    </row>
    <row r="4" spans="1:12" x14ac:dyDescent="0.25">
      <c r="J4" t="s">
        <v>1189</v>
      </c>
      <c r="K4">
        <v>8</v>
      </c>
      <c r="L4" t="s">
        <v>1241</v>
      </c>
    </row>
    <row r="5" spans="1:12" x14ac:dyDescent="0.25">
      <c r="J5" t="s">
        <v>1190</v>
      </c>
      <c r="K5">
        <v>9</v>
      </c>
      <c r="L5" t="s">
        <v>1241</v>
      </c>
    </row>
    <row r="6" spans="1:12" x14ac:dyDescent="0.25">
      <c r="A6" s="485" t="s">
        <v>63</v>
      </c>
      <c r="B6" s="485" t="s">
        <v>1359</v>
      </c>
      <c r="C6" s="485">
        <f>COLUMN(Stories!J4)</f>
        <v>10</v>
      </c>
      <c r="D6" s="485">
        <f>ROW(Stories!C6)</f>
        <v>6</v>
      </c>
      <c r="J6" t="s">
        <v>1191</v>
      </c>
      <c r="K6">
        <v>10</v>
      </c>
      <c r="L6" t="s">
        <v>1241</v>
      </c>
    </row>
    <row r="7" spans="1:12" x14ac:dyDescent="0.25">
      <c r="A7" t="s">
        <v>63</v>
      </c>
      <c r="B7" t="s">
        <v>27</v>
      </c>
      <c r="C7">
        <f>COLUMN(Stories!C6)</f>
        <v>3</v>
      </c>
      <c r="D7">
        <f>ROW(Stories!C6)</f>
        <v>6</v>
      </c>
      <c r="J7" t="s">
        <v>1192</v>
      </c>
      <c r="K7">
        <v>11</v>
      </c>
      <c r="L7" t="s">
        <v>1241</v>
      </c>
    </row>
    <row r="8" spans="1:12" x14ac:dyDescent="0.25">
      <c r="A8" t="s">
        <v>63</v>
      </c>
      <c r="B8" t="s">
        <v>1172</v>
      </c>
      <c r="C8">
        <f>COLUMN(Stories!D6)</f>
        <v>4</v>
      </c>
      <c r="J8" t="s">
        <v>1193</v>
      </c>
      <c r="K8">
        <v>12</v>
      </c>
      <c r="L8" t="s">
        <v>1241</v>
      </c>
    </row>
    <row r="9" spans="1:12" x14ac:dyDescent="0.25">
      <c r="A9" t="s">
        <v>63</v>
      </c>
      <c r="B9" t="s">
        <v>1169</v>
      </c>
      <c r="C9">
        <f>COLUMN(Stories!E6)</f>
        <v>5</v>
      </c>
      <c r="J9" t="s">
        <v>1194</v>
      </c>
      <c r="K9">
        <v>13</v>
      </c>
      <c r="L9" t="s">
        <v>1241</v>
      </c>
    </row>
    <row r="10" spans="1:12" x14ac:dyDescent="0.25">
      <c r="A10" t="s">
        <v>63</v>
      </c>
      <c r="B10" t="s">
        <v>28</v>
      </c>
      <c r="C10">
        <f>COLUMN(Stories!F6)</f>
        <v>6</v>
      </c>
      <c r="J10" t="s">
        <v>1195</v>
      </c>
      <c r="K10">
        <v>14</v>
      </c>
      <c r="L10" t="s">
        <v>1241</v>
      </c>
    </row>
    <row r="11" spans="1:12" x14ac:dyDescent="0.25">
      <c r="A11" t="s">
        <v>63</v>
      </c>
      <c r="B11" t="s">
        <v>65</v>
      </c>
      <c r="C11">
        <f>COLUMN(Stories!G6)</f>
        <v>7</v>
      </c>
      <c r="J11" t="s">
        <v>1196</v>
      </c>
      <c r="K11">
        <v>15</v>
      </c>
      <c r="L11" t="s">
        <v>1241</v>
      </c>
    </row>
    <row r="12" spans="1:12" x14ac:dyDescent="0.25">
      <c r="A12" t="s">
        <v>63</v>
      </c>
      <c r="B12" t="s">
        <v>69</v>
      </c>
      <c r="C12">
        <f>COLUMN(Stories!H6)</f>
        <v>8</v>
      </c>
      <c r="J12" t="s">
        <v>1197</v>
      </c>
      <c r="K12">
        <v>16</v>
      </c>
      <c r="L12" t="s">
        <v>1241</v>
      </c>
    </row>
    <row r="13" spans="1:12" x14ac:dyDescent="0.25">
      <c r="A13" t="s">
        <v>63</v>
      </c>
      <c r="B13" t="s">
        <v>66</v>
      </c>
      <c r="C13">
        <f>COLUMN(Stories!I6)</f>
        <v>9</v>
      </c>
      <c r="J13" t="s">
        <v>1198</v>
      </c>
      <c r="K13">
        <v>17</v>
      </c>
      <c r="L13" t="s">
        <v>1241</v>
      </c>
    </row>
    <row r="14" spans="1:12" x14ac:dyDescent="0.25">
      <c r="A14" t="s">
        <v>63</v>
      </c>
      <c r="B14" t="s">
        <v>70</v>
      </c>
      <c r="C14">
        <f>COLUMN(Stories!K6)</f>
        <v>11</v>
      </c>
      <c r="J14" t="s">
        <v>1199</v>
      </c>
      <c r="K14">
        <v>18</v>
      </c>
      <c r="L14" t="s">
        <v>1241</v>
      </c>
    </row>
    <row r="15" spans="1:12" x14ac:dyDescent="0.25">
      <c r="A15" t="s">
        <v>63</v>
      </c>
      <c r="B15" t="s">
        <v>540</v>
      </c>
      <c r="C15">
        <f>COLUMN(Stories!L6)</f>
        <v>12</v>
      </c>
      <c r="J15" t="s">
        <v>1200</v>
      </c>
      <c r="K15">
        <v>19</v>
      </c>
      <c r="L15" t="s">
        <v>1241</v>
      </c>
    </row>
    <row r="16" spans="1:12" x14ac:dyDescent="0.25">
      <c r="A16" t="s">
        <v>63</v>
      </c>
      <c r="B16" t="s">
        <v>19</v>
      </c>
      <c r="C16">
        <f>COLUMN(Stories!M6)</f>
        <v>13</v>
      </c>
      <c r="J16" t="s">
        <v>1201</v>
      </c>
      <c r="K16">
        <v>20</v>
      </c>
      <c r="L16" t="s">
        <v>1241</v>
      </c>
    </row>
    <row r="17" spans="1:12" x14ac:dyDescent="0.25">
      <c r="A17" t="s">
        <v>63</v>
      </c>
      <c r="B17" t="s">
        <v>20</v>
      </c>
      <c r="C17">
        <f>COLUMN(Stories!N6)</f>
        <v>14</v>
      </c>
      <c r="J17" t="s">
        <v>1202</v>
      </c>
      <c r="K17">
        <v>21</v>
      </c>
      <c r="L17" t="s">
        <v>1241</v>
      </c>
    </row>
    <row r="18" spans="1:12" x14ac:dyDescent="0.25">
      <c r="A18" t="s">
        <v>63</v>
      </c>
      <c r="B18" t="s">
        <v>21</v>
      </c>
      <c r="C18">
        <f>COLUMN(Stories!O6)</f>
        <v>15</v>
      </c>
      <c r="J18" t="s">
        <v>1203</v>
      </c>
      <c r="K18">
        <v>22</v>
      </c>
      <c r="L18" t="s">
        <v>1241</v>
      </c>
    </row>
    <row r="19" spans="1:12" x14ac:dyDescent="0.25">
      <c r="A19" t="s">
        <v>63</v>
      </c>
      <c r="B19" t="s">
        <v>71</v>
      </c>
      <c r="C19">
        <f>COLUMN(Stories!P6)</f>
        <v>16</v>
      </c>
      <c r="J19" t="s">
        <v>1204</v>
      </c>
      <c r="K19">
        <v>23</v>
      </c>
      <c r="L19" t="s">
        <v>1241</v>
      </c>
    </row>
    <row r="20" spans="1:12" x14ac:dyDescent="0.25">
      <c r="A20" t="s">
        <v>63</v>
      </c>
      <c r="B20" t="s">
        <v>808</v>
      </c>
      <c r="C20">
        <f>COLUMN(Stories!Q6)</f>
        <v>17</v>
      </c>
      <c r="J20" t="s">
        <v>1230</v>
      </c>
      <c r="K20">
        <v>24</v>
      </c>
      <c r="L20" t="s">
        <v>1241</v>
      </c>
    </row>
    <row r="21" spans="1:12" x14ac:dyDescent="0.25">
      <c r="A21" t="s">
        <v>63</v>
      </c>
      <c r="B21" t="s">
        <v>809</v>
      </c>
      <c r="C21">
        <f>COLUMN(Stories!S6)</f>
        <v>19</v>
      </c>
      <c r="J21" t="s">
        <v>1231</v>
      </c>
      <c r="K21">
        <v>25</v>
      </c>
      <c r="L21" t="s">
        <v>1241</v>
      </c>
    </row>
    <row r="22" spans="1:12" x14ac:dyDescent="0.25">
      <c r="A22" t="s">
        <v>63</v>
      </c>
      <c r="B22" t="s">
        <v>810</v>
      </c>
      <c r="C22">
        <f>COLUMN(Stories!U6)</f>
        <v>21</v>
      </c>
      <c r="J22" t="s">
        <v>1232</v>
      </c>
      <c r="K22">
        <v>26</v>
      </c>
      <c r="L22" t="s">
        <v>1241</v>
      </c>
    </row>
    <row r="23" spans="1:12" x14ac:dyDescent="0.25">
      <c r="A23" t="s">
        <v>63</v>
      </c>
      <c r="B23" t="s">
        <v>33</v>
      </c>
      <c r="C23">
        <f>COLUMN(Stories!W6)</f>
        <v>23</v>
      </c>
      <c r="J23" t="s">
        <v>1233</v>
      </c>
      <c r="K23">
        <v>27</v>
      </c>
      <c r="L23" t="s">
        <v>1241</v>
      </c>
    </row>
    <row r="24" spans="1:12" x14ac:dyDescent="0.25">
      <c r="A24" t="s">
        <v>1246</v>
      </c>
      <c r="B24" t="s">
        <v>27</v>
      </c>
      <c r="C24">
        <f>COLUMN('Add-ins'!B4)</f>
        <v>2</v>
      </c>
      <c r="J24" t="s">
        <v>1234</v>
      </c>
      <c r="K24">
        <v>28</v>
      </c>
      <c r="L24" t="s">
        <v>1241</v>
      </c>
    </row>
    <row r="25" spans="1:12" x14ac:dyDescent="0.25">
      <c r="A25" t="s">
        <v>1246</v>
      </c>
      <c r="B25" t="s">
        <v>1169</v>
      </c>
      <c r="C25">
        <f>COLUMN('Add-ins'!C4)</f>
        <v>3</v>
      </c>
      <c r="J25" t="s">
        <v>1235</v>
      </c>
      <c r="K25">
        <v>29</v>
      </c>
      <c r="L25" t="s">
        <v>1241</v>
      </c>
    </row>
    <row r="26" spans="1:12" x14ac:dyDescent="0.25">
      <c r="A26" t="s">
        <v>1246</v>
      </c>
      <c r="B26" t="s">
        <v>28</v>
      </c>
      <c r="C26">
        <f>COLUMN('Add-ins'!D4)</f>
        <v>4</v>
      </c>
      <c r="J26" t="s">
        <v>1236</v>
      </c>
      <c r="K26">
        <v>30</v>
      </c>
      <c r="L26" t="s">
        <v>1241</v>
      </c>
    </row>
    <row r="27" spans="1:12" x14ac:dyDescent="0.25">
      <c r="A27" t="s">
        <v>1246</v>
      </c>
      <c r="B27" t="s">
        <v>540</v>
      </c>
      <c r="C27">
        <f>COLUMN('Add-ins'!E4)</f>
        <v>5</v>
      </c>
      <c r="J27" t="s">
        <v>1237</v>
      </c>
      <c r="K27">
        <v>31</v>
      </c>
      <c r="L27" t="s">
        <v>1241</v>
      </c>
    </row>
    <row r="28" spans="1:12" x14ac:dyDescent="0.25">
      <c r="A28" t="s">
        <v>1246</v>
      </c>
      <c r="B28" t="s">
        <v>1247</v>
      </c>
      <c r="C28">
        <f>COLUMN('Add-ins'!F4)</f>
        <v>6</v>
      </c>
      <c r="J28" t="s">
        <v>1240</v>
      </c>
      <c r="K28">
        <v>32</v>
      </c>
      <c r="L28" t="s">
        <v>1241</v>
      </c>
    </row>
    <row r="29" spans="1:12" x14ac:dyDescent="0.25">
      <c r="A29" t="s">
        <v>1246</v>
      </c>
      <c r="B29" t="s">
        <v>29</v>
      </c>
      <c r="C29">
        <f>COLUMN('Add-ins'!G4)</f>
        <v>7</v>
      </c>
      <c r="J29" t="s">
        <v>1220</v>
      </c>
      <c r="K29">
        <v>33</v>
      </c>
      <c r="L29" t="s">
        <v>1241</v>
      </c>
    </row>
    <row r="30" spans="1:12" x14ac:dyDescent="0.25">
      <c r="A30" t="s">
        <v>1246</v>
      </c>
      <c r="B30" t="s">
        <v>31</v>
      </c>
      <c r="C30">
        <f>COLUMN('Add-ins'!H4)</f>
        <v>8</v>
      </c>
      <c r="J30" t="s">
        <v>1221</v>
      </c>
      <c r="K30">
        <v>34</v>
      </c>
      <c r="L30" t="s">
        <v>1241</v>
      </c>
    </row>
    <row r="31" spans="1:12" x14ac:dyDescent="0.25">
      <c r="A31" t="s">
        <v>1246</v>
      </c>
      <c r="B31" t="s">
        <v>1248</v>
      </c>
      <c r="C31">
        <f>COLUMN('Add-ins'!I4)</f>
        <v>9</v>
      </c>
      <c r="J31" t="s">
        <v>1222</v>
      </c>
      <c r="K31">
        <v>35</v>
      </c>
      <c r="L31" t="s">
        <v>1241</v>
      </c>
    </row>
    <row r="32" spans="1:12" x14ac:dyDescent="0.25">
      <c r="A32" t="s">
        <v>1246</v>
      </c>
      <c r="B32" t="s">
        <v>33</v>
      </c>
      <c r="C32">
        <f>COLUMN('Add-ins'!K4)</f>
        <v>11</v>
      </c>
      <c r="J32" t="s">
        <v>1223</v>
      </c>
      <c r="K32">
        <v>36</v>
      </c>
      <c r="L32" t="s">
        <v>1241</v>
      </c>
    </row>
    <row r="33" spans="1:12" x14ac:dyDescent="0.25">
      <c r="A33" t="s">
        <v>47</v>
      </c>
      <c r="B33" t="s">
        <v>27</v>
      </c>
      <c r="C33">
        <f>COLUMN('Objective Risks'!B6)</f>
        <v>2</v>
      </c>
      <c r="J33" t="s">
        <v>1224</v>
      </c>
      <c r="K33">
        <v>37</v>
      </c>
      <c r="L33" t="s">
        <v>1241</v>
      </c>
    </row>
    <row r="34" spans="1:12" x14ac:dyDescent="0.25">
      <c r="A34" t="s">
        <v>47</v>
      </c>
      <c r="B34" t="s">
        <v>1169</v>
      </c>
      <c r="C34">
        <f>COLUMN('Objective Risks'!C6)</f>
        <v>3</v>
      </c>
      <c r="J34" t="s">
        <v>1225</v>
      </c>
      <c r="K34">
        <v>38</v>
      </c>
      <c r="L34" t="s">
        <v>1241</v>
      </c>
    </row>
    <row r="35" spans="1:12" x14ac:dyDescent="0.25">
      <c r="A35" t="s">
        <v>47</v>
      </c>
      <c r="B35" t="s">
        <v>28</v>
      </c>
      <c r="C35">
        <f>COLUMN('Objective Risks'!D6)</f>
        <v>4</v>
      </c>
      <c r="J35" t="s">
        <v>1226</v>
      </c>
      <c r="K35">
        <v>39</v>
      </c>
      <c r="L35" t="s">
        <v>1241</v>
      </c>
    </row>
    <row r="36" spans="1:12" x14ac:dyDescent="0.25">
      <c r="A36" t="s">
        <v>47</v>
      </c>
      <c r="B36" t="s">
        <v>540</v>
      </c>
      <c r="C36">
        <f>COLUMN('Objective Risks'!E6)</f>
        <v>5</v>
      </c>
      <c r="J36" t="s">
        <v>1227</v>
      </c>
      <c r="K36">
        <v>40</v>
      </c>
      <c r="L36" t="s">
        <v>1241</v>
      </c>
    </row>
    <row r="37" spans="1:12" x14ac:dyDescent="0.25">
      <c r="A37" t="s">
        <v>47</v>
      </c>
      <c r="B37" t="s">
        <v>1249</v>
      </c>
      <c r="C37">
        <f>COLUMN('Objective Risks'!F6)</f>
        <v>6</v>
      </c>
      <c r="J37" t="s">
        <v>1205</v>
      </c>
      <c r="K37">
        <v>42</v>
      </c>
      <c r="L37" t="s">
        <v>1241</v>
      </c>
    </row>
    <row r="38" spans="1:12" x14ac:dyDescent="0.25">
      <c r="A38" t="s">
        <v>47</v>
      </c>
      <c r="B38" t="s">
        <v>29</v>
      </c>
      <c r="C38">
        <f>COLUMN('Objective Risks'!G6)</f>
        <v>7</v>
      </c>
      <c r="J38" t="s">
        <v>1219</v>
      </c>
      <c r="K38">
        <v>42</v>
      </c>
      <c r="L38" t="s">
        <v>1242</v>
      </c>
    </row>
    <row r="39" spans="1:12" x14ac:dyDescent="0.25">
      <c r="A39" t="s">
        <v>47</v>
      </c>
      <c r="B39" t="s">
        <v>1250</v>
      </c>
      <c r="C39">
        <f>COLUMN('Objective Risks'!H6)</f>
        <v>8</v>
      </c>
      <c r="J39" t="s">
        <v>1219</v>
      </c>
      <c r="K39">
        <v>42</v>
      </c>
      <c r="L39" t="s">
        <v>1242</v>
      </c>
    </row>
    <row r="40" spans="1:12" x14ac:dyDescent="0.25">
      <c r="A40" t="s">
        <v>47</v>
      </c>
      <c r="B40" t="s">
        <v>1251</v>
      </c>
      <c r="C40">
        <f>COLUMN('Objective Risks'!I6)</f>
        <v>9</v>
      </c>
      <c r="J40" t="s">
        <v>1206</v>
      </c>
      <c r="K40">
        <v>46</v>
      </c>
      <c r="L40" t="s">
        <v>1241</v>
      </c>
    </row>
    <row r="41" spans="1:12" x14ac:dyDescent="0.25">
      <c r="A41" t="s">
        <v>80</v>
      </c>
      <c r="B41" t="s">
        <v>81</v>
      </c>
      <c r="C41">
        <f>COLUMN('Staffing Plan'!D2)</f>
        <v>4</v>
      </c>
      <c r="D41">
        <f>ROW('Staffing Plan'!D2)</f>
        <v>2</v>
      </c>
      <c r="J41" t="s">
        <v>1207</v>
      </c>
      <c r="K41">
        <v>46</v>
      </c>
      <c r="L41" t="s">
        <v>1242</v>
      </c>
    </row>
    <row r="42" spans="1:12" x14ac:dyDescent="0.25">
      <c r="A42" t="s">
        <v>80</v>
      </c>
      <c r="B42" t="s">
        <v>82</v>
      </c>
      <c r="C42">
        <f>COLUMN('Staffing Plan'!D2)</f>
        <v>4</v>
      </c>
      <c r="D42">
        <f>ROW('Staffing Plan'!D3)</f>
        <v>3</v>
      </c>
      <c r="J42" t="s">
        <v>1208</v>
      </c>
      <c r="K42">
        <v>47</v>
      </c>
      <c r="L42" t="s">
        <v>1241</v>
      </c>
    </row>
    <row r="43" spans="1:12" x14ac:dyDescent="0.25">
      <c r="A43" t="s">
        <v>80</v>
      </c>
      <c r="B43" t="s">
        <v>83</v>
      </c>
      <c r="C43">
        <f>COLUMN('Staffing Plan'!D2)</f>
        <v>4</v>
      </c>
      <c r="J43" t="s">
        <v>1209</v>
      </c>
      <c r="K43">
        <v>48</v>
      </c>
      <c r="L43" t="s">
        <v>1241</v>
      </c>
    </row>
    <row r="44" spans="1:12" x14ac:dyDescent="0.25">
      <c r="A44" t="s">
        <v>80</v>
      </c>
      <c r="B44" t="s">
        <v>95</v>
      </c>
      <c r="C44">
        <f>COLUMN('Staffing Plan'!D2)</f>
        <v>4</v>
      </c>
      <c r="J44" t="s">
        <v>1210</v>
      </c>
      <c r="K44">
        <v>49</v>
      </c>
      <c r="L44" t="s">
        <v>1241</v>
      </c>
    </row>
    <row r="45" spans="1:12" x14ac:dyDescent="0.25">
      <c r="A45" t="s">
        <v>80</v>
      </c>
      <c r="J45" t="s">
        <v>1211</v>
      </c>
      <c r="K45">
        <v>50</v>
      </c>
      <c r="L45" t="s">
        <v>1241</v>
      </c>
    </row>
    <row r="46" spans="1:12" x14ac:dyDescent="0.25">
      <c r="A46" t="s">
        <v>80</v>
      </c>
      <c r="B46" t="s">
        <v>84</v>
      </c>
      <c r="C46">
        <f>COLUMN('Staffing Plan'!C8)</f>
        <v>3</v>
      </c>
      <c r="D46">
        <f>ROW('Staffing Plan'!C8)</f>
        <v>8</v>
      </c>
      <c r="J46" t="s">
        <v>1212</v>
      </c>
      <c r="K46">
        <v>51</v>
      </c>
      <c r="L46" t="s">
        <v>1241</v>
      </c>
    </row>
    <row r="47" spans="1:12" x14ac:dyDescent="0.25">
      <c r="A47" t="s">
        <v>80</v>
      </c>
      <c r="B47" t="s">
        <v>86</v>
      </c>
      <c r="C47">
        <f>COLUMN('Staffing Plan'!D8)</f>
        <v>4</v>
      </c>
      <c r="J47" t="s">
        <v>1213</v>
      </c>
      <c r="K47">
        <v>52</v>
      </c>
      <c r="L47" t="s">
        <v>1241</v>
      </c>
    </row>
    <row r="48" spans="1:12" x14ac:dyDescent="0.25">
      <c r="A48" t="s">
        <v>80</v>
      </c>
      <c r="B48" t="s">
        <v>87</v>
      </c>
      <c r="C48">
        <f>COLUMN('Staffing Plan'!E8)</f>
        <v>5</v>
      </c>
      <c r="J48" t="s">
        <v>1214</v>
      </c>
      <c r="K48">
        <v>53</v>
      </c>
      <c r="L48" t="s">
        <v>1241</v>
      </c>
    </row>
    <row r="49" spans="1:12" x14ac:dyDescent="0.25">
      <c r="A49" t="s">
        <v>80</v>
      </c>
      <c r="B49" t="s">
        <v>88</v>
      </c>
      <c r="C49">
        <f>COLUMN('Staffing Plan'!F8)</f>
        <v>6</v>
      </c>
      <c r="J49" t="s">
        <v>1215</v>
      </c>
      <c r="K49">
        <v>54</v>
      </c>
      <c r="L49" t="s">
        <v>1241</v>
      </c>
    </row>
    <row r="50" spans="1:12" x14ac:dyDescent="0.25">
      <c r="A50" t="s">
        <v>80</v>
      </c>
      <c r="B50" t="s">
        <v>1169</v>
      </c>
      <c r="C50">
        <f>COLUMN('Staffing Plan'!G8)</f>
        <v>7</v>
      </c>
      <c r="J50" t="s">
        <v>1216</v>
      </c>
      <c r="K50">
        <v>55</v>
      </c>
      <c r="L50" t="s">
        <v>1241</v>
      </c>
    </row>
    <row r="51" spans="1:12" x14ac:dyDescent="0.25">
      <c r="A51" t="s">
        <v>80</v>
      </c>
      <c r="B51" t="s">
        <v>28</v>
      </c>
      <c r="C51">
        <f>COLUMN('Staffing Plan'!H8)</f>
        <v>8</v>
      </c>
      <c r="J51" t="s">
        <v>1217</v>
      </c>
      <c r="K51">
        <v>56</v>
      </c>
      <c r="L51" t="s">
        <v>1241</v>
      </c>
    </row>
    <row r="52" spans="1:12" x14ac:dyDescent="0.25">
      <c r="A52" t="s">
        <v>80</v>
      </c>
      <c r="B52" t="s">
        <v>540</v>
      </c>
      <c r="C52">
        <f>COLUMN('Staffing Plan'!I8)</f>
        <v>9</v>
      </c>
      <c r="J52" t="s">
        <v>1218</v>
      </c>
      <c r="K52">
        <v>57</v>
      </c>
      <c r="L52" t="s">
        <v>1241</v>
      </c>
    </row>
    <row r="53" spans="1:12" x14ac:dyDescent="0.25">
      <c r="A53" t="s">
        <v>80</v>
      </c>
      <c r="B53" t="s">
        <v>1253</v>
      </c>
      <c r="C53">
        <f>COLUMN('Staffing Plan'!J8)</f>
        <v>10</v>
      </c>
      <c r="J53" t="s">
        <v>1228</v>
      </c>
      <c r="K53">
        <v>58</v>
      </c>
      <c r="L53" t="s">
        <v>1241</v>
      </c>
    </row>
    <row r="54" spans="1:12" x14ac:dyDescent="0.25">
      <c r="A54" t="s">
        <v>80</v>
      </c>
      <c r="B54" t="s">
        <v>825</v>
      </c>
      <c r="C54">
        <f>COLUMN('Staffing Plan'!AF8)</f>
        <v>32</v>
      </c>
      <c r="J54" t="s">
        <v>1229</v>
      </c>
      <c r="K54">
        <v>58</v>
      </c>
      <c r="L54" t="s">
        <v>1242</v>
      </c>
    </row>
    <row r="55" spans="1:12" x14ac:dyDescent="0.25">
      <c r="A55" t="s">
        <v>80</v>
      </c>
      <c r="B55" t="s">
        <v>812</v>
      </c>
      <c r="C55">
        <f>COLUMN('Staffing Plan'!AG8)</f>
        <v>33</v>
      </c>
      <c r="J55" t="s">
        <v>1238</v>
      </c>
      <c r="K55">
        <v>59</v>
      </c>
      <c r="L55" t="s">
        <v>1241</v>
      </c>
    </row>
    <row r="56" spans="1:12" x14ac:dyDescent="0.25">
      <c r="A56" t="s">
        <v>80</v>
      </c>
      <c r="B56" t="s">
        <v>826</v>
      </c>
      <c r="C56">
        <f>COLUMN('Staffing Plan'!AH8)</f>
        <v>34</v>
      </c>
      <c r="J56" t="s">
        <v>1239</v>
      </c>
      <c r="K56">
        <v>59</v>
      </c>
      <c r="L56" t="s">
        <v>1242</v>
      </c>
    </row>
    <row r="57" spans="1:12" x14ac:dyDescent="0.25">
      <c r="A57" t="s">
        <v>80</v>
      </c>
      <c r="B57" t="s">
        <v>814</v>
      </c>
      <c r="C57">
        <f>COLUMN('Staffing Plan'!AJ8)</f>
        <v>36</v>
      </c>
      <c r="J57" t="s">
        <v>1184</v>
      </c>
      <c r="K57">
        <v>61</v>
      </c>
      <c r="L57" t="s">
        <v>1241</v>
      </c>
    </row>
    <row r="58" spans="1:12" x14ac:dyDescent="0.25">
      <c r="A58" t="s">
        <v>47</v>
      </c>
      <c r="B58" t="s">
        <v>1252</v>
      </c>
      <c r="C58">
        <f>COLUMN('Objective Risks'!K6)</f>
        <v>11</v>
      </c>
      <c r="D58">
        <f>ROW('Objective Risks'!K6)</f>
        <v>6</v>
      </c>
      <c r="J58" t="s">
        <v>1185</v>
      </c>
      <c r="K58">
        <v>62</v>
      </c>
      <c r="L58" t="s">
        <v>1241</v>
      </c>
    </row>
    <row r="59" spans="1:12" x14ac:dyDescent="0.25">
      <c r="A59" t="s">
        <v>1246</v>
      </c>
      <c r="B59" t="s">
        <v>34</v>
      </c>
      <c r="C59">
        <f>COLUMN('Add-ins'!J4)</f>
        <v>10</v>
      </c>
      <c r="D59">
        <f>ROW('Add-ins'!J4)</f>
        <v>4</v>
      </c>
      <c r="J59" t="s">
        <v>1186</v>
      </c>
      <c r="K59">
        <v>63</v>
      </c>
      <c r="L59" t="s">
        <v>1241</v>
      </c>
    </row>
    <row r="60" spans="1:12" x14ac:dyDescent="0.25">
      <c r="A60" t="s">
        <v>47</v>
      </c>
      <c r="B60" t="s">
        <v>1256</v>
      </c>
      <c r="C60">
        <f>COLUMN('Objective Risks'!J6)</f>
        <v>10</v>
      </c>
      <c r="D60">
        <f>ROW('Objective Risks'!J6)</f>
        <v>6</v>
      </c>
    </row>
    <row r="61" spans="1:12" x14ac:dyDescent="0.25">
      <c r="A61" t="s">
        <v>1254</v>
      </c>
      <c r="B61" t="s">
        <v>20</v>
      </c>
      <c r="C61">
        <f>COLUMN('Story Types'!E3)</f>
        <v>5</v>
      </c>
    </row>
    <row r="62" spans="1:12" x14ac:dyDescent="0.25">
      <c r="A62" t="s">
        <v>1254</v>
      </c>
      <c r="B62" t="s">
        <v>21</v>
      </c>
      <c r="C62">
        <f>COLUMN('Story Types'!F3)</f>
        <v>6</v>
      </c>
    </row>
    <row r="63" spans="1:12" x14ac:dyDescent="0.25">
      <c r="A63" t="s">
        <v>1254</v>
      </c>
      <c r="B63" t="s">
        <v>1255</v>
      </c>
      <c r="C63">
        <f>COLUMN('Story Types'!G3)</f>
        <v>7</v>
      </c>
    </row>
    <row r="64" spans="1:12" x14ac:dyDescent="0.25">
      <c r="A64" t="s">
        <v>1254</v>
      </c>
      <c r="B64" t="s">
        <v>18</v>
      </c>
      <c r="C64">
        <f>COLUMN('Story Types'!B4)</f>
        <v>2</v>
      </c>
    </row>
    <row r="65" spans="1:4" x14ac:dyDescent="0.25">
      <c r="A65" t="s">
        <v>1269</v>
      </c>
      <c r="B65" t="s">
        <v>33</v>
      </c>
      <c r="C65">
        <f>COLUMN('LOE Summary'!M5)</f>
        <v>13</v>
      </c>
      <c r="D65">
        <f>ROW('LOE Summary'!M5)</f>
        <v>5</v>
      </c>
    </row>
  </sheetData>
  <sortState ref="J2:L59">
    <sortCondition ref="K2:K59"/>
  </sortState>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0"/>
  <sheetViews>
    <sheetView topLeftCell="A17" zoomScale="90" zoomScaleNormal="90" workbookViewId="0">
      <selection activeCell="B42" sqref="B42"/>
    </sheetView>
  </sheetViews>
  <sheetFormatPr defaultRowHeight="15.75" x14ac:dyDescent="0.25"/>
  <cols>
    <col min="1" max="1" width="8.75" style="46" customWidth="1"/>
    <col min="2" max="2" width="146.375" style="11" customWidth="1"/>
    <col min="3" max="3" width="9" style="485"/>
  </cols>
  <sheetData>
    <row r="1" spans="1:3" x14ac:dyDescent="0.25">
      <c r="A1" s="541" t="s">
        <v>1752</v>
      </c>
      <c r="B1" s="541" t="s">
        <v>22</v>
      </c>
      <c r="C1" s="542"/>
    </row>
    <row r="2" spans="1:3" s="485" customFormat="1" x14ac:dyDescent="0.25">
      <c r="A2" s="543" t="s">
        <v>1790</v>
      </c>
      <c r="B2" s="544"/>
      <c r="C2" s="542"/>
    </row>
    <row r="3" spans="1:3" s="485" customFormat="1" x14ac:dyDescent="0.25">
      <c r="A3" s="545">
        <v>1</v>
      </c>
      <c r="B3" s="546" t="s">
        <v>1685</v>
      </c>
      <c r="C3" s="547" t="s">
        <v>1791</v>
      </c>
    </row>
    <row r="4" spans="1:3" s="485" customFormat="1" ht="25.5" x14ac:dyDescent="0.25">
      <c r="A4" s="545">
        <v>2</v>
      </c>
      <c r="B4" s="546" t="s">
        <v>1753</v>
      </c>
      <c r="C4" s="542"/>
    </row>
    <row r="5" spans="1:3" s="485" customFormat="1" x14ac:dyDescent="0.25">
      <c r="A5" s="545">
        <v>3</v>
      </c>
      <c r="B5" s="546" t="s">
        <v>1694</v>
      </c>
      <c r="C5" s="547" t="s">
        <v>1792</v>
      </c>
    </row>
    <row r="6" spans="1:3" s="485" customFormat="1" x14ac:dyDescent="0.25">
      <c r="A6" s="545">
        <v>4</v>
      </c>
      <c r="B6" s="546" t="s">
        <v>1816</v>
      </c>
      <c r="C6" s="542" t="s">
        <v>1793</v>
      </c>
    </row>
    <row r="7" spans="1:3" s="485" customFormat="1" ht="25.5" customHeight="1" x14ac:dyDescent="0.25">
      <c r="A7" s="545">
        <v>5</v>
      </c>
      <c r="B7" s="546" t="s">
        <v>1695</v>
      </c>
      <c r="C7" s="547" t="s">
        <v>1794</v>
      </c>
    </row>
    <row r="8" spans="1:3" s="485" customFormat="1" x14ac:dyDescent="0.25">
      <c r="A8" s="545">
        <v>6</v>
      </c>
      <c r="B8" s="546" t="s">
        <v>1686</v>
      </c>
      <c r="C8" s="547" t="s">
        <v>1795</v>
      </c>
    </row>
    <row r="9" spans="1:3" s="485" customFormat="1" ht="25.5" x14ac:dyDescent="0.25">
      <c r="A9" s="640">
        <v>7</v>
      </c>
      <c r="B9" s="641" t="s">
        <v>1817</v>
      </c>
      <c r="C9" s="547"/>
    </row>
    <row r="10" spans="1:3" s="485" customFormat="1" ht="25.5" x14ac:dyDescent="0.25">
      <c r="A10" s="640">
        <v>8</v>
      </c>
      <c r="B10" s="641" t="s">
        <v>1818</v>
      </c>
      <c r="C10" s="547"/>
    </row>
    <row r="11" spans="1:3" s="485" customFormat="1" ht="25.5" x14ac:dyDescent="0.25">
      <c r="A11" s="545">
        <v>9</v>
      </c>
      <c r="B11" s="548" t="s">
        <v>1697</v>
      </c>
      <c r="C11" s="542"/>
    </row>
    <row r="12" spans="1:3" s="485" customFormat="1" x14ac:dyDescent="0.25">
      <c r="A12" s="545">
        <v>10</v>
      </c>
      <c r="B12" s="548" t="s">
        <v>1796</v>
      </c>
      <c r="C12" s="542"/>
    </row>
    <row r="13" spans="1:3" s="485" customFormat="1" x14ac:dyDescent="0.25">
      <c r="A13" s="545">
        <v>11</v>
      </c>
      <c r="B13" s="548" t="s">
        <v>1665</v>
      </c>
      <c r="C13" s="542"/>
    </row>
    <row r="14" spans="1:3" s="485" customFormat="1" x14ac:dyDescent="0.25">
      <c r="A14" s="545">
        <v>12</v>
      </c>
      <c r="B14" s="546" t="s">
        <v>1696</v>
      </c>
      <c r="C14" s="549" t="s">
        <v>1797</v>
      </c>
    </row>
    <row r="15" spans="1:3" s="485" customFormat="1" x14ac:dyDescent="0.25">
      <c r="A15" s="545">
        <v>13</v>
      </c>
      <c r="B15" s="574" t="s">
        <v>1690</v>
      </c>
      <c r="C15" s="542" t="s">
        <v>1798</v>
      </c>
    </row>
    <row r="16" spans="1:3" s="485" customFormat="1" x14ac:dyDescent="0.25">
      <c r="A16" s="545">
        <v>14</v>
      </c>
      <c r="B16" s="546" t="s">
        <v>1779</v>
      </c>
      <c r="C16" s="542"/>
    </row>
    <row r="17" spans="1:3" x14ac:dyDescent="0.25">
      <c r="A17" s="545">
        <v>15</v>
      </c>
      <c r="B17" s="546" t="s">
        <v>1780</v>
      </c>
      <c r="C17" s="542"/>
    </row>
    <row r="18" spans="1:3" x14ac:dyDescent="0.25">
      <c r="A18" s="550"/>
      <c r="B18" s="546"/>
      <c r="C18" s="542"/>
    </row>
    <row r="19" spans="1:3" x14ac:dyDescent="0.25">
      <c r="A19" s="550"/>
      <c r="B19" s="546"/>
      <c r="C19" s="542"/>
    </row>
    <row r="20" spans="1:3" x14ac:dyDescent="0.25">
      <c r="A20" s="543" t="s">
        <v>1799</v>
      </c>
      <c r="B20" s="544"/>
      <c r="C20" s="542"/>
    </row>
    <row r="21" spans="1:3" s="485" customFormat="1" x14ac:dyDescent="0.25">
      <c r="A21" s="545">
        <v>16</v>
      </c>
      <c r="B21" s="546" t="s">
        <v>1654</v>
      </c>
      <c r="C21" s="551" t="s">
        <v>1800</v>
      </c>
    </row>
    <row r="22" spans="1:3" x14ac:dyDescent="0.25">
      <c r="A22" s="545">
        <v>17</v>
      </c>
      <c r="B22" s="546" t="s">
        <v>1801</v>
      </c>
      <c r="C22" s="542"/>
    </row>
    <row r="23" spans="1:3" x14ac:dyDescent="0.25">
      <c r="A23" s="543" t="s">
        <v>1802</v>
      </c>
      <c r="B23" s="544"/>
      <c r="C23" s="542"/>
    </row>
    <row r="24" spans="1:3" x14ac:dyDescent="0.25">
      <c r="A24" s="545">
        <v>18</v>
      </c>
      <c r="B24" s="546" t="s">
        <v>1803</v>
      </c>
      <c r="C24" s="542"/>
    </row>
    <row r="25" spans="1:3" x14ac:dyDescent="0.25">
      <c r="A25" s="545">
        <v>19</v>
      </c>
      <c r="B25" s="546" t="s">
        <v>1804</v>
      </c>
      <c r="C25" s="542"/>
    </row>
    <row r="26" spans="1:3" x14ac:dyDescent="0.25">
      <c r="A26" s="545">
        <f t="shared" ref="A26:A32" si="0">A25+1</f>
        <v>20</v>
      </c>
      <c r="B26" s="546" t="s">
        <v>1760</v>
      </c>
      <c r="C26" s="542"/>
    </row>
    <row r="27" spans="1:3" x14ac:dyDescent="0.25">
      <c r="A27" s="545">
        <f t="shared" si="0"/>
        <v>21</v>
      </c>
      <c r="B27" s="546" t="s">
        <v>1756</v>
      </c>
      <c r="C27" s="542"/>
    </row>
    <row r="28" spans="1:3" x14ac:dyDescent="0.25">
      <c r="A28" s="545">
        <f t="shared" si="0"/>
        <v>22</v>
      </c>
      <c r="B28" s="546" t="s">
        <v>1757</v>
      </c>
      <c r="C28" s="542"/>
    </row>
    <row r="29" spans="1:3" x14ac:dyDescent="0.25">
      <c r="A29" s="545">
        <f t="shared" si="0"/>
        <v>23</v>
      </c>
      <c r="B29" s="546" t="s">
        <v>1698</v>
      </c>
      <c r="C29" s="542"/>
    </row>
    <row r="30" spans="1:3" x14ac:dyDescent="0.25">
      <c r="A30" s="545">
        <f t="shared" si="0"/>
        <v>24</v>
      </c>
      <c r="B30" s="546" t="s">
        <v>1699</v>
      </c>
      <c r="C30" s="542"/>
    </row>
    <row r="31" spans="1:3" x14ac:dyDescent="0.25">
      <c r="A31" s="545">
        <f t="shared" si="0"/>
        <v>25</v>
      </c>
      <c r="B31" s="546" t="s">
        <v>1778</v>
      </c>
      <c r="C31" s="542" t="s">
        <v>1813</v>
      </c>
    </row>
    <row r="32" spans="1:3" x14ac:dyDescent="0.25">
      <c r="A32" s="545">
        <f t="shared" si="0"/>
        <v>26</v>
      </c>
      <c r="B32" s="546" t="s">
        <v>1789</v>
      </c>
      <c r="C32" s="542"/>
    </row>
    <row r="33" spans="1:3" x14ac:dyDescent="0.25">
      <c r="A33" s="543" t="s">
        <v>1805</v>
      </c>
      <c r="B33" s="544"/>
      <c r="C33" s="542"/>
    </row>
    <row r="34" spans="1:3" x14ac:dyDescent="0.25">
      <c r="A34" s="545">
        <v>27</v>
      </c>
      <c r="B34" s="546" t="s">
        <v>1754</v>
      </c>
      <c r="C34" s="542"/>
    </row>
    <row r="35" spans="1:3" x14ac:dyDescent="0.25">
      <c r="A35" s="545">
        <v>28</v>
      </c>
      <c r="B35" s="546" t="s">
        <v>1755</v>
      </c>
      <c r="C35" s="542"/>
    </row>
    <row r="36" spans="1:3" x14ac:dyDescent="0.25">
      <c r="A36" s="545">
        <v>29</v>
      </c>
      <c r="B36" s="552" t="s">
        <v>1806</v>
      </c>
      <c r="C36" s="542"/>
    </row>
    <row r="37" spans="1:3" x14ac:dyDescent="0.25">
      <c r="A37" s="553" t="s">
        <v>1807</v>
      </c>
      <c r="B37" s="554"/>
      <c r="C37" s="542"/>
    </row>
    <row r="38" spans="1:3" ht="63.75" x14ac:dyDescent="0.25">
      <c r="A38" s="555">
        <v>30</v>
      </c>
      <c r="B38" s="556" t="s">
        <v>1819</v>
      </c>
      <c r="C38" s="542"/>
    </row>
    <row r="40" spans="1:3" x14ac:dyDescent="0.25">
      <c r="B40" s="573" t="s">
        <v>1812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8"/>
  <sheetViews>
    <sheetView zoomScale="80" zoomScaleNormal="80" workbookViewId="0">
      <selection activeCell="B4" sqref="B4"/>
    </sheetView>
  </sheetViews>
  <sheetFormatPr defaultRowHeight="15.75" x14ac:dyDescent="0.25"/>
  <cols>
    <col min="1" max="1" width="4.625" style="485" bestFit="1" customWidth="1"/>
    <col min="2" max="2" width="105.875" style="11" customWidth="1"/>
    <col min="3" max="3" width="15.625" style="485" bestFit="1" customWidth="1"/>
  </cols>
  <sheetData>
    <row r="1" spans="1:3" x14ac:dyDescent="0.25">
      <c r="A1" s="541" t="s">
        <v>1752</v>
      </c>
      <c r="B1" s="541" t="s">
        <v>1808</v>
      </c>
      <c r="C1" s="541" t="s">
        <v>1809</v>
      </c>
    </row>
    <row r="2" spans="1:3" x14ac:dyDescent="0.25">
      <c r="A2" s="553" t="s">
        <v>1810</v>
      </c>
      <c r="B2" s="554"/>
      <c r="C2" s="554"/>
    </row>
    <row r="3" spans="1:3" x14ac:dyDescent="0.25">
      <c r="A3" s="557">
        <v>1</v>
      </c>
      <c r="B3" s="546" t="s">
        <v>1760</v>
      </c>
      <c r="C3" s="546" t="s">
        <v>1761</v>
      </c>
    </row>
    <row r="4" spans="1:3" x14ac:dyDescent="0.25">
      <c r="A4" s="557">
        <v>2</v>
      </c>
      <c r="B4" s="546" t="s">
        <v>1762</v>
      </c>
      <c r="C4" s="546" t="s">
        <v>1763</v>
      </c>
    </row>
    <row r="5" spans="1:3" x14ac:dyDescent="0.25">
      <c r="A5" s="557">
        <v>3</v>
      </c>
      <c r="B5" s="546" t="s">
        <v>1764</v>
      </c>
      <c r="C5" s="546" t="s">
        <v>1763</v>
      </c>
    </row>
    <row r="6" spans="1:3" x14ac:dyDescent="0.25">
      <c r="A6" s="557">
        <v>4</v>
      </c>
      <c r="B6" s="546" t="s">
        <v>1766</v>
      </c>
      <c r="C6" s="546" t="s">
        <v>1767</v>
      </c>
    </row>
    <row r="7" spans="1:3" x14ac:dyDescent="0.25">
      <c r="A7" s="557">
        <v>5</v>
      </c>
      <c r="B7" s="546" t="s">
        <v>1768</v>
      </c>
      <c r="C7" s="546" t="s">
        <v>1767</v>
      </c>
    </row>
    <row r="8" spans="1:3" x14ac:dyDescent="0.25">
      <c r="A8" s="557">
        <v>6</v>
      </c>
      <c r="B8" s="546" t="s">
        <v>1774</v>
      </c>
      <c r="C8" s="546" t="s">
        <v>1775</v>
      </c>
    </row>
    <row r="9" spans="1:3" x14ac:dyDescent="0.25">
      <c r="A9" s="557">
        <v>7</v>
      </c>
      <c r="B9" s="546" t="s">
        <v>1776</v>
      </c>
      <c r="C9" s="546" t="s">
        <v>1777</v>
      </c>
    </row>
    <row r="10" spans="1:3" x14ac:dyDescent="0.25">
      <c r="A10" s="557">
        <v>8</v>
      </c>
      <c r="B10" s="546" t="s">
        <v>1781</v>
      </c>
      <c r="C10" s="546" t="s">
        <v>1782</v>
      </c>
    </row>
    <row r="11" spans="1:3" x14ac:dyDescent="0.25">
      <c r="A11" s="557">
        <v>9</v>
      </c>
      <c r="B11" s="546" t="s">
        <v>1783</v>
      </c>
      <c r="C11" s="546" t="s">
        <v>1784</v>
      </c>
    </row>
    <row r="12" spans="1:3" x14ac:dyDescent="0.25">
      <c r="A12" s="553" t="s">
        <v>1811</v>
      </c>
      <c r="B12" s="554"/>
      <c r="C12" s="554"/>
    </row>
    <row r="13" spans="1:3" x14ac:dyDescent="0.25">
      <c r="A13" s="557">
        <v>10</v>
      </c>
      <c r="B13" s="556" t="s">
        <v>1770</v>
      </c>
      <c r="C13" s="546" t="s">
        <v>1767</v>
      </c>
    </row>
    <row r="14" spans="1:3" ht="25.5" x14ac:dyDescent="0.25">
      <c r="A14" s="558">
        <v>11</v>
      </c>
      <c r="B14" s="546" t="s">
        <v>1771</v>
      </c>
      <c r="C14" s="546" t="s">
        <v>1767</v>
      </c>
    </row>
    <row r="15" spans="1:3" ht="25.5" x14ac:dyDescent="0.25">
      <c r="A15" s="559">
        <v>12</v>
      </c>
      <c r="B15" s="546" t="s">
        <v>1772</v>
      </c>
      <c r="C15" s="546" t="s">
        <v>1767</v>
      </c>
    </row>
    <row r="16" spans="1:3" ht="33.75" customHeight="1" x14ac:dyDescent="0.25">
      <c r="A16" s="557">
        <v>13</v>
      </c>
      <c r="B16" s="546" t="s">
        <v>1773</v>
      </c>
      <c r="C16" s="546" t="s">
        <v>1767</v>
      </c>
    </row>
    <row r="17" spans="1:3" ht="25.5" x14ac:dyDescent="0.25">
      <c r="A17" s="557">
        <v>14</v>
      </c>
      <c r="B17" s="552" t="s">
        <v>1769</v>
      </c>
      <c r="C17" s="546" t="s">
        <v>1763</v>
      </c>
    </row>
    <row r="18" spans="1:3" x14ac:dyDescent="0.25">
      <c r="A18" s="557">
        <v>15</v>
      </c>
      <c r="B18" s="546" t="s">
        <v>1765</v>
      </c>
      <c r="C18" s="546" t="s">
        <v>1761</v>
      </c>
    </row>
  </sheetData>
  <pageMargins left="0.7" right="0.7" top="0.75" bottom="0.75" header="0.3" footer="0.3"/>
</worksheet>
</file>

<file path=customUI/customUI14.xml><?xml version="1.0" encoding="utf-8"?>
<customUI xmlns="http://schemas.microsoft.com/office/2009/07/customui">
  <contextMenus>
    <contextMenu idMso="ContextMenuCell">
      <button id="About" label="S|A - About Estimation Tool" insertBeforeMso="Cut" onAction="ShowAboutDialogUI"/>
      <menuSeparator id="MySeparator" insertBeforeMso="Cut"/>
      <button id="InsertRow" label="Insert One New Row" insertBeforeMso="Cut" onAction="AddNewRowFromSheetTemplateUI" tag="1"/>
      <menu id="InsertMultipleRo" label="Insert Multiple Rows" insertBeforeMso="Cut">
        <button id="RowBut1" label="Insert 1 Row" onAction="AddNewRowFromSheetTemplateUI" tag="1"/>
        <button id="RowBut2" label="Insert 2 Rows" onAction="AddNewRowFromSheetTemplateUI" tag="2"/>
        <button id="RowBut3" label="Insert 3 Rows" onAction="AddNewRowFromSheetTemplateUI" tag="3"/>
        <button id="RowBut4" label="Insert 4 Rows" onAction="AddNewRowFromSheetTemplateUI" tag="4"/>
        <button id="RowBut5" label="Insert 5 Rows" onAction="AddNewRowFromSheetTemplateUI" tag="5"/>
      </menu>
      <menuSeparator id="MySeparator1" insertBeforeMso="Cut"/>
      <menu id="ExportStories" label="Export Stories" insertBeforeMso="Cut">
        <button id="Exportst" label="Export to Jira - Only Stories" onAction="ExportStoriesToFileUI" tag="JIRA,0"/>
        <button id="Exporttask" label="Export to Jira - Stories and Tasks" onAction="ExportStoriesToFileUI" tag="JIRA,1"/>
      </menu>
      <menuSeparator id="MySeparator2" insertBeforeMso="Cut"/>
      <button id="InsertWeek" label="Insert One New Week" insertBeforeMso="Cut" onAction="AddNewWeekToStaffingPlanUI" tag="1"/>
      <menu id="InsertMultipleRows" label="Insert Multiple Weeks" insertBeforeMso="Cut">
        <button id="WeekBut1" label="Insert 1 Week" onAction="AddNewWeekToStaffingPlanUI" tag="1"/>
        <button id="WeekBut2" label="Insert 2 Weeks" onAction="AddNewWeekToStaffingPlanUI" tag="2"/>
        <button id="WeekBut3" label="Insert 3 Weeks" onAction="AddNewWeekToStaffingPlanUI" tag="3"/>
        <button id="WeekBut4" label="Insert 4 Weeks" onAction="AddNewWeekToStaffingPlanUI" tag="4"/>
        <button id="WeekBut5" label="Insert 5 Weeks" onAction="AddNewWeekToStaffingPlanUI" tag="5"/>
      </menu>
      <button id="ExportSP" label="Export Staffing Plan" insertBeforeMso="Cut" onAction="ExportStaffingPlanForDealToolUI"/>
      <menuSeparator id="MySeparator3" insertBeforeMso="Cut"/>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91</vt:i4>
      </vt:variant>
    </vt:vector>
  </HeadingPairs>
  <TitlesOfParts>
    <vt:vector size="103" baseType="lpstr">
      <vt:lpstr>Help</vt:lpstr>
      <vt:lpstr>Project Overview</vt:lpstr>
      <vt:lpstr>Story Types</vt:lpstr>
      <vt:lpstr>Stories</vt:lpstr>
      <vt:lpstr>Add-ins</vt:lpstr>
      <vt:lpstr>Objective Risks</vt:lpstr>
      <vt:lpstr>Staffing Plan</vt:lpstr>
      <vt:lpstr>LOE Summary</vt:lpstr>
      <vt:lpstr>Total LOE</vt:lpstr>
      <vt:lpstr>Mapping</vt:lpstr>
      <vt:lpstr>Assumptions</vt:lpstr>
      <vt:lpstr>Dependency</vt:lpstr>
      <vt:lpstr>add_ins_last_row</vt:lpstr>
      <vt:lpstr>addins_impact_loe_lookup</vt:lpstr>
      <vt:lpstr>addins_phase_list_lookup</vt:lpstr>
      <vt:lpstr>addins_release_list_lookup</vt:lpstr>
      <vt:lpstr>addins_total_loe</vt:lpstr>
      <vt:lpstr>addins_track_list_lookup</vt:lpstr>
      <vt:lpstr>Allocation_format</vt:lpstr>
      <vt:lpstr>data_blank_value</vt:lpstr>
      <vt:lpstr>data_role_doesnt_exist_msg</vt:lpstr>
      <vt:lpstr>data_rolename_title_location</vt:lpstr>
      <vt:lpstr>list_title_for_mapping</vt:lpstr>
      <vt:lpstr>loe_summ_last_row</vt:lpstr>
      <vt:lpstr>metrics_lookup_table</vt:lpstr>
      <vt:lpstr>obj_risks_last_row</vt:lpstr>
      <vt:lpstr>'Add-ins'!Print_Area</vt:lpstr>
      <vt:lpstr>Help!Print_Area</vt:lpstr>
      <vt:lpstr>'LOE Summary'!Print_Area</vt:lpstr>
      <vt:lpstr>'Objective Risks'!Print_Area</vt:lpstr>
      <vt:lpstr>'Project Overview'!Print_Area</vt:lpstr>
      <vt:lpstr>'Staffing Plan'!Print_Area</vt:lpstr>
      <vt:lpstr>Stories!Print_Area</vt:lpstr>
      <vt:lpstr>'Story Types'!Print_Area</vt:lpstr>
      <vt:lpstr>'Total LOE'!Print_Area</vt:lpstr>
      <vt:lpstr>project_delivery_select</vt:lpstr>
      <vt:lpstr>project_headline</vt:lpstr>
      <vt:lpstr>project_name</vt:lpstr>
      <vt:lpstr>project_phase</vt:lpstr>
      <vt:lpstr>project_Phase_list_column</vt:lpstr>
      <vt:lpstr>project_pid</vt:lpstr>
      <vt:lpstr>project_Rel_list_column</vt:lpstr>
      <vt:lpstr>project_tracks_list_column</vt:lpstr>
      <vt:lpstr>project_tracks_starting_row</vt:lpstr>
      <vt:lpstr>risks_phase_list_lookup</vt:lpstr>
      <vt:lpstr>risks_release_list_lookup</vt:lpstr>
      <vt:lpstr>risks_risk_buffer_lookup</vt:lpstr>
      <vt:lpstr>risks_total_loe</vt:lpstr>
      <vt:lpstr>risks_track_list_lookup</vt:lpstr>
      <vt:lpstr>staffing_column_after_weeks</vt:lpstr>
      <vt:lpstr>staffing_column_before_weeks</vt:lpstr>
      <vt:lpstr>staffing_column_HrsPerDay</vt:lpstr>
      <vt:lpstr>staffing_column_plan_start</vt:lpstr>
      <vt:lpstr>staffing_column_Rate</vt:lpstr>
      <vt:lpstr>staffing_column_title</vt:lpstr>
      <vt:lpstr>staffing_hidden_template_row</vt:lpstr>
      <vt:lpstr>staffing_planned_net_work_days</vt:lpstr>
      <vt:lpstr>staffing_row_after_oversight</vt:lpstr>
      <vt:lpstr>staffing_row_after_team</vt:lpstr>
      <vt:lpstr>staffing_row_before_oversight</vt:lpstr>
      <vt:lpstr>staffing_row_before_team</vt:lpstr>
      <vt:lpstr>staffing_total_loe_oversight</vt:lpstr>
      <vt:lpstr>staffing_total_loe_team</vt:lpstr>
      <vt:lpstr>staffing_total_person_days</vt:lpstr>
      <vt:lpstr>stories_buffered_loe_lookup</vt:lpstr>
      <vt:lpstr>stories_column_abp</vt:lpstr>
      <vt:lpstr>stories_column_category</vt:lpstr>
      <vt:lpstr>stories_column_description</vt:lpstr>
      <vt:lpstr>stories_column_epic_link</vt:lpstr>
      <vt:lpstr>stories_column_error</vt:lpstr>
      <vt:lpstr>stories_column_hp</vt:lpstr>
      <vt:lpstr>stories_column_in_out</vt:lpstr>
      <vt:lpstr>stories_column_multiplier</vt:lpstr>
      <vt:lpstr>stories_column_notes</vt:lpstr>
      <vt:lpstr>stories_column_phase</vt:lpstr>
      <vt:lpstr>stories_column_release</vt:lpstr>
      <vt:lpstr>stories_column_scope_reference</vt:lpstr>
      <vt:lpstr>stories_column_story_name</vt:lpstr>
      <vt:lpstr>stories_column_story_type</vt:lpstr>
      <vt:lpstr>stories_column_sub_category</vt:lpstr>
      <vt:lpstr>stories_column_track</vt:lpstr>
      <vt:lpstr>stories_last_row</vt:lpstr>
      <vt:lpstr>Stories_phase_list_lookup</vt:lpstr>
      <vt:lpstr>stories_release_list_lookup</vt:lpstr>
      <vt:lpstr>stories_row_after_last_story</vt:lpstr>
      <vt:lpstr>stories_row_before_first_story</vt:lpstr>
      <vt:lpstr>stories_total_loe_abp</vt:lpstr>
      <vt:lpstr>stories_total_loe_buffered</vt:lpstr>
      <vt:lpstr>stories_total_loe_hp</vt:lpstr>
      <vt:lpstr>stories_track_list_lookup</vt:lpstr>
      <vt:lpstr>Story_Type_ABP</vt:lpstr>
      <vt:lpstr>Story_Type_error</vt:lpstr>
      <vt:lpstr>Story_Type_HP</vt:lpstr>
      <vt:lpstr>Story_Type_Name</vt:lpstr>
      <vt:lpstr>tasks_metrics_observation_area</vt:lpstr>
      <vt:lpstr>tasks_metrics_template</vt:lpstr>
      <vt:lpstr>tool_version</vt:lpstr>
      <vt:lpstr>tool_version_check</vt:lpstr>
      <vt:lpstr>tool_version_date</vt:lpstr>
      <vt:lpstr>tool_vox_address</vt:lpstr>
      <vt:lpstr>tool_vox_address_title</vt:lpstr>
      <vt:lpstr>total_loe</vt:lpstr>
      <vt:lpstr>track_loe_header_cell</vt:lpstr>
    </vt:vector>
  </TitlesOfParts>
  <Company>Sapient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Estimation Tool</dc:title>
  <dc:creator>Delivery Shared Services and Quality &amp; Methods</dc:creator>
  <cp:lastModifiedBy>WIN764BIT</cp:lastModifiedBy>
  <cp:lastPrinted>2013-11-22T05:12:52Z</cp:lastPrinted>
  <dcterms:created xsi:type="dcterms:W3CDTF">2011-10-20T15:30:42Z</dcterms:created>
  <dcterms:modified xsi:type="dcterms:W3CDTF">2016-11-24T14:55:22Z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Jive_LatestUserAccountName">
    <vt:lpwstr>sdas14</vt:lpwstr>
  </property>
  <property fmtid="{D5CDD505-2E9C-101B-9397-08002B2CF9AE}" pid="3" name="Offisync_ServerID">
    <vt:lpwstr>2a760b3e-54a5-418b-9dd9-555cd32dea45</vt:lpwstr>
  </property>
  <property fmtid="{D5CDD505-2E9C-101B-9397-08002B2CF9AE}" pid="4" name="Offisync_UniqueId">
    <vt:lpwstr>4272</vt:lpwstr>
  </property>
  <property fmtid="{D5CDD505-2E9C-101B-9397-08002B2CF9AE}" pid="5" name="Jive_VersionGuid">
    <vt:lpwstr>2fd68a19-4c04-4de6-91fa-ee21abf6ae97</vt:lpwstr>
  </property>
  <property fmtid="{D5CDD505-2E9C-101B-9397-08002B2CF9AE}" pid="6" name="Offisync_ProviderInitializationData">
    <vt:lpwstr>https://vox.publicis.sapient.com</vt:lpwstr>
  </property>
  <property fmtid="{D5CDD505-2E9C-101B-9397-08002B2CF9AE}" pid="7" name="Offisync_UpdateToken">
    <vt:lpwstr>77</vt:lpwstr>
  </property>
  <property fmtid="{D5CDD505-2E9C-101B-9397-08002B2CF9AE}" pid="8" name="Jive_ModifiedButNotPublished">
    <vt:lpwstr>True</vt:lpwstr>
  </property>
</Properties>
</file>